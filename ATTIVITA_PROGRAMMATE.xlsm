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tables/table3.xml" ContentType="application/vnd.openxmlformats-officedocument.spreadsheetml.table+xml"/>
  <Override PartName="/xl/drawings/drawing4.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tables/table4.xml" ContentType="application/vnd.openxmlformats-officedocument.spreadsheetml.table+xml"/>
  <Override PartName="/xl/drawings/drawing5.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tables/table5.xml" ContentType="application/vnd.openxmlformats-officedocument.spreadsheetml.table+xml"/>
  <Override PartName="/xl/drawings/drawing6.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tables/table6.xml" ContentType="application/vnd.openxmlformats-officedocument.spreadsheetml.table+xml"/>
  <Override PartName="/xl/drawings/drawing7.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tables/table7.xml" ContentType="application/vnd.openxmlformats-officedocument.spreadsheetml.table+xml"/>
  <Override PartName="/xl/drawings/drawing8.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tables/table8.xml" ContentType="application/vnd.openxmlformats-officedocument.spreadsheetml.table+xml"/>
  <Override PartName="/xl/queryTables/queryTable1.xml" ContentType="application/vnd.openxmlformats-officedocument.spreadsheetml.queryTable+xml"/>
  <Override PartName="/xl/drawings/drawing9.xml" ContentType="application/vnd.openxmlformats-officedocument.drawing+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drawings/drawing10.xml" ContentType="application/vnd.openxmlformats-officedocument.drawing+xml"/>
  <Override PartName="/xl/ctrlProps/ctrlProp104.xml" ContentType="application/vnd.ms-excel.controlproperties+xml"/>
  <Override PartName="/xl/tables/table9.xml" ContentType="application/vnd.openxmlformats-officedocument.spreadsheetml.table+xml"/>
  <Override PartName="/xl/drawings/drawing11.xml" ContentType="application/vnd.openxmlformats-officedocument.drawing+xml"/>
  <Override PartName="/xl/ctrlProps/ctrlProp105.xml" ContentType="application/vnd.ms-excel.controlproperties+xml"/>
  <Override PartName="/xl/drawings/drawing12.xml" ContentType="application/vnd.openxmlformats-officedocument.drawing+xml"/>
  <Override PartName="/xl/ctrlProps/ctrlProp10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Questa_cartella_di_lavoro" defaultThemeVersion="166925"/>
  <mc:AlternateContent xmlns:mc="http://schemas.openxmlformats.org/markup-compatibility/2006">
    <mc:Choice Requires="x15">
      <x15ac:absPath xmlns:x15ac="http://schemas.microsoft.com/office/spreadsheetml/2010/11/ac" url="\\192.168.11.251\Database_Tecnico_SMI\cartella strumentale condivisa\ALLEGRETTI\"/>
    </mc:Choice>
  </mc:AlternateContent>
  <xr:revisionPtr revIDLastSave="0" documentId="13_ncr:1_{5259E690-3F0D-4703-AC4B-3B23CC6FF7A5}" xr6:coauthVersionLast="36" xr6:coauthVersionMax="47" xr10:uidLastSave="{00000000-0000-0000-0000-000000000000}"/>
  <bookViews>
    <workbookView xWindow="-120" yWindow="-120" windowWidth="29040" windowHeight="15840" tabRatio="894" activeTab="7" xr2:uid="{A0298481-9C0F-4C23-BB8A-0E70E3735ACA}"/>
  </bookViews>
  <sheets>
    <sheet name="A1" sheetId="1" r:id="rId1"/>
    <sheet name="A2" sheetId="2" r:id="rId2"/>
    <sheet name="A3" sheetId="29" r:id="rId3"/>
    <sheet name="CTE" sheetId="4" r:id="rId4"/>
    <sheet name="TAS" sheetId="38" r:id="rId5"/>
    <sheet name="BLENDING" sheetId="5" r:id="rId6"/>
    <sheet name="IGCC" sheetId="39" r:id="rId7"/>
    <sheet name="Riepilogo" sheetId="31" r:id="rId8"/>
    <sheet name="BARCODE" sheetId="37" r:id="rId9"/>
    <sheet name="Inserimento dati" sheetId="20" r:id="rId10"/>
    <sheet name="nuovi PdL rilevati" sheetId="36" r:id="rId11"/>
    <sheet name="caricamento Desiderata" sheetId="33" r:id="rId12"/>
    <sheet name="Desiderata" sheetId="35" r:id="rId13"/>
  </sheets>
  <functionGroups builtInGroupCount="19"/>
  <definedNames>
    <definedName name="DatiEsterni_1" localSheetId="7" hidden="1">Riepilogo!$A$3:$U$1226</definedName>
    <definedName name="Print_Area" localSheetId="12">Desiderata!$A$1:$N$42</definedName>
    <definedName name="Print_Area" localSheetId="7">Riepilogo!$A$4:$S$1226</definedName>
    <definedName name="Print_Titles" localSheetId="7">Riepilogo!$1:$3</definedName>
  </definedNames>
  <calcPr calcId="191029"/>
  <extLs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134" i="2" l="1"/>
  <c r="C301" i="1"/>
  <c r="B6" i="39"/>
  <c r="C6" i="39"/>
  <c r="B7" i="39"/>
  <c r="C7" i="39"/>
  <c r="B8" i="39"/>
  <c r="C8" i="39"/>
  <c r="B9" i="39"/>
  <c r="C9" i="39"/>
  <c r="B10" i="39"/>
  <c r="C10" i="39"/>
  <c r="B11" i="39"/>
  <c r="C11" i="39"/>
  <c r="B12" i="39"/>
  <c r="C12" i="39"/>
  <c r="C274" i="1" l="1"/>
  <c r="C18" i="35" l="1"/>
  <c r="C10" i="35"/>
  <c r="A10" i="35"/>
  <c r="B10" i="35"/>
  <c r="D10" i="35"/>
  <c r="A11" i="35"/>
  <c r="B11" i="35"/>
  <c r="C11" i="35"/>
  <c r="D11" i="35"/>
  <c r="A12" i="35"/>
  <c r="B12" i="35"/>
  <c r="C12" i="35"/>
  <c r="D12" i="35"/>
  <c r="A13" i="35"/>
  <c r="B13" i="35"/>
  <c r="C13" i="35"/>
  <c r="D13" i="35"/>
  <c r="A14" i="35"/>
  <c r="B14" i="35"/>
  <c r="C14" i="35"/>
  <c r="D14" i="35"/>
  <c r="A15" i="35"/>
  <c r="B15" i="35"/>
  <c r="C15" i="35"/>
  <c r="D15" i="35"/>
  <c r="A16" i="35"/>
  <c r="B16" i="35"/>
  <c r="C16" i="35"/>
  <c r="D16" i="35"/>
  <c r="A17" i="35"/>
  <c r="B17" i="35"/>
  <c r="C17" i="35"/>
  <c r="D17" i="35"/>
  <c r="A18" i="35"/>
  <c r="B18" i="35"/>
  <c r="D18" i="35"/>
  <c r="A19" i="35"/>
  <c r="B19" i="35"/>
  <c r="C19" i="35"/>
  <c r="D19" i="35"/>
  <c r="A20" i="35"/>
  <c r="B20" i="35"/>
  <c r="C20" i="35"/>
  <c r="D20" i="35"/>
  <c r="A21" i="35"/>
  <c r="B21" i="35"/>
  <c r="C21" i="35"/>
  <c r="D21" i="35"/>
  <c r="A22" i="35"/>
  <c r="B22" i="35"/>
  <c r="C22" i="35"/>
  <c r="D22" i="35"/>
  <c r="A23" i="35"/>
  <c r="B23" i="35"/>
  <c r="C23" i="35"/>
  <c r="D23" i="35"/>
  <c r="A32" i="35"/>
  <c r="B32" i="35"/>
  <c r="C32" i="35"/>
  <c r="D32" i="35"/>
  <c r="E32" i="35"/>
  <c r="F32" i="35"/>
  <c r="G32" i="35"/>
  <c r="H32" i="35"/>
  <c r="N32" i="35"/>
  <c r="A33" i="35"/>
  <c r="B33" i="35"/>
  <c r="C33" i="35"/>
  <c r="D33" i="35"/>
  <c r="E33" i="35"/>
  <c r="F33" i="35"/>
  <c r="G33" i="35"/>
  <c r="H33" i="35"/>
  <c r="N33" i="35"/>
  <c r="A34" i="35"/>
  <c r="B34" i="35"/>
  <c r="C34" i="35"/>
  <c r="D34" i="35"/>
  <c r="E34" i="35"/>
  <c r="F34" i="35"/>
  <c r="G34" i="35"/>
  <c r="H34" i="35"/>
  <c r="N34" i="35"/>
  <c r="A39" i="35"/>
  <c r="B39" i="35"/>
  <c r="C39" i="35"/>
  <c r="D39" i="35"/>
  <c r="E39" i="35"/>
  <c r="N39" i="35"/>
  <c r="A40" i="35"/>
  <c r="B40" i="35"/>
  <c r="C40" i="35"/>
  <c r="D40" i="35"/>
  <c r="E40" i="35"/>
  <c r="N40" i="35"/>
  <c r="A41" i="35"/>
  <c r="B41" i="35"/>
  <c r="C41" i="35"/>
  <c r="D41" i="35"/>
  <c r="E41" i="35"/>
  <c r="N41" i="35"/>
  <c r="A42" i="35"/>
  <c r="B42" i="35"/>
  <c r="C42" i="35"/>
  <c r="D42" i="35"/>
  <c r="E42" i="35"/>
  <c r="N42" i="35"/>
  <c r="C479" i="29"/>
  <c r="C480" i="29"/>
  <c r="C481" i="29"/>
  <c r="B13" i="39" l="1"/>
  <c r="C13" i="39"/>
  <c r="B14" i="39"/>
  <c r="C14" i="39"/>
  <c r="U163" i="29"/>
  <c r="U448" i="29"/>
  <c r="U144" i="29"/>
  <c r="U86" i="29"/>
  <c r="U433" i="29"/>
  <c r="U75" i="29"/>
  <c r="U484" i="29"/>
  <c r="U314" i="29"/>
  <c r="U112" i="29"/>
  <c r="U327" i="29"/>
  <c r="U334" i="29"/>
  <c r="U72" i="29"/>
  <c r="U337" i="29"/>
  <c r="U195" i="29"/>
  <c r="U44" i="29"/>
  <c r="U267" i="29"/>
  <c r="U247" i="29"/>
  <c r="U330" i="29"/>
  <c r="U121" i="29"/>
  <c r="U6" i="29"/>
  <c r="U262" i="29"/>
  <c r="U398" i="29"/>
  <c r="U296" i="29"/>
  <c r="U64" i="29"/>
  <c r="U70" i="29"/>
  <c r="U354" i="29"/>
  <c r="U155" i="29"/>
  <c r="U92" i="29"/>
  <c r="U368" i="29"/>
  <c r="U205" i="29"/>
  <c r="U31" i="29"/>
  <c r="U417" i="29"/>
  <c r="U254" i="29"/>
  <c r="U248" i="29"/>
  <c r="U208" i="29"/>
  <c r="U437" i="29"/>
  <c r="U322" i="29"/>
  <c r="U416" i="29"/>
  <c r="U352" i="29"/>
  <c r="U61" i="29"/>
  <c r="U182" i="29"/>
  <c r="U158" i="29"/>
  <c r="U73" i="29"/>
  <c r="U157" i="29"/>
  <c r="U146" i="29"/>
  <c r="U82" i="29"/>
  <c r="U97" i="29"/>
  <c r="U55" i="29"/>
  <c r="U397" i="29"/>
  <c r="U65" i="29"/>
  <c r="U107" i="29"/>
  <c r="U108" i="29"/>
  <c r="U47" i="29"/>
  <c r="U439" i="29"/>
  <c r="U426" i="29"/>
  <c r="U355" i="29"/>
  <c r="U118" i="29"/>
  <c r="U470" i="29"/>
  <c r="U346" i="29"/>
  <c r="U365" i="29"/>
  <c r="U246" i="29"/>
  <c r="U7" i="29"/>
  <c r="U116" i="29"/>
  <c r="U443" i="29"/>
  <c r="U446" i="29"/>
  <c r="U142" i="29"/>
  <c r="U438" i="29"/>
  <c r="U288" i="29"/>
  <c r="U432" i="29"/>
  <c r="U91" i="29"/>
  <c r="U351" i="29"/>
  <c r="U299" i="29"/>
  <c r="U237" i="29"/>
  <c r="U456" i="29"/>
  <c r="U272" i="29"/>
  <c r="U477" i="29"/>
  <c r="U431" i="29"/>
  <c r="U22" i="29"/>
  <c r="U46" i="29"/>
  <c r="U102" i="29"/>
  <c r="U259" i="29"/>
  <c r="U384" i="29"/>
  <c r="U59" i="29"/>
  <c r="U38" i="29"/>
  <c r="U382" i="29"/>
  <c r="U114" i="29"/>
  <c r="U161" i="29"/>
  <c r="U19" i="29"/>
  <c r="U26" i="29"/>
  <c r="U406" i="29"/>
  <c r="U286" i="29"/>
  <c r="U350" i="29"/>
  <c r="U320" i="29"/>
  <c r="U458" i="29"/>
  <c r="U345" i="29"/>
  <c r="U293" i="29"/>
  <c r="U148" i="29"/>
  <c r="U478" i="29"/>
  <c r="U400" i="29"/>
  <c r="U386" i="29"/>
  <c r="U63" i="29"/>
  <c r="U393" i="29"/>
  <c r="U302" i="29"/>
  <c r="U11" i="29"/>
  <c r="U122" i="29"/>
  <c r="U137" i="29"/>
  <c r="U30" i="29"/>
  <c r="U275" i="29"/>
  <c r="U441" i="29"/>
  <c r="U444" i="29"/>
  <c r="U326" i="29"/>
  <c r="U230" i="29"/>
  <c r="U78" i="29"/>
  <c r="U95" i="29"/>
  <c r="U167" i="29"/>
  <c r="U341" i="29"/>
  <c r="U418" i="29"/>
  <c r="U200" i="29"/>
  <c r="U324" i="29"/>
  <c r="U52" i="29"/>
  <c r="U277" i="29"/>
  <c r="U376" i="29"/>
  <c r="U159" i="29"/>
  <c r="U307" i="29"/>
  <c r="U120" i="29"/>
  <c r="U419" i="29"/>
  <c r="U487" i="29"/>
  <c r="U295" i="29"/>
  <c r="U294" i="29"/>
  <c r="U420" i="29"/>
  <c r="U375" i="29"/>
  <c r="U405" i="29"/>
  <c r="U385" i="29"/>
  <c r="U371" i="29"/>
  <c r="U226" i="29"/>
  <c r="U180" i="29"/>
  <c r="U479" i="29"/>
  <c r="U110" i="29"/>
  <c r="U313" i="29"/>
  <c r="U476" i="29"/>
  <c r="U33" i="29"/>
  <c r="U199" i="29"/>
  <c r="U193" i="29"/>
  <c r="U475" i="29"/>
  <c r="U471" i="29"/>
  <c r="U258" i="29"/>
  <c r="U196" i="29"/>
  <c r="U93" i="29"/>
  <c r="U183" i="29"/>
  <c r="U261" i="29"/>
  <c r="U94" i="29"/>
  <c r="U349" i="29"/>
  <c r="U392" i="29"/>
  <c r="U370" i="29"/>
  <c r="U359" i="29"/>
  <c r="U113" i="29"/>
  <c r="U37" i="29"/>
  <c r="U98" i="29"/>
  <c r="U207" i="29"/>
  <c r="U128" i="29"/>
  <c r="U338" i="29"/>
  <c r="U428" i="29"/>
  <c r="U136" i="29"/>
  <c r="U206" i="29"/>
  <c r="U233" i="29"/>
  <c r="U29" i="29"/>
  <c r="U88" i="29"/>
  <c r="U16" i="29"/>
  <c r="U253" i="29"/>
  <c r="U256" i="29"/>
  <c r="U229" i="29"/>
  <c r="U480" i="29"/>
  <c r="U221" i="29"/>
  <c r="U160" i="29"/>
  <c r="U5" i="29"/>
  <c r="U188" i="29"/>
  <c r="U204" i="29"/>
  <c r="U306" i="29"/>
  <c r="U331" i="29"/>
  <c r="U106" i="29"/>
  <c r="U282" i="29"/>
  <c r="U380" i="29"/>
  <c r="U21" i="29"/>
  <c r="U170" i="29"/>
  <c r="U255" i="29"/>
  <c r="U14" i="29"/>
  <c r="U67" i="29"/>
  <c r="U234" i="29"/>
  <c r="U344" i="29"/>
  <c r="U152" i="29"/>
  <c r="U445" i="29"/>
  <c r="U25" i="29"/>
  <c r="U389" i="29"/>
  <c r="U190" i="29"/>
  <c r="U166" i="29"/>
  <c r="U81" i="29"/>
  <c r="U367" i="29"/>
  <c r="U396" i="29"/>
  <c r="U99" i="29"/>
  <c r="U291" i="29"/>
  <c r="U414" i="29"/>
  <c r="U169" i="29"/>
  <c r="U232" i="29"/>
  <c r="U366" i="29"/>
  <c r="U153" i="29"/>
  <c r="U135" i="29"/>
  <c r="U60" i="29"/>
  <c r="U51" i="29"/>
  <c r="U440" i="29"/>
  <c r="U360" i="29"/>
  <c r="U203" i="29"/>
  <c r="U407" i="29"/>
  <c r="U50" i="29"/>
  <c r="U13" i="29"/>
  <c r="U395" i="29"/>
  <c r="U216" i="29"/>
  <c r="U486" i="29"/>
  <c r="U125" i="29"/>
  <c r="U311" i="29"/>
  <c r="U410" i="29"/>
  <c r="U390" i="29"/>
  <c r="U257" i="29"/>
  <c r="U340" i="29"/>
  <c r="U202" i="29"/>
  <c r="U482" i="29"/>
  <c r="U451" i="29"/>
  <c r="U263" i="29"/>
  <c r="U425" i="29"/>
  <c r="U156" i="29"/>
  <c r="U74" i="29"/>
  <c r="U189" i="29"/>
  <c r="U427" i="29"/>
  <c r="U187" i="29"/>
  <c r="U276" i="29"/>
  <c r="U335" i="29"/>
  <c r="U472" i="29"/>
  <c r="U362" i="29"/>
  <c r="U212" i="29"/>
  <c r="U336" i="29"/>
  <c r="U329" i="29"/>
  <c r="U103" i="29"/>
  <c r="U454" i="29"/>
  <c r="U348" i="29"/>
  <c r="U76" i="29"/>
  <c r="U373" i="29"/>
  <c r="U249" i="29"/>
  <c r="U383" i="29"/>
  <c r="U224" i="29"/>
  <c r="U45" i="29"/>
  <c r="U412" i="29"/>
  <c r="U452" i="29"/>
  <c r="U251" i="29"/>
  <c r="U283" i="29"/>
  <c r="U271" i="29"/>
  <c r="U265" i="29"/>
  <c r="U264" i="29"/>
  <c r="U119" i="29"/>
  <c r="U147" i="29"/>
  <c r="U179" i="29"/>
  <c r="U210" i="29"/>
  <c r="U87" i="29"/>
  <c r="U242" i="29"/>
  <c r="U133" i="29"/>
  <c r="U198" i="29"/>
  <c r="U463" i="29"/>
  <c r="U378" i="29"/>
  <c r="U481" i="29"/>
  <c r="U4" i="29"/>
  <c r="U101" i="29"/>
  <c r="U434" i="29"/>
  <c r="U215" i="29"/>
  <c r="U235" i="29"/>
  <c r="U357" i="29"/>
  <c r="U20" i="29"/>
  <c r="U105" i="29"/>
  <c r="U455" i="29"/>
  <c r="U266" i="29"/>
  <c r="U220" i="29"/>
  <c r="U318" i="29"/>
  <c r="U43" i="29"/>
  <c r="U197" i="29"/>
  <c r="U280" i="29"/>
  <c r="U413" i="29"/>
  <c r="U317" i="29"/>
  <c r="U377" i="29"/>
  <c r="U243" i="29"/>
  <c r="U467" i="29"/>
  <c r="U401" i="29"/>
  <c r="U387" i="29"/>
  <c r="U449" i="29"/>
  <c r="U84" i="29"/>
  <c r="U194" i="29"/>
  <c r="U403" i="29"/>
  <c r="U241" i="29"/>
  <c r="U104" i="29"/>
  <c r="U332" i="29"/>
  <c r="U40" i="29"/>
  <c r="U211" i="29"/>
  <c r="U394" i="29"/>
  <c r="U42" i="29"/>
  <c r="U268" i="29"/>
  <c r="U126" i="29"/>
  <c r="U124" i="29"/>
  <c r="U245" i="29"/>
  <c r="U250" i="29"/>
  <c r="U284" i="29"/>
  <c r="U90" i="29"/>
  <c r="U292" i="29"/>
  <c r="U172" i="29"/>
  <c r="U15" i="29"/>
  <c r="U464" i="29"/>
  <c r="U269" i="29"/>
  <c r="U12" i="29"/>
  <c r="U483" i="29"/>
  <c r="U23" i="29"/>
  <c r="U485" i="29"/>
  <c r="U56" i="29"/>
  <c r="U117" i="29"/>
  <c r="U150" i="29"/>
  <c r="U176" i="29"/>
  <c r="U391" i="29"/>
  <c r="U222" i="29"/>
  <c r="U85" i="29"/>
  <c r="U219" i="29"/>
  <c r="U115" i="29"/>
  <c r="U111" i="29"/>
  <c r="U303" i="29"/>
  <c r="U473" i="29"/>
  <c r="U423" i="29"/>
  <c r="U209" i="29"/>
  <c r="U421" i="29"/>
  <c r="U379" i="29"/>
  <c r="U361" i="29"/>
  <c r="U162" i="29"/>
  <c r="U402" i="29"/>
  <c r="U461" i="29"/>
  <c r="U192" i="29"/>
  <c r="U300" i="29"/>
  <c r="U143" i="29"/>
  <c r="U363" i="29"/>
  <c r="U89" i="29"/>
  <c r="U415" i="29"/>
  <c r="U260" i="29"/>
  <c r="U27" i="29"/>
  <c r="U71" i="29"/>
  <c r="U447" i="29"/>
  <c r="U409" i="29"/>
  <c r="U213" i="29"/>
  <c r="U165" i="29"/>
  <c r="U68" i="29"/>
  <c r="U53" i="29"/>
  <c r="U252" i="29"/>
  <c r="U123" i="29"/>
  <c r="U129" i="29"/>
  <c r="U442" i="29"/>
  <c r="U356" i="29"/>
  <c r="U297" i="29"/>
  <c r="U321" i="29"/>
  <c r="U18" i="29"/>
  <c r="U185" i="29"/>
  <c r="U178" i="29"/>
  <c r="U309" i="29"/>
  <c r="U469" i="29"/>
  <c r="U325" i="29"/>
  <c r="U151" i="29"/>
  <c r="U238" i="29"/>
  <c r="U381" i="29"/>
  <c r="U54" i="29"/>
  <c r="U175" i="29"/>
  <c r="U308" i="29"/>
  <c r="U460" i="29"/>
  <c r="U149" i="29"/>
  <c r="U79" i="29"/>
  <c r="U459" i="29"/>
  <c r="U316" i="29"/>
  <c r="U323" i="29"/>
  <c r="U227" i="29"/>
  <c r="U83" i="29"/>
  <c r="U436" i="29"/>
  <c r="U36" i="29"/>
  <c r="U164" i="29"/>
  <c r="U131" i="29"/>
  <c r="U404" i="29"/>
  <c r="U140" i="29"/>
  <c r="U80" i="29"/>
  <c r="U177" i="29"/>
  <c r="U34" i="29"/>
  <c r="U231" i="29"/>
  <c r="U347" i="29"/>
  <c r="U154" i="29"/>
  <c r="U435" i="29"/>
  <c r="U236" i="29"/>
  <c r="U24" i="29"/>
  <c r="U191" i="29"/>
  <c r="U17" i="29"/>
  <c r="U358" i="29"/>
  <c r="U408" i="29"/>
  <c r="U201" i="29"/>
  <c r="U186" i="29"/>
  <c r="U41" i="29"/>
  <c r="U225" i="29"/>
  <c r="U168" i="29"/>
  <c r="U289" i="29"/>
  <c r="U96" i="29"/>
  <c r="U57" i="29"/>
  <c r="U173" i="29"/>
  <c r="U353" i="29"/>
  <c r="U298" i="29"/>
  <c r="U223" i="29"/>
  <c r="U281" i="29"/>
  <c r="U457" i="29"/>
  <c r="U130" i="29"/>
  <c r="U422" i="29"/>
  <c r="U127" i="29"/>
  <c r="U28" i="29"/>
  <c r="U301" i="29"/>
  <c r="U374" i="29"/>
  <c r="U312" i="29"/>
  <c r="U228" i="29"/>
  <c r="U304" i="29"/>
  <c r="U171" i="29"/>
  <c r="U328" i="29"/>
  <c r="U333" i="29"/>
  <c r="U181" i="29"/>
  <c r="U58" i="29"/>
  <c r="U285" i="29"/>
  <c r="U66" i="29"/>
  <c r="U184" i="29"/>
  <c r="U239" i="29"/>
  <c r="U450" i="29"/>
  <c r="U145" i="29"/>
  <c r="U218" i="29"/>
  <c r="U35" i="29"/>
  <c r="U134" i="29"/>
  <c r="U468" i="29"/>
  <c r="U48" i="29"/>
  <c r="U39" i="29"/>
  <c r="U372" i="29"/>
  <c r="U474" i="29"/>
  <c r="U466" i="29"/>
  <c r="U339" i="29"/>
  <c r="U343" i="29"/>
  <c r="U274" i="29"/>
  <c r="U319" i="29"/>
  <c r="U290" i="29"/>
  <c r="U430" i="29"/>
  <c r="U138" i="29"/>
  <c r="U217" i="29"/>
  <c r="U310" i="29"/>
  <c r="U244" i="29"/>
  <c r="U388" i="29"/>
  <c r="U141" i="29"/>
  <c r="U342" i="29"/>
  <c r="U132" i="29"/>
  <c r="U424" i="29"/>
  <c r="U77" i="29"/>
  <c r="U279" i="29"/>
  <c r="U240" i="29"/>
  <c r="U305" i="29"/>
  <c r="U214" i="29"/>
  <c r="U369" i="29"/>
  <c r="U462" i="29"/>
  <c r="U273" i="29"/>
  <c r="U10" i="29"/>
  <c r="U62" i="29"/>
  <c r="U139" i="29"/>
  <c r="U8" i="29"/>
  <c r="U69" i="29"/>
  <c r="U278" i="29"/>
  <c r="U49" i="29"/>
  <c r="U270" i="29"/>
  <c r="U453" i="29"/>
  <c r="U411" i="29"/>
  <c r="U287" i="29"/>
  <c r="U399" i="29"/>
  <c r="U429" i="29"/>
  <c r="U109" i="29"/>
  <c r="U174" i="29"/>
  <c r="U465" i="29"/>
  <c r="U315" i="29"/>
  <c r="U364" i="29"/>
  <c r="U32" i="29"/>
  <c r="U9" i="29"/>
  <c r="U100" i="29"/>
  <c r="C176" i="2" l="1"/>
  <c r="C322" i="29" l="1"/>
  <c r="C475" i="29" l="1"/>
  <c r="A1" i="35" l="1"/>
  <c r="C399" i="29"/>
  <c r="C400" i="29"/>
  <c r="C483" i="29"/>
  <c r="C484" i="29"/>
  <c r="C11" i="1" l="1"/>
  <c r="C33" i="29"/>
  <c r="C32" i="29"/>
  <c r="C31" i="29"/>
  <c r="C30" i="29"/>
  <c r="C29" i="29"/>
  <c r="C28" i="29"/>
  <c r="C27" i="29"/>
  <c r="C26" i="29"/>
  <c r="C25" i="29"/>
  <c r="C24" i="29"/>
  <c r="C23" i="29"/>
  <c r="C12" i="29"/>
  <c r="C5" i="29"/>
  <c r="C401" i="29"/>
  <c r="C34" i="29"/>
  <c r="B4" i="39" l="1"/>
  <c r="C4" i="39"/>
  <c r="C135" i="2"/>
  <c r="C393" i="29"/>
  <c r="C394" i="29"/>
  <c r="C485" i="29"/>
  <c r="C395" i="29"/>
  <c r="C396" i="29"/>
  <c r="C397" i="29"/>
  <c r="C4" i="38" l="1"/>
  <c r="B4" i="38" l="1"/>
  <c r="U4" i="38"/>
  <c r="C204" i="5" l="1"/>
  <c r="C203" i="5"/>
  <c r="C202" i="5"/>
  <c r="C201" i="5"/>
  <c r="C197" i="5"/>
  <c r="C198" i="5"/>
  <c r="C200" i="5"/>
  <c r="C196" i="5"/>
  <c r="C195" i="5"/>
  <c r="C194" i="5"/>
  <c r="C193" i="5"/>
  <c r="C192" i="5"/>
  <c r="C191" i="5"/>
  <c r="C190" i="5"/>
  <c r="C189" i="5"/>
  <c r="C188" i="5"/>
  <c r="C187" i="5"/>
  <c r="C186" i="5"/>
  <c r="C185" i="5"/>
  <c r="C184" i="5"/>
  <c r="C183" i="5"/>
  <c r="C182" i="5"/>
  <c r="C181" i="5"/>
  <c r="C180" i="5"/>
  <c r="C179" i="5"/>
  <c r="C178" i="5"/>
  <c r="C177" i="5"/>
  <c r="C176" i="5"/>
  <c r="C175" i="5"/>
  <c r="C174" i="5"/>
  <c r="C173" i="5"/>
  <c r="C172" i="5"/>
  <c r="C171" i="5"/>
  <c r="C170" i="5"/>
  <c r="C169" i="5"/>
  <c r="C168"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99"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C28" i="4"/>
  <c r="C27" i="4"/>
  <c r="C26" i="4"/>
  <c r="C25" i="4"/>
  <c r="C24" i="4"/>
  <c r="C23" i="4"/>
  <c r="C22" i="4"/>
  <c r="C21" i="4"/>
  <c r="C20" i="4"/>
  <c r="C19" i="4"/>
  <c r="C18" i="4"/>
  <c r="C17" i="4"/>
  <c r="C16" i="4"/>
  <c r="C15" i="4"/>
  <c r="C14" i="4"/>
  <c r="C13" i="4"/>
  <c r="C12" i="4"/>
  <c r="C11" i="4"/>
  <c r="C10" i="4"/>
  <c r="C9" i="4"/>
  <c r="C8" i="4"/>
  <c r="C7" i="4"/>
  <c r="C6" i="4"/>
  <c r="C5" i="4"/>
  <c r="C4" i="4"/>
  <c r="C22" i="29"/>
  <c r="C21" i="29"/>
  <c r="C20" i="29"/>
  <c r="C19" i="29"/>
  <c r="C18" i="29"/>
  <c r="C17" i="29"/>
  <c r="C16" i="29"/>
  <c r="C15" i="29"/>
  <c r="C14" i="29"/>
  <c r="C13" i="29"/>
  <c r="C11" i="29"/>
  <c r="C10" i="29"/>
  <c r="C9" i="29"/>
  <c r="C8" i="29"/>
  <c r="C7" i="29"/>
  <c r="C6" i="29"/>
  <c r="C198" i="2"/>
  <c r="C197" i="2"/>
  <c r="C196" i="2"/>
  <c r="C195" i="2"/>
  <c r="C194" i="2"/>
  <c r="C193" i="2"/>
  <c r="C192" i="2"/>
  <c r="C191" i="2"/>
  <c r="C190" i="2"/>
  <c r="C189" i="2"/>
  <c r="C188" i="2"/>
  <c r="C187" i="2"/>
  <c r="C186" i="2"/>
  <c r="C185" i="2"/>
  <c r="C184" i="2"/>
  <c r="C183" i="2"/>
  <c r="C182" i="2"/>
  <c r="C181" i="2"/>
  <c r="C180" i="2"/>
  <c r="C179" i="2"/>
  <c r="C178" i="2"/>
  <c r="C177" i="2"/>
  <c r="C174" i="2"/>
  <c r="C173" i="2"/>
  <c r="C172" i="2"/>
  <c r="C171" i="2"/>
  <c r="C170" i="2"/>
  <c r="C169" i="2"/>
  <c r="C168" i="2"/>
  <c r="C167" i="2"/>
  <c r="C166" i="2"/>
  <c r="C165" i="2"/>
  <c r="C164" i="2"/>
  <c r="C163" i="2"/>
  <c r="C162" i="2"/>
  <c r="C161" i="2"/>
  <c r="C160" i="2"/>
  <c r="C159" i="2"/>
  <c r="C158" i="2"/>
  <c r="C157" i="2"/>
  <c r="C156" i="2"/>
  <c r="C155" i="2"/>
  <c r="C154" i="2"/>
  <c r="C153" i="2"/>
  <c r="C152" i="2"/>
  <c r="C151" i="2"/>
  <c r="C150" i="2"/>
  <c r="C149" i="2"/>
  <c r="C148" i="2"/>
  <c r="C147" i="2"/>
  <c r="C146" i="2"/>
  <c r="C145" i="2"/>
  <c r="C144" i="2"/>
  <c r="C143" i="2"/>
  <c r="C142" i="2"/>
  <c r="C141" i="2"/>
  <c r="C140" i="2"/>
  <c r="C139" i="2"/>
  <c r="C138" i="2"/>
  <c r="C137" i="2"/>
  <c r="C136" i="2"/>
  <c r="C175" i="2"/>
  <c r="C133" i="2"/>
  <c r="C132" i="2"/>
  <c r="C131" i="2"/>
  <c r="C130" i="2"/>
  <c r="C129" i="2"/>
  <c r="C128" i="2"/>
  <c r="C127" i="2"/>
  <c r="C126" i="2"/>
  <c r="C125" i="2"/>
  <c r="C124" i="2"/>
  <c r="C123" i="2"/>
  <c r="C122" i="2"/>
  <c r="C121" i="2"/>
  <c r="C120" i="2"/>
  <c r="C119" i="2"/>
  <c r="C118" i="2"/>
  <c r="C117" i="2"/>
  <c r="C116" i="2"/>
  <c r="C115" i="2"/>
  <c r="C114" i="2"/>
  <c r="C113" i="2"/>
  <c r="C112" i="2"/>
  <c r="C111" i="2"/>
  <c r="C110" i="2"/>
  <c r="C109" i="2"/>
  <c r="C108" i="2"/>
  <c r="C107" i="2"/>
  <c r="C106" i="2"/>
  <c r="C105" i="2"/>
  <c r="C104" i="2"/>
  <c r="C103" i="2"/>
  <c r="C102" i="2"/>
  <c r="C101" i="2"/>
  <c r="C100" i="2"/>
  <c r="C99" i="2"/>
  <c r="C98" i="2"/>
  <c r="C97" i="2"/>
  <c r="C96" i="2"/>
  <c r="C95" i="2"/>
  <c r="C94" i="2"/>
  <c r="C93" i="2"/>
  <c r="C92" i="2"/>
  <c r="C91" i="2"/>
  <c r="C90" i="2"/>
  <c r="C89" i="2"/>
  <c r="C88" i="2"/>
  <c r="C87" i="2"/>
  <c r="C86" i="2"/>
  <c r="C85" i="2"/>
  <c r="C84" i="2"/>
  <c r="C83" i="2"/>
  <c r="C82" i="2"/>
  <c r="C81" i="2"/>
  <c r="C80" i="2"/>
  <c r="C79" i="2"/>
  <c r="C78" i="2"/>
  <c r="C77" i="2"/>
  <c r="C76" i="2"/>
  <c r="C75" i="2"/>
  <c r="C74" i="2"/>
  <c r="C73" i="2"/>
  <c r="C72" i="2"/>
  <c r="C71" i="2"/>
  <c r="C70" i="2"/>
  <c r="C69" i="2"/>
  <c r="C68" i="2"/>
  <c r="C67" i="2"/>
  <c r="C66" i="2"/>
  <c r="C65" i="2"/>
  <c r="C64" i="2"/>
  <c r="C63" i="2"/>
  <c r="C62" i="2"/>
  <c r="C61" i="2"/>
  <c r="C60" i="2"/>
  <c r="C59" i="2"/>
  <c r="C58" i="2"/>
  <c r="C57" i="2"/>
  <c r="C56" i="2"/>
  <c r="C55" i="2"/>
  <c r="C54" i="2"/>
  <c r="C53" i="2"/>
  <c r="C52" i="2"/>
  <c r="C51" i="2"/>
  <c r="C50" i="2"/>
  <c r="C49" i="2"/>
  <c r="C48" i="2"/>
  <c r="C47" i="2"/>
  <c r="C46" i="2"/>
  <c r="C45" i="2"/>
  <c r="C44" i="2"/>
  <c r="C43" i="2"/>
  <c r="C42" i="2"/>
  <c r="C41" i="2"/>
  <c r="C40" i="2"/>
  <c r="C39" i="2"/>
  <c r="C38" i="2"/>
  <c r="C37" i="2"/>
  <c r="C36" i="2"/>
  <c r="C35" i="2"/>
  <c r="C34" i="2"/>
  <c r="C33" i="2"/>
  <c r="C32" i="2"/>
  <c r="C31" i="2"/>
  <c r="C30" i="2"/>
  <c r="C29" i="2"/>
  <c r="C28" i="2"/>
  <c r="C27" i="2"/>
  <c r="C26" i="2"/>
  <c r="C25" i="2"/>
  <c r="C24" i="2"/>
  <c r="C23" i="2"/>
  <c r="C22" i="2"/>
  <c r="C21" i="2"/>
  <c r="C20" i="2"/>
  <c r="C19" i="2"/>
  <c r="C18" i="2"/>
  <c r="C17" i="2"/>
  <c r="C16" i="2"/>
  <c r="C15" i="2"/>
  <c r="C14" i="2"/>
  <c r="C13" i="2"/>
  <c r="C12" i="2"/>
  <c r="C11" i="2"/>
  <c r="C10" i="2"/>
  <c r="C9" i="2"/>
  <c r="C8" i="2"/>
  <c r="C7" i="2"/>
  <c r="C6" i="2"/>
  <c r="C5" i="2"/>
  <c r="C4" i="2"/>
  <c r="B15" i="39" l="1"/>
  <c r="C15" i="39"/>
  <c r="B16" i="39"/>
  <c r="C16" i="39"/>
  <c r="B17" i="39"/>
  <c r="C17" i="39"/>
  <c r="B18" i="39"/>
  <c r="C18" i="39"/>
  <c r="B19" i="39"/>
  <c r="C19" i="39"/>
  <c r="B20" i="39"/>
  <c r="C20" i="39"/>
  <c r="B5" i="39"/>
  <c r="C5" i="39"/>
  <c r="B21" i="39"/>
  <c r="C21" i="39"/>
  <c r="B22" i="39"/>
  <c r="C22" i="39"/>
  <c r="C4" i="1"/>
  <c r="C5" i="1"/>
  <c r="C6" i="1"/>
  <c r="C7" i="1"/>
  <c r="C8" i="1"/>
  <c r="C9" i="1"/>
  <c r="C10" i="1"/>
  <c r="C12" i="1"/>
  <c r="C13" i="1"/>
  <c r="C14" i="1"/>
  <c r="C15" i="1"/>
  <c r="C16" i="1"/>
  <c r="C17" i="1"/>
  <c r="C18" i="1"/>
  <c r="C321" i="29"/>
  <c r="C478" i="29"/>
  <c r="C477" i="29"/>
  <c r="C476" i="29"/>
  <c r="C474" i="29"/>
  <c r="C473" i="29"/>
  <c r="C472" i="29"/>
  <c r="C471" i="29"/>
  <c r="C470" i="29"/>
  <c r="C469" i="29"/>
  <c r="C468" i="29"/>
  <c r="C467" i="29"/>
  <c r="C466" i="29"/>
  <c r="C465" i="29"/>
  <c r="C464" i="29"/>
  <c r="C463" i="29"/>
  <c r="C462" i="29"/>
  <c r="C461" i="29"/>
  <c r="C460" i="29"/>
  <c r="C459" i="29"/>
  <c r="C458" i="29"/>
  <c r="C457" i="29"/>
  <c r="C456" i="29"/>
  <c r="C455" i="29"/>
  <c r="C454" i="29"/>
  <c r="C453" i="29"/>
  <c r="C452" i="29"/>
  <c r="C451" i="29"/>
  <c r="C450" i="29"/>
  <c r="C449" i="29"/>
  <c r="C448" i="29"/>
  <c r="C447" i="29"/>
  <c r="C446" i="29"/>
  <c r="C445" i="29"/>
  <c r="C444" i="29"/>
  <c r="C443" i="29"/>
  <c r="C442" i="29"/>
  <c r="C441" i="29"/>
  <c r="C440" i="29"/>
  <c r="C439" i="29"/>
  <c r="C438" i="29"/>
  <c r="C437" i="29"/>
  <c r="C436" i="29"/>
  <c r="C435" i="29"/>
  <c r="C434" i="29"/>
  <c r="C433" i="29"/>
  <c r="C432" i="29"/>
  <c r="C431" i="29"/>
  <c r="C430" i="29"/>
  <c r="C429" i="29"/>
  <c r="C428" i="29"/>
  <c r="C427" i="29"/>
  <c r="C426" i="29"/>
  <c r="C425" i="29"/>
  <c r="C424" i="29"/>
  <c r="C423" i="29"/>
  <c r="C422" i="29"/>
  <c r="C421" i="29"/>
  <c r="C420" i="29"/>
  <c r="C419" i="29"/>
  <c r="C418" i="29"/>
  <c r="C417" i="29"/>
  <c r="C416" i="29"/>
  <c r="C415" i="29"/>
  <c r="C414" i="29"/>
  <c r="C413" i="29"/>
  <c r="C412" i="29"/>
  <c r="C411" i="29"/>
  <c r="C410" i="29"/>
  <c r="C409" i="29"/>
  <c r="C408" i="29"/>
  <c r="C407" i="29"/>
  <c r="C406" i="29"/>
  <c r="C405" i="29"/>
  <c r="C404" i="29"/>
  <c r="C403" i="29"/>
  <c r="C392" i="29"/>
  <c r="C391" i="29"/>
  <c r="C390" i="29"/>
  <c r="C389" i="29"/>
  <c r="C388" i="29"/>
  <c r="C387" i="29"/>
  <c r="C386" i="29"/>
  <c r="C385" i="29"/>
  <c r="C384" i="29"/>
  <c r="C383" i="29"/>
  <c r="C382" i="29"/>
  <c r="C381" i="29"/>
  <c r="C380" i="29"/>
  <c r="C379" i="29"/>
  <c r="C378" i="29"/>
  <c r="C377" i="29"/>
  <c r="C376" i="29"/>
  <c r="C375" i="29"/>
  <c r="C374" i="29"/>
  <c r="C373" i="29"/>
  <c r="C372" i="29"/>
  <c r="C371" i="29"/>
  <c r="C370" i="29"/>
  <c r="C369" i="29"/>
  <c r="C368" i="29"/>
  <c r="C367" i="29"/>
  <c r="C366" i="29"/>
  <c r="C365" i="29"/>
  <c r="C364" i="29"/>
  <c r="C363" i="29"/>
  <c r="C362" i="29"/>
  <c r="C361" i="29"/>
  <c r="C360" i="29"/>
  <c r="C359" i="29"/>
  <c r="C358" i="29"/>
  <c r="C357" i="29"/>
  <c r="C356" i="29"/>
  <c r="C355" i="29"/>
  <c r="C354" i="29"/>
  <c r="C353" i="29"/>
  <c r="C352" i="29"/>
  <c r="C351" i="29"/>
  <c r="C350" i="29"/>
  <c r="C349" i="29"/>
  <c r="C348" i="29"/>
  <c r="C347" i="29"/>
  <c r="C346" i="29"/>
  <c r="C345" i="29"/>
  <c r="C344" i="29"/>
  <c r="C343" i="29"/>
  <c r="C342" i="29"/>
  <c r="C341" i="29"/>
  <c r="C4" i="29"/>
  <c r="C340" i="29"/>
  <c r="C339" i="29"/>
  <c r="C338" i="29"/>
  <c r="C337" i="29"/>
  <c r="C336" i="29"/>
  <c r="C335" i="29"/>
  <c r="C334" i="29"/>
  <c r="C333" i="29"/>
  <c r="C332" i="29"/>
  <c r="C331" i="29"/>
  <c r="C330" i="29"/>
  <c r="C329" i="29"/>
  <c r="C328" i="29"/>
  <c r="C482" i="29"/>
  <c r="C327" i="29"/>
  <c r="C326" i="29"/>
  <c r="C325" i="29"/>
  <c r="C324" i="29"/>
  <c r="C323" i="29"/>
  <c r="C319" i="29"/>
  <c r="C318" i="29"/>
  <c r="C317" i="29"/>
  <c r="C316" i="29"/>
  <c r="C315" i="29"/>
  <c r="C314" i="29"/>
  <c r="C313" i="29"/>
  <c r="C312" i="29"/>
  <c r="C311" i="29"/>
  <c r="C310" i="29"/>
  <c r="C309" i="29"/>
  <c r="C308" i="29"/>
  <c r="C307" i="29"/>
  <c r="C306" i="29"/>
  <c r="C305" i="29"/>
  <c r="C304" i="29"/>
  <c r="C303" i="29"/>
  <c r="C302" i="29"/>
  <c r="C301" i="29"/>
  <c r="C300" i="29"/>
  <c r="C299" i="29"/>
  <c r="C298" i="29"/>
  <c r="C297" i="29"/>
  <c r="C296" i="29"/>
  <c r="C295" i="29"/>
  <c r="C294" i="29"/>
  <c r="C293" i="29"/>
  <c r="C292" i="29"/>
  <c r="C291" i="29"/>
  <c r="C290" i="29"/>
  <c r="C289" i="29"/>
  <c r="C288" i="29"/>
  <c r="C287" i="29"/>
  <c r="C286" i="29"/>
  <c r="C285" i="29"/>
  <c r="C284" i="29"/>
  <c r="C283" i="29"/>
  <c r="C282" i="29"/>
  <c r="C281" i="29"/>
  <c r="C280" i="29"/>
  <c r="C279" i="29"/>
  <c r="C278" i="29"/>
  <c r="C277" i="29"/>
  <c r="C276" i="29"/>
  <c r="C275" i="29"/>
  <c r="C274" i="29"/>
  <c r="C273" i="29"/>
  <c r="C272" i="29"/>
  <c r="C271" i="29"/>
  <c r="C270" i="29"/>
  <c r="C269" i="29"/>
  <c r="C268" i="29"/>
  <c r="C267" i="29"/>
  <c r="C266" i="29"/>
  <c r="C265" i="29"/>
  <c r="C264" i="29"/>
  <c r="C263" i="29"/>
  <c r="C262" i="29"/>
  <c r="C261" i="29"/>
  <c r="C260" i="29"/>
  <c r="C259" i="29"/>
  <c r="C258" i="29"/>
  <c r="C257" i="29"/>
  <c r="C256" i="29"/>
  <c r="C255" i="29"/>
  <c r="C254" i="29"/>
  <c r="C253" i="29"/>
  <c r="C252" i="29"/>
  <c r="C251" i="29"/>
  <c r="C250" i="29"/>
  <c r="C249" i="29"/>
  <c r="C248" i="29"/>
  <c r="C247" i="29"/>
  <c r="C246" i="29"/>
  <c r="C245" i="29"/>
  <c r="C244" i="29"/>
  <c r="C243" i="29"/>
  <c r="C242" i="29"/>
  <c r="C241" i="29"/>
  <c r="C240" i="29"/>
  <c r="C239" i="29"/>
  <c r="C238" i="29"/>
  <c r="C237" i="29"/>
  <c r="C236" i="29"/>
  <c r="C235" i="29"/>
  <c r="C234" i="29"/>
  <c r="C233" i="29"/>
  <c r="C232" i="29"/>
  <c r="C231" i="29"/>
  <c r="C230" i="29"/>
  <c r="C229" i="29"/>
  <c r="C228" i="29"/>
  <c r="C227" i="29"/>
  <c r="C226" i="29"/>
  <c r="C225" i="29"/>
  <c r="C224" i="29"/>
  <c r="C223" i="29"/>
  <c r="C222" i="29"/>
  <c r="C221" i="29"/>
  <c r="C220" i="29"/>
  <c r="C219" i="29"/>
  <c r="C218" i="29"/>
  <c r="C217" i="29"/>
  <c r="C216" i="29"/>
  <c r="C215" i="29"/>
  <c r="C214" i="29"/>
  <c r="C213" i="29"/>
  <c r="C212" i="29"/>
  <c r="C211" i="29"/>
  <c r="C210" i="29"/>
  <c r="C209" i="29"/>
  <c r="C208" i="29"/>
  <c r="C207" i="29"/>
  <c r="C206" i="29"/>
  <c r="C205" i="29"/>
  <c r="C204" i="29"/>
  <c r="C203" i="29"/>
  <c r="C202" i="29"/>
  <c r="C201" i="29"/>
  <c r="C200" i="29"/>
  <c r="C199" i="29"/>
  <c r="C198" i="29"/>
  <c r="C197" i="29"/>
  <c r="C196" i="29"/>
  <c r="C195" i="29"/>
  <c r="C194" i="29"/>
  <c r="C193" i="29"/>
  <c r="C192" i="29"/>
  <c r="C191" i="29"/>
  <c r="C190" i="29"/>
  <c r="C189" i="29"/>
  <c r="C188" i="29"/>
  <c r="C187" i="29"/>
  <c r="C186" i="29"/>
  <c r="C185" i="29"/>
  <c r="C184" i="29"/>
  <c r="C183" i="29"/>
  <c r="C182" i="29"/>
  <c r="C181" i="29"/>
  <c r="C180" i="29"/>
  <c r="C179" i="29"/>
  <c r="C178" i="29"/>
  <c r="C177" i="29"/>
  <c r="C176" i="29"/>
  <c r="C175" i="29"/>
  <c r="C174" i="29"/>
  <c r="C173" i="29"/>
  <c r="C172" i="29"/>
  <c r="C171" i="29"/>
  <c r="C170" i="29"/>
  <c r="C169" i="29"/>
  <c r="C168" i="29"/>
  <c r="C167" i="29"/>
  <c r="C166" i="29"/>
  <c r="C165" i="29"/>
  <c r="C164" i="29"/>
  <c r="C163" i="29"/>
  <c r="C162" i="29"/>
  <c r="C161" i="29"/>
  <c r="C160" i="29"/>
  <c r="C159" i="29"/>
  <c r="C158" i="29"/>
  <c r="C157" i="29"/>
  <c r="C156" i="29"/>
  <c r="C155" i="29"/>
  <c r="C154" i="29"/>
  <c r="C153" i="29"/>
  <c r="C152" i="29"/>
  <c r="C151" i="29"/>
  <c r="C150" i="29"/>
  <c r="C149" i="29"/>
  <c r="C148" i="29"/>
  <c r="C147" i="29"/>
  <c r="C146" i="29"/>
  <c r="C145" i="29"/>
  <c r="C144" i="29"/>
  <c r="C143" i="29"/>
  <c r="C142" i="29"/>
  <c r="C141" i="29"/>
  <c r="C140" i="29"/>
  <c r="C139" i="29"/>
  <c r="C138" i="29"/>
  <c r="C137" i="29"/>
  <c r="C136" i="29"/>
  <c r="C135" i="29"/>
  <c r="C134" i="29"/>
  <c r="C133" i="29"/>
  <c r="C132" i="29"/>
  <c r="C131" i="29"/>
  <c r="C130" i="29"/>
  <c r="C129" i="29"/>
  <c r="C128" i="29"/>
  <c r="C127" i="29"/>
  <c r="C126" i="29"/>
  <c r="C125" i="29"/>
  <c r="C124" i="29"/>
  <c r="C123" i="29"/>
  <c r="C122" i="29"/>
  <c r="C121" i="29"/>
  <c r="C120" i="29"/>
  <c r="C119" i="29"/>
  <c r="C118" i="29"/>
  <c r="C117" i="29"/>
  <c r="C116" i="29"/>
  <c r="C115" i="29"/>
  <c r="C114" i="29"/>
  <c r="C113" i="29"/>
  <c r="C112" i="29"/>
  <c r="C111" i="29"/>
  <c r="C110" i="29"/>
  <c r="C109" i="29"/>
  <c r="C108" i="29"/>
  <c r="C107" i="29"/>
  <c r="C106" i="29"/>
  <c r="C105" i="29"/>
  <c r="C104" i="29"/>
  <c r="C103" i="29"/>
  <c r="C102" i="29"/>
  <c r="C101" i="29"/>
  <c r="C100" i="29"/>
  <c r="C99" i="29"/>
  <c r="C98" i="29"/>
  <c r="C97" i="29"/>
  <c r="C96" i="29"/>
  <c r="C95" i="29"/>
  <c r="C94" i="29"/>
  <c r="C93" i="29"/>
  <c r="C92" i="29"/>
  <c r="C91" i="29"/>
  <c r="C90" i="29"/>
  <c r="C89" i="29"/>
  <c r="C88" i="29"/>
  <c r="C87" i="29"/>
  <c r="C86" i="29"/>
  <c r="C85" i="29"/>
  <c r="C84" i="29"/>
  <c r="C83" i="29"/>
  <c r="C82" i="29"/>
  <c r="C81" i="29"/>
  <c r="C80" i="29"/>
  <c r="C79" i="29"/>
  <c r="C78" i="29"/>
  <c r="C77" i="29"/>
  <c r="C76" i="29"/>
  <c r="C75" i="29"/>
  <c r="C74" i="29"/>
  <c r="C73" i="29"/>
  <c r="C72" i="29"/>
  <c r="C71" i="29"/>
  <c r="C70" i="29"/>
  <c r="C69" i="29"/>
  <c r="C68" i="29"/>
  <c r="C67" i="29"/>
  <c r="C66" i="29"/>
  <c r="C65" i="29"/>
  <c r="C64" i="29"/>
  <c r="C63" i="29"/>
  <c r="C62" i="29"/>
  <c r="C61" i="29"/>
  <c r="C60" i="29"/>
  <c r="C59" i="29"/>
  <c r="C58" i="29"/>
  <c r="C57" i="29"/>
  <c r="C56" i="29"/>
  <c r="C55" i="29"/>
  <c r="C54" i="29"/>
  <c r="C53" i="29"/>
  <c r="C52" i="29"/>
  <c r="C51" i="29"/>
  <c r="C50" i="29"/>
  <c r="C49" i="29"/>
  <c r="C48" i="29"/>
  <c r="C47" i="29"/>
  <c r="C46" i="29"/>
  <c r="C45" i="29"/>
  <c r="C44" i="29"/>
  <c r="C43" i="29"/>
  <c r="C42" i="29"/>
  <c r="C41" i="29"/>
  <c r="C40" i="29"/>
  <c r="C39" i="29"/>
  <c r="C38" i="29"/>
  <c r="C37" i="29"/>
  <c r="C36" i="29"/>
  <c r="C35" i="29"/>
  <c r="C300" i="1"/>
  <c r="C299" i="1"/>
  <c r="C298" i="1"/>
  <c r="C297" i="1"/>
  <c r="C296" i="1"/>
  <c r="C295" i="1"/>
  <c r="C294" i="1"/>
  <c r="C293" i="1"/>
  <c r="C292" i="1"/>
  <c r="C291" i="1"/>
  <c r="C290" i="1"/>
  <c r="C289" i="1"/>
  <c r="C288" i="1"/>
  <c r="C287" i="1"/>
  <c r="C286" i="1"/>
  <c r="C285" i="1"/>
  <c r="C284" i="1"/>
  <c r="C283" i="1"/>
  <c r="C282" i="1"/>
  <c r="C281" i="1"/>
  <c r="C280" i="1"/>
  <c r="C279" i="1"/>
  <c r="C278" i="1"/>
  <c r="C277" i="1"/>
  <c r="C273" i="1"/>
  <c r="C276" i="1"/>
  <c r="C275" i="1"/>
  <c r="C272" i="1"/>
  <c r="C271" i="1"/>
  <c r="C270" i="1"/>
  <c r="C269" i="1"/>
  <c r="C268" i="1"/>
  <c r="C267" i="1"/>
  <c r="C266" i="1"/>
  <c r="C265" i="1"/>
  <c r="C264" i="1"/>
  <c r="C263" i="1"/>
  <c r="C262" i="1"/>
  <c r="C261" i="1"/>
  <c r="C260" i="1"/>
  <c r="C259" i="1"/>
  <c r="C258" i="1"/>
  <c r="C257" i="1"/>
  <c r="C256" i="1"/>
  <c r="C255" i="1"/>
  <c r="C254" i="1"/>
  <c r="C253" i="1"/>
  <c r="C252" i="1"/>
  <c r="C251" i="1"/>
  <c r="C250" i="1"/>
  <c r="C249" i="1"/>
  <c r="C248" i="1"/>
  <c r="C247" i="1"/>
  <c r="C246" i="1"/>
  <c r="C245" i="1"/>
  <c r="C244" i="1"/>
  <c r="C243" i="1"/>
  <c r="C242" i="1"/>
  <c r="C241" i="1"/>
  <c r="C240" i="1"/>
  <c r="C239" i="1"/>
  <c r="C238" i="1"/>
  <c r="C237" i="1"/>
  <c r="C236" i="1"/>
  <c r="C235" i="1"/>
  <c r="C234" i="1"/>
  <c r="C233" i="1"/>
  <c r="C232" i="1"/>
  <c r="C231" i="1"/>
  <c r="C230" i="1"/>
  <c r="C229" i="1"/>
  <c r="C228" i="1"/>
  <c r="C227" i="1"/>
  <c r="C226" i="1"/>
  <c r="C225" i="1"/>
  <c r="C224" i="1"/>
  <c r="C223" i="1"/>
  <c r="C222" i="1"/>
  <c r="C221" i="1"/>
  <c r="C220" i="1"/>
  <c r="C219" i="1"/>
  <c r="C218" i="1"/>
  <c r="C217" i="1"/>
  <c r="C216" i="1"/>
  <c r="C215" i="1"/>
  <c r="C214" i="1"/>
  <c r="C213" i="1"/>
  <c r="C212" i="1"/>
  <c r="C211" i="1"/>
  <c r="B202" i="5"/>
  <c r="B201" i="5"/>
  <c r="B178" i="5"/>
  <c r="B177" i="5"/>
  <c r="B176" i="5"/>
  <c r="B159" i="5"/>
  <c r="B158" i="5"/>
  <c r="B154" i="5"/>
  <c r="B147" i="5"/>
  <c r="B146" i="5"/>
  <c r="B145" i="5"/>
  <c r="B144" i="5"/>
  <c r="B143" i="5"/>
  <c r="B142" i="5"/>
  <c r="B141" i="5"/>
  <c r="B140" i="5"/>
  <c r="B139" i="5"/>
  <c r="B99" i="5"/>
  <c r="B98" i="5"/>
  <c r="B93" i="5"/>
  <c r="B90" i="5"/>
  <c r="B89" i="5"/>
  <c r="B88" i="5"/>
  <c r="B87" i="5"/>
  <c r="B86" i="5"/>
  <c r="B85" i="5"/>
  <c r="B84" i="5"/>
  <c r="B82"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B5" i="5"/>
  <c r="B28" i="4"/>
  <c r="B27" i="4"/>
  <c r="B26" i="4"/>
  <c r="B25" i="4"/>
  <c r="B24" i="4"/>
  <c r="B23" i="4"/>
  <c r="B22" i="4"/>
  <c r="B21" i="4"/>
  <c r="B20" i="4"/>
  <c r="B19" i="4"/>
  <c r="B18" i="4"/>
  <c r="B17" i="4"/>
  <c r="B16" i="4"/>
  <c r="B15" i="4"/>
  <c r="B14" i="4"/>
  <c r="B13" i="4"/>
  <c r="B12" i="4"/>
  <c r="B11" i="4"/>
  <c r="B10" i="4"/>
  <c r="B9" i="4"/>
  <c r="B8" i="4"/>
  <c r="B7" i="4"/>
  <c r="B6" i="4"/>
  <c r="B5" i="4"/>
  <c r="B4" i="4"/>
  <c r="B343" i="29"/>
  <c r="B335" i="29"/>
  <c r="B266" i="29"/>
  <c r="B265" i="29"/>
  <c r="B218" i="29"/>
  <c r="B217" i="29"/>
  <c r="B211" i="29"/>
  <c r="B210" i="29"/>
  <c r="B209" i="29"/>
  <c r="B208" i="29"/>
  <c r="B207" i="29"/>
  <c r="B206" i="29"/>
  <c r="B205" i="29"/>
  <c r="B204" i="29"/>
  <c r="B203" i="29"/>
  <c r="B202" i="29"/>
  <c r="B201" i="29"/>
  <c r="B200" i="29"/>
  <c r="B199" i="29"/>
  <c r="B198" i="29"/>
  <c r="B197" i="29"/>
  <c r="B196" i="29"/>
  <c r="B195" i="29"/>
  <c r="B194" i="29"/>
  <c r="B193" i="29"/>
  <c r="B192" i="29"/>
  <c r="B191" i="29"/>
  <c r="B190" i="29"/>
  <c r="B189" i="29"/>
  <c r="B188" i="29"/>
  <c r="B187" i="29"/>
  <c r="B186" i="29"/>
  <c r="B185" i="29"/>
  <c r="B184" i="29"/>
  <c r="B183" i="29"/>
  <c r="B182" i="29"/>
  <c r="B181" i="29"/>
  <c r="B180" i="29"/>
  <c r="B179" i="29"/>
  <c r="B178" i="29"/>
  <c r="B177" i="29"/>
  <c r="B176" i="29"/>
  <c r="B175" i="29"/>
  <c r="B174" i="29"/>
  <c r="B173" i="29"/>
  <c r="B172" i="29"/>
  <c r="B171" i="29"/>
  <c r="B170" i="29"/>
  <c r="B169" i="29"/>
  <c r="B168" i="29"/>
  <c r="B167" i="29"/>
  <c r="B166" i="29"/>
  <c r="B165" i="29"/>
  <c r="B164" i="29"/>
  <c r="B163" i="29"/>
  <c r="B162" i="29"/>
  <c r="B161" i="29"/>
  <c r="B160" i="29"/>
  <c r="B159" i="29"/>
  <c r="B158" i="29"/>
  <c r="B157" i="29"/>
  <c r="B156" i="29"/>
  <c r="B155" i="29"/>
  <c r="B154" i="29"/>
  <c r="B153" i="29"/>
  <c r="B152" i="29"/>
  <c r="B151" i="29"/>
  <c r="B150" i="29"/>
  <c r="B149" i="29"/>
  <c r="B148" i="29"/>
  <c r="B147" i="29"/>
  <c r="B146" i="29"/>
  <c r="B145" i="29"/>
  <c r="B144" i="29"/>
  <c r="B143" i="29"/>
  <c r="B142" i="29"/>
  <c r="B141" i="29"/>
  <c r="B140" i="29"/>
  <c r="B139" i="29"/>
  <c r="B138" i="29"/>
  <c r="B137" i="29"/>
  <c r="B136" i="29"/>
  <c r="B135" i="29"/>
  <c r="B134" i="29"/>
  <c r="B133" i="29"/>
  <c r="B132" i="29"/>
  <c r="B131" i="29"/>
  <c r="B130" i="29"/>
  <c r="B129" i="29"/>
  <c r="B128" i="29"/>
  <c r="B127" i="29"/>
  <c r="B126" i="29"/>
  <c r="B125" i="29"/>
  <c r="B124" i="29"/>
  <c r="B123" i="29"/>
  <c r="B122" i="29"/>
  <c r="B121" i="29"/>
  <c r="B120" i="29"/>
  <c r="B119" i="29"/>
  <c r="B118" i="29"/>
  <c r="B117" i="29"/>
  <c r="B116" i="29"/>
  <c r="B115" i="29"/>
  <c r="B114" i="29"/>
  <c r="B113" i="29"/>
  <c r="B112" i="29"/>
  <c r="B111" i="29"/>
  <c r="B110" i="29"/>
  <c r="B109" i="29"/>
  <c r="B108" i="29"/>
  <c r="B107" i="29"/>
  <c r="B106" i="29"/>
  <c r="B105" i="29"/>
  <c r="B104" i="29"/>
  <c r="B103" i="29"/>
  <c r="B102" i="29"/>
  <c r="B101" i="29"/>
  <c r="B100" i="29"/>
  <c r="B99" i="29"/>
  <c r="B98" i="29"/>
  <c r="B97" i="29"/>
  <c r="B96" i="29"/>
  <c r="B95" i="29"/>
  <c r="B94" i="29"/>
  <c r="B93" i="29"/>
  <c r="B92" i="29"/>
  <c r="B91" i="29"/>
  <c r="B90" i="29"/>
  <c r="B89" i="29"/>
  <c r="B88" i="29"/>
  <c r="B87" i="29"/>
  <c r="B86" i="29"/>
  <c r="B85" i="29"/>
  <c r="B84" i="29"/>
  <c r="B83" i="29"/>
  <c r="B82" i="29"/>
  <c r="B81" i="29"/>
  <c r="B80" i="29"/>
  <c r="B79" i="29"/>
  <c r="B78" i="29"/>
  <c r="B77" i="29"/>
  <c r="B76" i="29"/>
  <c r="B75" i="29"/>
  <c r="B74" i="29"/>
  <c r="B73" i="29"/>
  <c r="B72" i="29"/>
  <c r="B71" i="29"/>
  <c r="B70" i="29"/>
  <c r="B69" i="29"/>
  <c r="B68" i="29"/>
  <c r="B67" i="29"/>
  <c r="B66" i="29"/>
  <c r="B65" i="29"/>
  <c r="B64" i="29"/>
  <c r="B63" i="29"/>
  <c r="B62" i="29"/>
  <c r="B61" i="29"/>
  <c r="B60" i="29"/>
  <c r="B59" i="29"/>
  <c r="B58" i="29"/>
  <c r="B57" i="29"/>
  <c r="B56" i="29"/>
  <c r="B55" i="29"/>
  <c r="B54" i="29"/>
  <c r="B53" i="29"/>
  <c r="B52" i="29"/>
  <c r="B51" i="29"/>
  <c r="B50" i="29"/>
  <c r="B49" i="29"/>
  <c r="B48" i="29"/>
  <c r="B47" i="29"/>
  <c r="B46" i="29"/>
  <c r="B45" i="29"/>
  <c r="B40" i="29"/>
  <c r="B39" i="29"/>
  <c r="B38" i="29"/>
  <c r="B37" i="29"/>
  <c r="B36" i="29"/>
  <c r="B35" i="29"/>
  <c r="B34" i="29"/>
  <c r="B33" i="29"/>
  <c r="B32" i="29"/>
  <c r="B31" i="29"/>
  <c r="B30" i="29"/>
  <c r="B29" i="29"/>
  <c r="B21" i="29"/>
  <c r="B20" i="29"/>
  <c r="B19" i="29"/>
  <c r="B18" i="29"/>
  <c r="B17" i="29"/>
  <c r="B16" i="29"/>
  <c r="B196" i="2"/>
  <c r="B195" i="2"/>
  <c r="B194" i="2"/>
  <c r="B193" i="2"/>
  <c r="B192" i="2"/>
  <c r="B191" i="2"/>
  <c r="B190" i="2"/>
  <c r="B189" i="2"/>
  <c r="B188" i="2"/>
  <c r="B187" i="2"/>
  <c r="B186" i="2"/>
  <c r="B185" i="2"/>
  <c r="B155" i="2"/>
  <c r="B154" i="2"/>
  <c r="B153" i="2"/>
  <c r="B149" i="2"/>
  <c r="B148" i="2"/>
  <c r="B147" i="2"/>
  <c r="B146" i="2"/>
  <c r="B145" i="2"/>
  <c r="B99" i="2"/>
  <c r="B94" i="2"/>
  <c r="B92" i="2"/>
  <c r="B91" i="2"/>
  <c r="B89"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299" i="1"/>
  <c r="B298" i="1"/>
  <c r="B297" i="1"/>
  <c r="B296" i="1"/>
  <c r="B295" i="1"/>
  <c r="B294" i="1"/>
  <c r="B293" i="1"/>
  <c r="B292" i="1"/>
  <c r="B236" i="1"/>
  <c r="B234" i="1"/>
  <c r="B233" i="1"/>
  <c r="B232" i="1"/>
  <c r="B231" i="1"/>
  <c r="B230" i="1"/>
  <c r="B229" i="1"/>
  <c r="B227" i="1"/>
  <c r="B226" i="1"/>
  <c r="B225" i="1"/>
  <c r="B18" i="1"/>
  <c r="B17" i="1"/>
  <c r="B16" i="1"/>
  <c r="B15" i="1"/>
  <c r="B13" i="1"/>
  <c r="B11" i="1"/>
  <c r="C487" i="29" l="1"/>
  <c r="C486" i="29"/>
  <c r="C402" i="29"/>
  <c r="C320" i="29"/>
  <c r="C398" i="29"/>
  <c r="C210" i="1"/>
  <c r="C209" i="1"/>
  <c r="C208" i="1"/>
  <c r="C207" i="1"/>
  <c r="C206" i="1"/>
  <c r="C205" i="1"/>
  <c r="C204" i="1"/>
  <c r="C203" i="1"/>
  <c r="C202" i="1"/>
  <c r="C201" i="1"/>
  <c r="C200" i="1"/>
  <c r="C199" i="1"/>
  <c r="C198" i="1"/>
  <c r="C197" i="1"/>
  <c r="C196" i="1"/>
  <c r="C195" i="1"/>
  <c r="C194" i="1"/>
  <c r="C193" i="1"/>
  <c r="C192" i="1"/>
  <c r="C191" i="1"/>
  <c r="C190" i="1"/>
  <c r="C189" i="1"/>
  <c r="C188" i="1"/>
  <c r="C187" i="1"/>
  <c r="C186" i="1"/>
  <c r="C185" i="1"/>
  <c r="C184" i="1"/>
  <c r="C183" i="1"/>
  <c r="C182" i="1"/>
  <c r="C181" i="1"/>
  <c r="C180" i="1"/>
  <c r="C179" i="1"/>
  <c r="C178" i="1"/>
  <c r="C177" i="1"/>
  <c r="C176" i="1"/>
  <c r="C175" i="1"/>
  <c r="C174" i="1"/>
  <c r="C173" i="1"/>
  <c r="C172" i="1"/>
  <c r="C171" i="1"/>
  <c r="C170" i="1"/>
  <c r="C169" i="1"/>
  <c r="C168" i="1"/>
  <c r="C167" i="1"/>
  <c r="C166" i="1"/>
  <c r="C165" i="1"/>
  <c r="C164" i="1"/>
  <c r="C163" i="1"/>
  <c r="C162" i="1"/>
  <c r="C161" i="1"/>
  <c r="C160" i="1"/>
  <c r="B160" i="1"/>
  <c r="C159" i="1"/>
  <c r="C158" i="1"/>
  <c r="C157" i="1"/>
  <c r="B157" i="1"/>
  <c r="C156" i="1"/>
  <c r="B156" i="1"/>
  <c r="C155" i="1"/>
  <c r="B155" i="1"/>
  <c r="C154" i="1"/>
  <c r="B154" i="1"/>
  <c r="C153" i="1"/>
  <c r="B153" i="1"/>
  <c r="C152" i="1"/>
  <c r="B152" i="1"/>
  <c r="C151" i="1"/>
  <c r="B151" i="1"/>
  <c r="C150" i="1"/>
  <c r="B150" i="1"/>
  <c r="C149" i="1"/>
  <c r="B149" i="1"/>
  <c r="C148" i="1"/>
  <c r="B148" i="1"/>
  <c r="C147" i="1"/>
  <c r="B147" i="1"/>
  <c r="C146" i="1"/>
  <c r="B146" i="1"/>
  <c r="C145" i="1"/>
  <c r="B145" i="1"/>
  <c r="C144" i="1"/>
  <c r="B144" i="1"/>
  <c r="C143" i="1"/>
  <c r="B143" i="1"/>
  <c r="C142" i="1"/>
  <c r="B142" i="1"/>
  <c r="C141" i="1"/>
  <c r="B141" i="1"/>
  <c r="C140" i="1"/>
  <c r="B140" i="1"/>
  <c r="C139" i="1"/>
  <c r="B139" i="1"/>
  <c r="C138" i="1"/>
  <c r="B138" i="1"/>
  <c r="C137" i="1"/>
  <c r="B137" i="1"/>
  <c r="C136" i="1"/>
  <c r="B136" i="1"/>
  <c r="C135" i="1"/>
  <c r="B135" i="1"/>
  <c r="C134" i="1"/>
  <c r="B134" i="1"/>
  <c r="C133" i="1"/>
  <c r="B133" i="1"/>
  <c r="C132" i="1"/>
  <c r="B132" i="1"/>
  <c r="C131" i="1"/>
  <c r="B131" i="1"/>
  <c r="C130" i="1"/>
  <c r="B130" i="1"/>
  <c r="C129" i="1"/>
  <c r="B129" i="1"/>
  <c r="C128" i="1"/>
  <c r="B128" i="1"/>
  <c r="C127" i="1"/>
  <c r="B127" i="1"/>
  <c r="C126" i="1"/>
  <c r="B126" i="1"/>
  <c r="C125" i="1"/>
  <c r="B125" i="1"/>
  <c r="C124" i="1"/>
  <c r="B124" i="1"/>
  <c r="C123" i="1"/>
  <c r="B123" i="1"/>
  <c r="C122" i="1"/>
  <c r="B122" i="1"/>
  <c r="C121" i="1"/>
  <c r="B121" i="1"/>
  <c r="C120" i="1"/>
  <c r="B120" i="1"/>
  <c r="C119" i="1"/>
  <c r="B119" i="1"/>
  <c r="C118" i="1"/>
  <c r="B118" i="1"/>
  <c r="C117" i="1"/>
  <c r="B117" i="1"/>
  <c r="C116" i="1"/>
  <c r="B116" i="1"/>
  <c r="C115" i="1"/>
  <c r="B115" i="1"/>
  <c r="C114" i="1"/>
  <c r="B114" i="1"/>
  <c r="C113" i="1"/>
  <c r="B113" i="1"/>
  <c r="C112" i="1"/>
  <c r="B112" i="1"/>
  <c r="C111" i="1"/>
  <c r="B111" i="1"/>
  <c r="C110" i="1"/>
  <c r="B110" i="1"/>
  <c r="C109" i="1"/>
  <c r="B109" i="1"/>
  <c r="C108" i="1"/>
  <c r="B108" i="1"/>
  <c r="C107" i="1"/>
  <c r="B107" i="1"/>
  <c r="C106" i="1"/>
  <c r="B106" i="1"/>
  <c r="C105" i="1"/>
  <c r="B105" i="1"/>
  <c r="C104" i="1"/>
  <c r="B104" i="1"/>
  <c r="C103" i="1"/>
  <c r="B103" i="1"/>
  <c r="C102" i="1"/>
  <c r="B102" i="1"/>
  <c r="C101" i="1"/>
  <c r="B101" i="1"/>
  <c r="C100" i="1"/>
  <c r="B100" i="1"/>
  <c r="C99" i="1"/>
  <c r="B99" i="1"/>
  <c r="C98" i="1"/>
  <c r="B98" i="1"/>
  <c r="C97" i="1"/>
  <c r="B97" i="1"/>
  <c r="C96" i="1"/>
  <c r="B96" i="1"/>
  <c r="C95" i="1"/>
  <c r="B95" i="1"/>
  <c r="C94" i="1"/>
  <c r="B94" i="1"/>
  <c r="C93" i="1"/>
  <c r="B93" i="1"/>
  <c r="C92" i="1"/>
  <c r="B92" i="1"/>
  <c r="C91" i="1"/>
  <c r="B91" i="1"/>
  <c r="C90" i="1"/>
  <c r="B90" i="1"/>
  <c r="C89" i="1"/>
  <c r="B89" i="1"/>
  <c r="C88" i="1"/>
  <c r="B88" i="1"/>
  <c r="C87" i="1"/>
  <c r="B87" i="1"/>
  <c r="C86" i="1"/>
  <c r="B86" i="1"/>
  <c r="C85" i="1"/>
  <c r="B85" i="1"/>
  <c r="C84" i="1"/>
  <c r="B84" i="1"/>
  <c r="C83" i="1"/>
  <c r="B83" i="1"/>
  <c r="C82" i="1"/>
  <c r="B82" i="1"/>
  <c r="C81" i="1"/>
  <c r="B81" i="1"/>
  <c r="C80" i="1"/>
  <c r="B80" i="1"/>
  <c r="C79" i="1"/>
  <c r="B79" i="1"/>
  <c r="C78" i="1"/>
  <c r="B78" i="1"/>
  <c r="C77" i="1"/>
  <c r="B77" i="1"/>
  <c r="C76" i="1"/>
  <c r="B76" i="1"/>
  <c r="C75" i="1"/>
  <c r="B75" i="1"/>
  <c r="C74" i="1"/>
  <c r="B74" i="1"/>
  <c r="C73" i="1"/>
  <c r="B73" i="1"/>
  <c r="C72" i="1"/>
  <c r="B72" i="1"/>
  <c r="C71" i="1"/>
  <c r="B71" i="1"/>
  <c r="C70" i="1"/>
  <c r="B70" i="1"/>
  <c r="C69" i="1"/>
  <c r="B69" i="1"/>
  <c r="C68" i="1"/>
  <c r="B68" i="1"/>
  <c r="C67" i="1"/>
  <c r="B67" i="1"/>
  <c r="C66" i="1"/>
  <c r="B66" i="1"/>
  <c r="C65" i="1"/>
  <c r="B65" i="1"/>
  <c r="C64" i="1"/>
  <c r="B64" i="1"/>
  <c r="C63" i="1"/>
  <c r="B63" i="1"/>
  <c r="C62" i="1"/>
  <c r="B62" i="1"/>
  <c r="C61" i="1"/>
  <c r="B61" i="1"/>
  <c r="C60" i="1"/>
  <c r="B60" i="1"/>
  <c r="C59" i="1"/>
  <c r="B59" i="1"/>
  <c r="C58" i="1"/>
  <c r="B58" i="1"/>
  <c r="C57" i="1"/>
  <c r="B57" i="1"/>
  <c r="C56" i="1"/>
  <c r="B56" i="1"/>
  <c r="C55" i="1"/>
  <c r="B55" i="1"/>
  <c r="C54" i="1"/>
  <c r="B54" i="1"/>
  <c r="C53" i="1"/>
  <c r="B53" i="1"/>
  <c r="C52" i="1"/>
  <c r="B52" i="1"/>
  <c r="C51" i="1"/>
  <c r="B51" i="1"/>
  <c r="C50" i="1"/>
  <c r="B50" i="1"/>
  <c r="C49" i="1"/>
  <c r="B49" i="1"/>
  <c r="C48" i="1"/>
  <c r="B48" i="1"/>
  <c r="C47" i="1"/>
  <c r="B47" i="1"/>
  <c r="C46" i="1"/>
  <c r="B46" i="1"/>
  <c r="C45" i="1"/>
  <c r="B45" i="1"/>
  <c r="C44" i="1"/>
  <c r="B44" i="1"/>
  <c r="C43" i="1"/>
  <c r="B43" i="1"/>
  <c r="C42" i="1"/>
  <c r="B42" i="1"/>
  <c r="C41" i="1"/>
  <c r="B41" i="1"/>
  <c r="C40" i="1"/>
  <c r="B40" i="1"/>
  <c r="C39" i="1"/>
  <c r="B39" i="1"/>
  <c r="C38" i="1"/>
  <c r="B38" i="1"/>
  <c r="C37" i="1"/>
  <c r="B37" i="1"/>
  <c r="C36" i="1"/>
  <c r="B36" i="1"/>
  <c r="C35" i="1"/>
  <c r="B35" i="1"/>
  <c r="C34" i="1"/>
  <c r="B34" i="1"/>
  <c r="C33" i="1"/>
  <c r="B33" i="1"/>
  <c r="C32" i="1"/>
  <c r="B32" i="1"/>
  <c r="C31" i="1"/>
  <c r="B31" i="1"/>
  <c r="C30" i="1"/>
  <c r="B30" i="1"/>
  <c r="C29" i="1"/>
  <c r="B29" i="1"/>
  <c r="C28" i="1"/>
  <c r="B28" i="1"/>
  <c r="C27" i="1"/>
  <c r="B27" i="1"/>
  <c r="C26" i="1"/>
  <c r="B26" i="1"/>
  <c r="C25" i="1"/>
  <c r="B25" i="1"/>
  <c r="C24" i="1"/>
  <c r="B24" i="1"/>
  <c r="C23" i="1"/>
  <c r="B23" i="1"/>
  <c r="C22" i="1"/>
  <c r="B22" i="1"/>
  <c r="C21" i="1"/>
  <c r="B21" i="1"/>
  <c r="C20" i="1"/>
  <c r="B20" i="1"/>
  <c r="C19" i="1"/>
  <c r="B19" i="1"/>
  <c r="G32" i="20" l="1"/>
  <c r="G33" i="20"/>
  <c r="G37" i="20"/>
  <c r="G36" i="20"/>
  <c r="G35" i="20"/>
  <c r="G34" i="20"/>
  <c r="G39" i="20" l="1"/>
  <c r="F2" i="39" l="1"/>
  <c r="F2" i="38" l="1"/>
  <c r="U193" i="2"/>
  <c r="U28" i="2"/>
  <c r="U28" i="5"/>
  <c r="U38" i="2"/>
  <c r="U101" i="2"/>
  <c r="U37" i="1"/>
  <c r="U100" i="2"/>
  <c r="U154" i="2"/>
  <c r="U21" i="4"/>
  <c r="U18" i="5"/>
  <c r="U188" i="2"/>
  <c r="U14" i="2"/>
  <c r="U168" i="1"/>
  <c r="U190" i="2"/>
  <c r="U67" i="5"/>
  <c r="U9" i="4"/>
  <c r="U32" i="5"/>
  <c r="U158" i="5"/>
  <c r="U242" i="1"/>
  <c r="U234" i="1"/>
  <c r="U73" i="2"/>
  <c r="U36" i="5"/>
  <c r="U178" i="5"/>
  <c r="U83" i="2"/>
  <c r="U202" i="5"/>
  <c r="U44" i="5"/>
  <c r="U129" i="1"/>
  <c r="U201" i="5"/>
  <c r="U64" i="1"/>
  <c r="U224" i="1"/>
  <c r="U38" i="5"/>
  <c r="U175" i="1"/>
  <c r="U52" i="5"/>
  <c r="U14" i="1"/>
  <c r="U150" i="5"/>
  <c r="U86" i="1"/>
  <c r="U50" i="1"/>
  <c r="U229" i="1"/>
  <c r="U57" i="2"/>
  <c r="U59" i="5"/>
  <c r="U41" i="1"/>
  <c r="U22" i="2"/>
  <c r="U114" i="1"/>
  <c r="U10" i="5"/>
  <c r="U138" i="1"/>
  <c r="U85" i="1"/>
  <c r="U8" i="2"/>
  <c r="U112" i="1"/>
  <c r="U18" i="1"/>
  <c r="U24" i="5"/>
  <c r="U15" i="4"/>
  <c r="U203" i="5"/>
  <c r="U90" i="5"/>
  <c r="H2" i="39"/>
  <c r="U81" i="1"/>
  <c r="U84" i="5"/>
  <c r="U62" i="5"/>
  <c r="U204" i="5"/>
  <c r="U90" i="2"/>
  <c r="U45" i="1"/>
  <c r="U24" i="2"/>
  <c r="U236" i="1"/>
  <c r="U140" i="5"/>
  <c r="U88" i="1"/>
  <c r="U54" i="2"/>
  <c r="U41" i="5"/>
  <c r="U56" i="2"/>
  <c r="U39" i="5"/>
  <c r="U76" i="2"/>
  <c r="U43" i="1"/>
  <c r="U8" i="5"/>
  <c r="U291" i="1"/>
  <c r="U4" i="2"/>
  <c r="U11" i="4"/>
  <c r="U149" i="5"/>
  <c r="U68" i="1"/>
  <c r="U19" i="4"/>
  <c r="U177" i="5"/>
  <c r="U86" i="2"/>
  <c r="U20" i="5"/>
  <c r="U49" i="2"/>
  <c r="U65" i="5"/>
  <c r="U85" i="2"/>
  <c r="U55" i="1"/>
  <c r="U71" i="1"/>
  <c r="U151" i="2"/>
  <c r="U145" i="5"/>
  <c r="U149" i="1"/>
  <c r="U96" i="1"/>
  <c r="U70" i="5"/>
  <c r="U29" i="1"/>
  <c r="H2" i="38"/>
  <c r="U176" i="5"/>
  <c r="U72" i="1"/>
  <c r="U46" i="5"/>
  <c r="U282" i="1"/>
  <c r="U99" i="2"/>
  <c r="U163" i="1"/>
  <c r="U89" i="5"/>
  <c r="U146" i="2"/>
  <c r="U146" i="5"/>
  <c r="U26" i="1"/>
  <c r="U166" i="5"/>
  <c r="U136" i="1"/>
  <c r="U165" i="1"/>
  <c r="U79" i="2"/>
  <c r="U27" i="4"/>
  <c r="U40" i="1"/>
  <c r="U26" i="5"/>
  <c r="U147" i="5"/>
  <c r="U103" i="1"/>
  <c r="U16" i="4"/>
  <c r="U69" i="5"/>
  <c r="U28" i="4"/>
  <c r="U156" i="5"/>
  <c r="U85" i="5"/>
  <c r="U15" i="2"/>
  <c r="U100" i="1"/>
  <c r="U94" i="1"/>
  <c r="U17" i="4"/>
  <c r="U154" i="5"/>
  <c r="U69" i="1"/>
  <c r="U26" i="2"/>
  <c r="U51" i="1"/>
  <c r="U56" i="5"/>
  <c r="U60" i="2"/>
  <c r="U295" i="1"/>
  <c r="U64" i="5"/>
  <c r="U16" i="5"/>
  <c r="U54" i="5"/>
  <c r="U11" i="1"/>
  <c r="U187" i="2"/>
  <c r="U164" i="1"/>
  <c r="U27" i="1"/>
  <c r="U165" i="5"/>
  <c r="U12" i="4"/>
  <c r="U75" i="5"/>
  <c r="U155" i="1"/>
  <c r="U34" i="2"/>
  <c r="U6" i="5"/>
  <c r="U104" i="1"/>
  <c r="U12" i="2"/>
  <c r="U298" i="1"/>
  <c r="U56" i="1"/>
  <c r="U19" i="2"/>
  <c r="U48" i="2"/>
  <c r="U71" i="5"/>
  <c r="U142" i="1"/>
  <c r="U159" i="1"/>
  <c r="U32" i="2"/>
  <c r="U62" i="2"/>
  <c r="U82" i="5"/>
  <c r="U275" i="1"/>
  <c r="U148" i="2"/>
  <c r="U53" i="1"/>
  <c r="U45" i="2"/>
  <c r="U33" i="5"/>
  <c r="U48" i="1"/>
  <c r="U75" i="2"/>
  <c r="U162" i="2"/>
  <c r="U13" i="1"/>
  <c r="U64" i="2"/>
  <c r="U98" i="5"/>
  <c r="U53" i="2"/>
  <c r="U98" i="1"/>
  <c r="U194" i="2"/>
  <c r="U9" i="5"/>
  <c r="U159" i="5"/>
  <c r="U20" i="1"/>
  <c r="U30" i="2"/>
  <c r="U78" i="2"/>
  <c r="U58" i="5"/>
  <c r="U145" i="1"/>
  <c r="U99" i="5"/>
  <c r="U19" i="5"/>
  <c r="U83" i="1"/>
  <c r="U122" i="1"/>
  <c r="I2" i="39" l="1"/>
  <c r="J2" i="39" s="1"/>
  <c r="K2" i="39" s="1"/>
  <c r="L2" i="39" s="1"/>
  <c r="I2" i="38"/>
  <c r="J2" i="38" s="1"/>
  <c r="K2" i="38" s="1"/>
  <c r="L2" i="38" s="1"/>
  <c r="E20" i="37"/>
  <c r="E19" i="37"/>
  <c r="E18" i="37"/>
  <c r="E17" i="37"/>
  <c r="E16" i="37"/>
  <c r="E15" i="37"/>
  <c r="E14" i="37"/>
  <c r="E13" i="37"/>
  <c r="E12" i="37"/>
  <c r="E10" i="37"/>
  <c r="E9" i="37"/>
  <c r="E8" i="37"/>
  <c r="E7" i="37"/>
  <c r="E6" i="37"/>
  <c r="E5" i="37"/>
  <c r="E4" i="37"/>
  <c r="E3" i="37"/>
  <c r="E2" i="37"/>
  <c r="E11" i="37"/>
  <c r="U10" i="1"/>
  <c r="U15" i="5"/>
  <c r="U108" i="1"/>
  <c r="U14" i="5"/>
  <c r="U69" i="2"/>
  <c r="U40" i="5"/>
  <c r="U90" i="1"/>
  <c r="U52" i="2"/>
  <c r="U23" i="5"/>
  <c r="U59" i="2"/>
  <c r="U128" i="1"/>
  <c r="U92" i="1"/>
  <c r="U96" i="2"/>
  <c r="U149" i="2"/>
  <c r="U186" i="2"/>
  <c r="U138" i="5"/>
  <c r="U20" i="2"/>
  <c r="U22" i="4"/>
  <c r="U22" i="1"/>
  <c r="U63" i="1"/>
  <c r="U102" i="2"/>
  <c r="U6" i="4"/>
  <c r="U241" i="1"/>
  <c r="U59" i="1"/>
  <c r="U120" i="1"/>
  <c r="U24" i="4"/>
  <c r="U134" i="1"/>
  <c r="U15" i="1"/>
  <c r="U140" i="1"/>
  <c r="U5" i="4"/>
  <c r="U82" i="1"/>
  <c r="U185" i="2"/>
  <c r="U23" i="2"/>
  <c r="U87" i="5"/>
  <c r="U30" i="1"/>
  <c r="U137" i="5"/>
  <c r="U189" i="2"/>
  <c r="U91" i="5"/>
  <c r="U29" i="2"/>
  <c r="U141" i="5"/>
  <c r="U43" i="5"/>
  <c r="U228" i="1"/>
  <c r="U147" i="2"/>
  <c r="U83" i="5"/>
  <c r="U50" i="2"/>
  <c r="U239" i="1"/>
  <c r="U17" i="1"/>
  <c r="U88" i="5"/>
  <c r="U155" i="5"/>
  <c r="U22" i="5"/>
  <c r="U222" i="1"/>
  <c r="U94" i="2"/>
  <c r="U35" i="5"/>
  <c r="U93" i="1"/>
  <c r="U169" i="1"/>
  <c r="U157" i="2"/>
  <c r="U84" i="2"/>
  <c r="U226" i="1"/>
  <c r="U98" i="2"/>
  <c r="U67" i="2"/>
  <c r="U196" i="2"/>
  <c r="U77" i="5"/>
  <c r="U76" i="5"/>
  <c r="U230" i="1"/>
  <c r="U135" i="1"/>
  <c r="U62" i="1"/>
  <c r="U148" i="1"/>
  <c r="U240" i="1"/>
  <c r="U63" i="5"/>
  <c r="U65" i="2"/>
  <c r="U42" i="1"/>
  <c r="U16" i="2"/>
  <c r="U162" i="1"/>
  <c r="U141" i="1"/>
  <c r="U110" i="1"/>
  <c r="U153" i="2"/>
  <c r="U32" i="1"/>
  <c r="U158" i="1"/>
  <c r="U135" i="5"/>
  <c r="U151" i="1"/>
  <c r="U231" i="1"/>
  <c r="U78" i="5"/>
  <c r="U13" i="4"/>
  <c r="U65" i="1"/>
  <c r="U28" i="1"/>
  <c r="U195" i="2"/>
  <c r="U233" i="1"/>
  <c r="U47" i="2"/>
  <c r="U5" i="5"/>
  <c r="U78" i="1"/>
  <c r="U170" i="1"/>
  <c r="U42" i="5"/>
  <c r="U29" i="5"/>
  <c r="U115" i="1"/>
  <c r="U144" i="1"/>
  <c r="U68" i="5"/>
  <c r="U76" i="1"/>
  <c r="U152" i="5"/>
  <c r="U153" i="5"/>
  <c r="U50" i="5"/>
  <c r="U16" i="1"/>
  <c r="U148" i="5"/>
  <c r="U7" i="4"/>
  <c r="U92" i="2"/>
  <c r="U125" i="1"/>
  <c r="U154" i="1"/>
  <c r="U49" i="1"/>
  <c r="U166" i="1"/>
  <c r="U164" i="5"/>
  <c r="U153" i="1"/>
  <c r="U84" i="1"/>
  <c r="U102" i="1"/>
  <c r="U75" i="1"/>
  <c r="U55" i="5"/>
  <c r="U184" i="2"/>
  <c r="U52" i="1"/>
  <c r="U4" i="4"/>
  <c r="U81" i="2"/>
  <c r="U227" i="1"/>
  <c r="U87" i="1"/>
  <c r="U105" i="1"/>
  <c r="U74" i="5"/>
  <c r="U51" i="5"/>
  <c r="U44" i="2"/>
  <c r="U144" i="2"/>
  <c r="U237" i="1"/>
  <c r="U39" i="1"/>
  <c r="U118" i="1"/>
  <c r="U116" i="1"/>
  <c r="U157" i="1"/>
  <c r="U162" i="5"/>
  <c r="U235" i="1"/>
  <c r="U73" i="1"/>
  <c r="U66" i="2"/>
  <c r="U60" i="1"/>
  <c r="U27" i="2"/>
  <c r="U294" i="1"/>
  <c r="U97" i="2"/>
  <c r="U72" i="5"/>
  <c r="U86" i="5"/>
  <c r="U139" i="1"/>
  <c r="U58" i="2"/>
  <c r="U113" i="1"/>
  <c r="U18" i="4"/>
  <c r="U73" i="5"/>
  <c r="U70" i="2"/>
  <c r="U71" i="2"/>
  <c r="U150" i="2"/>
  <c r="U21" i="5"/>
  <c r="U145" i="2"/>
  <c r="U25" i="1"/>
  <c r="U7" i="5"/>
  <c r="U123" i="1"/>
  <c r="U82" i="2"/>
  <c r="U33" i="1"/>
  <c r="U58" i="1"/>
  <c r="U89" i="2"/>
  <c r="U24" i="1"/>
  <c r="U146" i="1"/>
  <c r="U293" i="1"/>
  <c r="U81" i="5"/>
  <c r="U60" i="5"/>
  <c r="U126" i="1"/>
  <c r="U107" i="1"/>
  <c r="U61" i="5"/>
  <c r="U297" i="1"/>
  <c r="U109" i="1"/>
  <c r="U163" i="5"/>
  <c r="U161" i="5"/>
  <c r="U45" i="5"/>
  <c r="U147" i="1"/>
  <c r="U13" i="2"/>
  <c r="U74" i="2"/>
  <c r="U292" i="1"/>
  <c r="U54" i="1"/>
  <c r="U88" i="2"/>
  <c r="U79" i="1"/>
  <c r="U37" i="2"/>
  <c r="U57" i="1"/>
  <c r="U150" i="1"/>
  <c r="U144" i="5"/>
  <c r="U25" i="5"/>
  <c r="U92" i="5"/>
  <c r="U51" i="2"/>
  <c r="U23" i="4"/>
  <c r="U36" i="1"/>
  <c r="U95" i="1"/>
  <c r="U191" i="2"/>
  <c r="U290" i="1"/>
  <c r="U130" i="1"/>
  <c r="U8" i="4"/>
  <c r="U47" i="5"/>
  <c r="U77" i="1"/>
  <c r="U225" i="1"/>
  <c r="U49" i="5"/>
  <c r="U192" i="2"/>
  <c r="U94" i="5"/>
  <c r="U14" i="4"/>
  <c r="U68" i="2"/>
  <c r="U11" i="5"/>
  <c r="U47" i="1"/>
  <c r="U160" i="5"/>
  <c r="U160" i="1"/>
  <c r="U143" i="1"/>
  <c r="U152" i="1"/>
  <c r="U55" i="2"/>
  <c r="U17" i="5"/>
  <c r="U13" i="5"/>
  <c r="U20" i="4"/>
  <c r="U93" i="2"/>
  <c r="U151" i="5"/>
  <c r="U48" i="5"/>
  <c r="U89" i="1"/>
  <c r="U156" i="1"/>
  <c r="U61" i="2"/>
  <c r="U238" i="1"/>
  <c r="U152" i="2"/>
  <c r="U70" i="1"/>
  <c r="U61" i="1"/>
  <c r="U40" i="2"/>
  <c r="U132" i="1"/>
  <c r="U18" i="2"/>
  <c r="U117" i="1"/>
  <c r="U46" i="1"/>
  <c r="U77" i="2"/>
  <c r="U91" i="1"/>
  <c r="U72" i="2"/>
  <c r="U124" i="1"/>
  <c r="U33" i="2"/>
  <c r="U139" i="5"/>
  <c r="U21" i="1"/>
  <c r="U17" i="2"/>
  <c r="U131" i="1"/>
  <c r="U232" i="1"/>
  <c r="U80" i="2"/>
  <c r="U37" i="5"/>
  <c r="U155" i="2"/>
  <c r="U137" i="1"/>
  <c r="U66" i="1"/>
  <c r="U57" i="5"/>
  <c r="U27" i="5"/>
  <c r="U34" i="1"/>
  <c r="U46" i="2"/>
  <c r="U221" i="1"/>
  <c r="U34" i="5"/>
  <c r="U87" i="2"/>
  <c r="U23" i="1"/>
  <c r="U156" i="2"/>
  <c r="U30" i="5"/>
  <c r="U12" i="1"/>
  <c r="U44" i="1"/>
  <c r="U133" i="1"/>
  <c r="U97" i="1"/>
  <c r="U80" i="1"/>
  <c r="U111" i="1"/>
  <c r="U136" i="5"/>
  <c r="U35" i="2"/>
  <c r="U31" i="2"/>
  <c r="U21" i="2"/>
  <c r="U74" i="1"/>
  <c r="U142" i="5"/>
  <c r="U67" i="1"/>
  <c r="U93" i="5"/>
  <c r="U66" i="5"/>
  <c r="U79" i="5"/>
  <c r="U19" i="1"/>
  <c r="U91" i="2"/>
  <c r="U299" i="1"/>
  <c r="U25" i="2"/>
  <c r="U31" i="5"/>
  <c r="U296" i="1"/>
  <c r="U36" i="2"/>
  <c r="U119" i="1"/>
  <c r="U127" i="1"/>
  <c r="U43" i="2"/>
  <c r="U35" i="1"/>
  <c r="U106" i="1"/>
  <c r="U167" i="1"/>
  <c r="U12" i="5"/>
  <c r="U31" i="1"/>
  <c r="U80" i="5"/>
  <c r="U161" i="1"/>
  <c r="U157" i="5"/>
  <c r="U63" i="2"/>
  <c r="U99" i="1"/>
  <c r="U39" i="2"/>
  <c r="U143" i="5"/>
  <c r="U101" i="1"/>
  <c r="U10" i="4"/>
  <c r="U183" i="2"/>
  <c r="U41" i="2"/>
  <c r="U38" i="1"/>
  <c r="U42" i="2"/>
  <c r="U53" i="5"/>
  <c r="U223" i="1"/>
  <c r="Q7" i="20" l="1"/>
  <c r="P7" i="20"/>
  <c r="U121" i="1"/>
  <c r="U95" i="2"/>
  <c r="C17" i="33" l="1"/>
  <c r="C2" i="33" l="1"/>
  <c r="D2" i="33"/>
  <c r="K22" i="20" l="1"/>
  <c r="D13" i="33" l="1"/>
  <c r="G31" i="35" l="1"/>
  <c r="E31" i="35"/>
  <c r="F31" i="35"/>
  <c r="E27" i="35"/>
  <c r="P3" i="20" l="1"/>
  <c r="A27" i="35" l="1"/>
  <c r="B27" i="35"/>
  <c r="C27" i="35"/>
  <c r="D27" i="35"/>
  <c r="I27" i="35"/>
  <c r="H27" i="35"/>
  <c r="G27" i="35"/>
  <c r="F27" i="35"/>
  <c r="D9" i="35"/>
  <c r="D38" i="35" l="1"/>
  <c r="E38" i="35"/>
  <c r="D31" i="35"/>
  <c r="H31" i="35"/>
  <c r="D3" i="33" l="1"/>
  <c r="C9" i="35"/>
  <c r="A9" i="35"/>
  <c r="D30" i="33"/>
  <c r="C30" i="33"/>
  <c r="D29" i="33"/>
  <c r="C29" i="33"/>
  <c r="D28" i="33"/>
  <c r="C28" i="33"/>
  <c r="D27" i="33"/>
  <c r="C27" i="33"/>
  <c r="D26" i="33"/>
  <c r="C26" i="33"/>
  <c r="D25" i="33"/>
  <c r="C25" i="33"/>
  <c r="D24" i="33"/>
  <c r="C24" i="33"/>
  <c r="D23" i="33"/>
  <c r="C23" i="33"/>
  <c r="D22" i="33"/>
  <c r="C22" i="33"/>
  <c r="D21" i="33"/>
  <c r="C21" i="33"/>
  <c r="D20" i="33"/>
  <c r="C20" i="33"/>
  <c r="D19" i="33"/>
  <c r="C19" i="33"/>
  <c r="D18" i="33"/>
  <c r="C18" i="33"/>
  <c r="D17" i="33"/>
  <c r="D16" i="33"/>
  <c r="C16" i="33"/>
  <c r="D15" i="33"/>
  <c r="C15" i="33"/>
  <c r="D14" i="33"/>
  <c r="C14" i="33"/>
  <c r="C13" i="33"/>
  <c r="D12" i="33"/>
  <c r="C12" i="33"/>
  <c r="D11" i="33"/>
  <c r="C11" i="33"/>
  <c r="D10" i="33"/>
  <c r="C10" i="33"/>
  <c r="D9" i="33"/>
  <c r="C9" i="33"/>
  <c r="D8" i="33"/>
  <c r="C8" i="33"/>
  <c r="D7" i="33"/>
  <c r="C7" i="33"/>
  <c r="D6" i="33"/>
  <c r="C6" i="33"/>
  <c r="D5" i="33"/>
  <c r="C5" i="33"/>
  <c r="D4" i="33"/>
  <c r="C4" i="33"/>
  <c r="C3" i="33"/>
  <c r="B9" i="35"/>
  <c r="N38" i="35"/>
  <c r="N31" i="35"/>
  <c r="C38" i="35"/>
  <c r="B38" i="35"/>
  <c r="A38" i="35"/>
  <c r="A31" i="35"/>
  <c r="C31" i="35"/>
  <c r="B31" i="35"/>
  <c r="B5" i="35" l="1"/>
  <c r="A5" i="35" l="1"/>
  <c r="Q3" i="20" l="1"/>
  <c r="A28" i="20"/>
  <c r="A26" i="20"/>
  <c r="H2" i="29"/>
  <c r="H2" i="2"/>
  <c r="K27" i="20" l="1"/>
  <c r="K26" i="20"/>
  <c r="K25" i="20"/>
  <c r="G27" i="20"/>
  <c r="G26" i="20"/>
  <c r="G25" i="20"/>
  <c r="K17" i="20"/>
  <c r="K16" i="20"/>
  <c r="K15" i="20"/>
  <c r="G17" i="20"/>
  <c r="G16" i="20"/>
  <c r="G15" i="20"/>
  <c r="K7" i="20"/>
  <c r="K6" i="20"/>
  <c r="K5" i="20"/>
  <c r="G7" i="20"/>
  <c r="G6" i="20"/>
  <c r="G5" i="20"/>
  <c r="K24" i="20"/>
  <c r="G24" i="20"/>
  <c r="K14" i="20"/>
  <c r="G14" i="20"/>
  <c r="K4" i="20"/>
  <c r="G4" i="20"/>
  <c r="K29" i="20" l="1"/>
  <c r="K28" i="20"/>
  <c r="K12" i="20"/>
  <c r="K2" i="20"/>
  <c r="G22" i="20"/>
  <c r="G12" i="20"/>
  <c r="G2" i="20"/>
  <c r="K23" i="20"/>
  <c r="K13" i="20"/>
  <c r="K3" i="20"/>
  <c r="G23" i="20"/>
  <c r="G13" i="20"/>
  <c r="G3" i="20"/>
  <c r="H2" i="31"/>
  <c r="I2" i="31" l="1"/>
  <c r="J2" i="31" s="1"/>
  <c r="H2" i="1"/>
  <c r="H2" i="5"/>
  <c r="H2" i="4"/>
  <c r="K2" i="31" l="1"/>
  <c r="L2" i="31" s="1"/>
  <c r="I2" i="5"/>
  <c r="J2" i="5" s="1"/>
  <c r="K2" i="5" s="1"/>
  <c r="L2" i="5" s="1"/>
  <c r="I2" i="4"/>
  <c r="J2" i="4" s="1"/>
  <c r="K2" i="4" s="1"/>
  <c r="L2" i="4" s="1"/>
  <c r="I2" i="1"/>
  <c r="J2" i="1" s="1"/>
  <c r="K2" i="1" s="1"/>
  <c r="L2" i="1" s="1"/>
  <c r="I2" i="2"/>
  <c r="J2" i="2" l="1"/>
  <c r="K2" i="2" s="1"/>
  <c r="L2" i="2" s="1"/>
  <c r="G9" i="20" l="1"/>
  <c r="O4" i="20" l="1"/>
  <c r="O3" i="20"/>
  <c r="B3" i="20" s="1"/>
  <c r="G2" i="5"/>
  <c r="G2" i="29"/>
  <c r="G2" i="38"/>
  <c r="G2" i="31"/>
  <c r="G2" i="4"/>
  <c r="G2" i="1"/>
  <c r="G2" i="39"/>
  <c r="G2" i="2"/>
  <c r="T301" i="1" l="1"/>
  <c r="T134" i="2"/>
  <c r="T7" i="39"/>
  <c r="T6" i="39"/>
  <c r="T9" i="39"/>
  <c r="T8" i="39"/>
  <c r="T11" i="39"/>
  <c r="T10" i="39"/>
  <c r="T274" i="1"/>
  <c r="T12" i="39"/>
  <c r="T13" i="39"/>
  <c r="T176" i="2"/>
  <c r="T14" i="39"/>
  <c r="T4" i="39"/>
  <c r="T4" i="38"/>
  <c r="T4" i="4"/>
  <c r="T4" i="2"/>
  <c r="T135" i="2"/>
  <c r="T15" i="39"/>
  <c r="T204" i="5"/>
  <c r="T195" i="5"/>
  <c r="T187" i="5"/>
  <c r="T179" i="5"/>
  <c r="T171" i="5"/>
  <c r="T163" i="5"/>
  <c r="T155" i="5"/>
  <c r="T147" i="5"/>
  <c r="T139" i="5"/>
  <c r="T131" i="5"/>
  <c r="T123" i="5"/>
  <c r="T116" i="5"/>
  <c r="T108" i="5"/>
  <c r="T100" i="5"/>
  <c r="T92" i="5"/>
  <c r="T84" i="5"/>
  <c r="T76" i="5"/>
  <c r="T68" i="5"/>
  <c r="T60" i="5"/>
  <c r="T52" i="5"/>
  <c r="T44" i="5"/>
  <c r="T36" i="5"/>
  <c r="T28" i="5"/>
  <c r="T20" i="5"/>
  <c r="T12" i="5"/>
  <c r="T4" i="5"/>
  <c r="T21" i="4"/>
  <c r="T13" i="4"/>
  <c r="T6" i="4"/>
  <c r="T203" i="5"/>
  <c r="T194" i="5"/>
  <c r="T186" i="5"/>
  <c r="T178" i="5"/>
  <c r="T170" i="5"/>
  <c r="T162" i="5"/>
  <c r="T154" i="5"/>
  <c r="T202" i="5"/>
  <c r="T193" i="5"/>
  <c r="T185" i="5"/>
  <c r="T177" i="5"/>
  <c r="T169" i="5"/>
  <c r="T161" i="5"/>
  <c r="T153" i="5"/>
  <c r="T201" i="5"/>
  <c r="T192" i="5"/>
  <c r="T184" i="5"/>
  <c r="T176" i="5"/>
  <c r="T168" i="5"/>
  <c r="T160" i="5"/>
  <c r="T152" i="5"/>
  <c r="T144" i="5"/>
  <c r="T136" i="5"/>
  <c r="T128" i="5"/>
  <c r="T121" i="5"/>
  <c r="T113" i="5"/>
  <c r="T105" i="5"/>
  <c r="T97" i="5"/>
  <c r="T89" i="5"/>
  <c r="T81" i="5"/>
  <c r="T73" i="5"/>
  <c r="T65" i="5"/>
  <c r="T57" i="5"/>
  <c r="T49" i="5"/>
  <c r="T41" i="5"/>
  <c r="T33" i="5"/>
  <c r="T25" i="5"/>
  <c r="T17" i="5"/>
  <c r="T9" i="5"/>
  <c r="T26" i="4"/>
  <c r="T18" i="4"/>
  <c r="T11" i="4"/>
  <c r="T197" i="5"/>
  <c r="T191" i="5"/>
  <c r="T183" i="5"/>
  <c r="T175" i="5"/>
  <c r="T167" i="5"/>
  <c r="T159" i="5"/>
  <c r="T151" i="5"/>
  <c r="T143" i="5"/>
  <c r="T135" i="5"/>
  <c r="T127" i="5"/>
  <c r="T120" i="5"/>
  <c r="T112" i="5"/>
  <c r="T104" i="5"/>
  <c r="T96" i="5"/>
  <c r="T88" i="5"/>
  <c r="T80" i="5"/>
  <c r="T72" i="5"/>
  <c r="T64" i="5"/>
  <c r="T56" i="5"/>
  <c r="T48" i="5"/>
  <c r="T40" i="5"/>
  <c r="T32" i="5"/>
  <c r="T24" i="5"/>
  <c r="T16" i="5"/>
  <c r="T8" i="5"/>
  <c r="T25" i="4"/>
  <c r="T17" i="4"/>
  <c r="T10" i="4"/>
  <c r="T198" i="5"/>
  <c r="T190" i="5"/>
  <c r="T182" i="5"/>
  <c r="T174" i="5"/>
  <c r="T166" i="5"/>
  <c r="T158" i="5"/>
  <c r="T150" i="5"/>
  <c r="T142" i="5"/>
  <c r="T134" i="5"/>
  <c r="T126" i="5"/>
  <c r="T119" i="5"/>
  <c r="T111" i="5"/>
  <c r="T103" i="5"/>
  <c r="T95" i="5"/>
  <c r="T87" i="5"/>
  <c r="T79" i="5"/>
  <c r="T71" i="5"/>
  <c r="T63" i="5"/>
  <c r="T55" i="5"/>
  <c r="T47" i="5"/>
  <c r="T39" i="5"/>
  <c r="T31" i="5"/>
  <c r="T23" i="5"/>
  <c r="T15" i="5"/>
  <c r="T7" i="5"/>
  <c r="T24" i="4"/>
  <c r="T16" i="4"/>
  <c r="T9" i="4"/>
  <c r="T200" i="5"/>
  <c r="T189" i="5"/>
  <c r="T181" i="5"/>
  <c r="T173" i="5"/>
  <c r="T165" i="5"/>
  <c r="T157" i="5"/>
  <c r="T149" i="5"/>
  <c r="T141" i="5"/>
  <c r="T133" i="5"/>
  <c r="T125" i="5"/>
  <c r="T118" i="5"/>
  <c r="T110" i="5"/>
  <c r="T102" i="5"/>
  <c r="T94" i="5"/>
  <c r="T86" i="5"/>
  <c r="T78" i="5"/>
  <c r="T70" i="5"/>
  <c r="T62" i="5"/>
  <c r="T54" i="5"/>
  <c r="T46" i="5"/>
  <c r="T38" i="5"/>
  <c r="T30" i="5"/>
  <c r="T22" i="5"/>
  <c r="T14" i="5"/>
  <c r="T6" i="5"/>
  <c r="T23" i="4"/>
  <c r="T15" i="4"/>
  <c r="T8" i="4"/>
  <c r="T180" i="5"/>
  <c r="T138" i="5"/>
  <c r="T117" i="5"/>
  <c r="T98" i="5"/>
  <c r="T75" i="5"/>
  <c r="T53" i="5"/>
  <c r="T34" i="5"/>
  <c r="T11" i="5"/>
  <c r="T14" i="4"/>
  <c r="T195" i="2"/>
  <c r="T187" i="2"/>
  <c r="T179" i="2"/>
  <c r="T169" i="2"/>
  <c r="T161" i="2"/>
  <c r="T153" i="2"/>
  <c r="T145" i="2"/>
  <c r="T137" i="2"/>
  <c r="T128" i="2"/>
  <c r="T120" i="2"/>
  <c r="T112" i="2"/>
  <c r="T104" i="2"/>
  <c r="T96" i="2"/>
  <c r="T88" i="2"/>
  <c r="T80" i="2"/>
  <c r="T72" i="2"/>
  <c r="T64" i="2"/>
  <c r="T56" i="2"/>
  <c r="T48" i="2"/>
  <c r="T40" i="2"/>
  <c r="T32" i="2"/>
  <c r="T24" i="2"/>
  <c r="T16" i="2"/>
  <c r="T8" i="2"/>
  <c r="T297" i="1"/>
  <c r="T289" i="1"/>
  <c r="T281" i="1"/>
  <c r="T272" i="1"/>
  <c r="T264" i="1"/>
  <c r="T256" i="1"/>
  <c r="T248" i="1"/>
  <c r="T240" i="1"/>
  <c r="T232" i="1"/>
  <c r="T224" i="1"/>
  <c r="T216" i="1"/>
  <c r="T164" i="5"/>
  <c r="T132" i="5"/>
  <c r="T114" i="5"/>
  <c r="T91" i="5"/>
  <c r="T69" i="5"/>
  <c r="T50" i="5"/>
  <c r="T27" i="5"/>
  <c r="T5" i="5"/>
  <c r="T193" i="2"/>
  <c r="T185" i="2"/>
  <c r="T177" i="2"/>
  <c r="T167" i="2"/>
  <c r="T159" i="2"/>
  <c r="T151" i="2"/>
  <c r="T143" i="2"/>
  <c r="T175" i="2"/>
  <c r="T126" i="2"/>
  <c r="T118" i="2"/>
  <c r="T110" i="2"/>
  <c r="T102" i="2"/>
  <c r="T94" i="2"/>
  <c r="T86" i="2"/>
  <c r="T78" i="2"/>
  <c r="T70" i="2"/>
  <c r="T62" i="2"/>
  <c r="T54" i="2"/>
  <c r="T46" i="2"/>
  <c r="T38" i="2"/>
  <c r="T30" i="2"/>
  <c r="T22" i="2"/>
  <c r="T14" i="2"/>
  <c r="T6" i="2"/>
  <c r="T295" i="1"/>
  <c r="T148" i="5"/>
  <c r="T129" i="5"/>
  <c r="T107" i="5"/>
  <c r="T85" i="5"/>
  <c r="T66" i="5"/>
  <c r="T43" i="5"/>
  <c r="T21" i="5"/>
  <c r="T27" i="4"/>
  <c r="T5" i="4"/>
  <c r="T191" i="2"/>
  <c r="T183" i="2"/>
  <c r="T173" i="2"/>
  <c r="T165" i="2"/>
  <c r="T157" i="2"/>
  <c r="T149" i="2"/>
  <c r="T141" i="2"/>
  <c r="T132" i="2"/>
  <c r="T124" i="2"/>
  <c r="T116" i="2"/>
  <c r="T108" i="2"/>
  <c r="T100" i="2"/>
  <c r="T92" i="2"/>
  <c r="T84" i="2"/>
  <c r="T76" i="2"/>
  <c r="T68" i="2"/>
  <c r="T60" i="2"/>
  <c r="T52" i="2"/>
  <c r="T44" i="2"/>
  <c r="T36" i="2"/>
  <c r="T28" i="2"/>
  <c r="T20" i="2"/>
  <c r="T12" i="2"/>
  <c r="T293" i="1"/>
  <c r="T285" i="1"/>
  <c r="T277" i="1"/>
  <c r="T268" i="1"/>
  <c r="T260" i="1"/>
  <c r="T252" i="1"/>
  <c r="T244" i="1"/>
  <c r="T236" i="1"/>
  <c r="T228" i="1"/>
  <c r="T220" i="1"/>
  <c r="T212" i="1"/>
  <c r="T196" i="5"/>
  <c r="T130" i="5"/>
  <c r="T99" i="5"/>
  <c r="T61" i="5"/>
  <c r="T29" i="5"/>
  <c r="T20" i="4"/>
  <c r="T192" i="2"/>
  <c r="T180" i="2"/>
  <c r="T164" i="2"/>
  <c r="T152" i="2"/>
  <c r="T139" i="2"/>
  <c r="T125" i="2"/>
  <c r="T113" i="2"/>
  <c r="T99" i="2"/>
  <c r="T87" i="2"/>
  <c r="T74" i="2"/>
  <c r="T61" i="2"/>
  <c r="T49" i="2"/>
  <c r="T35" i="2"/>
  <c r="T23" i="2"/>
  <c r="T10" i="2"/>
  <c r="T294" i="1"/>
  <c r="T283" i="1"/>
  <c r="T271" i="1"/>
  <c r="T261" i="1"/>
  <c r="T250" i="1"/>
  <c r="T239" i="1"/>
  <c r="T229" i="1"/>
  <c r="T218" i="1"/>
  <c r="T14" i="1"/>
  <c r="T6" i="1"/>
  <c r="T5" i="1"/>
  <c r="T172" i="5"/>
  <c r="T122" i="5"/>
  <c r="T90" i="5"/>
  <c r="T58" i="5"/>
  <c r="T19" i="5"/>
  <c r="T12" i="4"/>
  <c r="T174" i="2"/>
  <c r="T162" i="2"/>
  <c r="T136" i="2"/>
  <c r="T109" i="2"/>
  <c r="T83" i="2"/>
  <c r="T58" i="2"/>
  <c r="T19" i="2"/>
  <c r="T269" i="1"/>
  <c r="T247" i="1"/>
  <c r="T226" i="1"/>
  <c r="T12" i="1"/>
  <c r="T4" i="1"/>
  <c r="T101" i="5"/>
  <c r="T140" i="2"/>
  <c r="T75" i="2"/>
  <c r="T63" i="2"/>
  <c r="T25" i="2"/>
  <c r="T275" i="1"/>
  <c r="T251" i="1"/>
  <c r="T219" i="1"/>
  <c r="T15" i="1"/>
  <c r="T188" i="5"/>
  <c r="T124" i="5"/>
  <c r="T93" i="5"/>
  <c r="T59" i="5"/>
  <c r="T26" i="5"/>
  <c r="T19" i="4"/>
  <c r="T190" i="2"/>
  <c r="T178" i="2"/>
  <c r="T163" i="2"/>
  <c r="T150" i="2"/>
  <c r="T138" i="2"/>
  <c r="T123" i="2"/>
  <c r="T111" i="2"/>
  <c r="T98" i="2"/>
  <c r="T85" i="2"/>
  <c r="T73" i="2"/>
  <c r="T59" i="2"/>
  <c r="T47" i="2"/>
  <c r="T34" i="2"/>
  <c r="T21" i="2"/>
  <c r="T9" i="2"/>
  <c r="T292" i="1"/>
  <c r="T282" i="1"/>
  <c r="T270" i="1"/>
  <c r="T259" i="1"/>
  <c r="T249" i="1"/>
  <c r="T238" i="1"/>
  <c r="T227" i="1"/>
  <c r="T217" i="1"/>
  <c r="T13" i="1"/>
  <c r="T148" i="2"/>
  <c r="T97" i="2"/>
  <c r="T45" i="2"/>
  <c r="T7" i="2"/>
  <c r="T280" i="1"/>
  <c r="T258" i="1"/>
  <c r="T237" i="1"/>
  <c r="T215" i="1"/>
  <c r="T37" i="2"/>
  <c r="T189" i="2"/>
  <c r="T122" i="2"/>
  <c r="T71" i="2"/>
  <c r="T33" i="2"/>
  <c r="T291" i="1"/>
  <c r="T156" i="5"/>
  <c r="T199" i="5"/>
  <c r="T83" i="5"/>
  <c r="T51" i="5"/>
  <c r="T18" i="5"/>
  <c r="T7" i="4"/>
  <c r="T188" i="2"/>
  <c r="T172" i="2"/>
  <c r="T160" i="2"/>
  <c r="T147" i="2"/>
  <c r="T133" i="2"/>
  <c r="T121" i="2"/>
  <c r="T107" i="2"/>
  <c r="T95" i="2"/>
  <c r="T82" i="2"/>
  <c r="T69" i="2"/>
  <c r="T57" i="2"/>
  <c r="T43" i="2"/>
  <c r="T31" i="2"/>
  <c r="T18" i="2"/>
  <c r="T5" i="2"/>
  <c r="T290" i="1"/>
  <c r="T279" i="1"/>
  <c r="T267" i="1"/>
  <c r="T257" i="1"/>
  <c r="T246" i="1"/>
  <c r="T235" i="1"/>
  <c r="T225" i="1"/>
  <c r="T214" i="1"/>
  <c r="T11" i="1"/>
  <c r="T137" i="5"/>
  <c r="T67" i="5"/>
  <c r="T194" i="2"/>
  <c r="T154" i="2"/>
  <c r="T127" i="2"/>
  <c r="T89" i="2"/>
  <c r="T50" i="2"/>
  <c r="T296" i="1"/>
  <c r="T262" i="1"/>
  <c r="T241" i="1"/>
  <c r="T146" i="5"/>
  <c r="T115" i="5"/>
  <c r="T82" i="5"/>
  <c r="T45" i="5"/>
  <c r="T13" i="5"/>
  <c r="T198" i="2"/>
  <c r="T186" i="2"/>
  <c r="T171" i="2"/>
  <c r="T158" i="2"/>
  <c r="T146" i="2"/>
  <c r="T131" i="2"/>
  <c r="T119" i="2"/>
  <c r="T106" i="2"/>
  <c r="T93" i="2"/>
  <c r="T81" i="2"/>
  <c r="T67" i="2"/>
  <c r="T55" i="2"/>
  <c r="T42" i="2"/>
  <c r="T29" i="2"/>
  <c r="T17" i="2"/>
  <c r="T300" i="1"/>
  <c r="T288" i="1"/>
  <c r="T278" i="1"/>
  <c r="T266" i="1"/>
  <c r="T255" i="1"/>
  <c r="T245" i="1"/>
  <c r="T234" i="1"/>
  <c r="T223" i="1"/>
  <c r="T213" i="1"/>
  <c r="T18" i="1"/>
  <c r="T10" i="1"/>
  <c r="T145" i="5"/>
  <c r="T109" i="5"/>
  <c r="T77" i="5"/>
  <c r="T42" i="5"/>
  <c r="T10" i="5"/>
  <c r="T197" i="2"/>
  <c r="T184" i="2"/>
  <c r="T170" i="2"/>
  <c r="T156" i="2"/>
  <c r="T144" i="2"/>
  <c r="T130" i="2"/>
  <c r="T117" i="2"/>
  <c r="T105" i="2"/>
  <c r="T91" i="2"/>
  <c r="T79" i="2"/>
  <c r="T66" i="2"/>
  <c r="T53" i="2"/>
  <c r="T41" i="2"/>
  <c r="T27" i="2"/>
  <c r="T15" i="2"/>
  <c r="T299" i="1"/>
  <c r="T287" i="1"/>
  <c r="T273" i="1"/>
  <c r="T265" i="1"/>
  <c r="T254" i="1"/>
  <c r="T243" i="1"/>
  <c r="T233" i="1"/>
  <c r="T222" i="1"/>
  <c r="T211" i="1"/>
  <c r="T17" i="1"/>
  <c r="T9" i="1"/>
  <c r="T22" i="4"/>
  <c r="T181" i="2"/>
  <c r="T114" i="2"/>
  <c r="T11" i="2"/>
  <c r="T230" i="1"/>
  <c r="T140" i="5"/>
  <c r="T106" i="5"/>
  <c r="T74" i="5"/>
  <c r="T37" i="5"/>
  <c r="T28" i="4"/>
  <c r="T196" i="2"/>
  <c r="T182" i="2"/>
  <c r="T168" i="2"/>
  <c r="T155" i="2"/>
  <c r="T142" i="2"/>
  <c r="T129" i="2"/>
  <c r="T115" i="2"/>
  <c r="T103" i="2"/>
  <c r="T90" i="2"/>
  <c r="T77" i="2"/>
  <c r="T65" i="2"/>
  <c r="T51" i="2"/>
  <c r="T39" i="2"/>
  <c r="T26" i="2"/>
  <c r="T13" i="2"/>
  <c r="T298" i="1"/>
  <c r="T286" i="1"/>
  <c r="T276" i="1"/>
  <c r="T263" i="1"/>
  <c r="T253" i="1"/>
  <c r="T242" i="1"/>
  <c r="T231" i="1"/>
  <c r="T221" i="1"/>
  <c r="T16" i="1"/>
  <c r="T8" i="1"/>
  <c r="T35" i="5"/>
  <c r="T166" i="2"/>
  <c r="T101" i="2"/>
  <c r="T284" i="1"/>
  <c r="T7" i="1"/>
  <c r="T17" i="39"/>
  <c r="T16" i="39"/>
  <c r="T19" i="39"/>
  <c r="T18" i="39"/>
  <c r="T5" i="39"/>
  <c r="T20" i="39"/>
  <c r="T22" i="39"/>
  <c r="T21" i="39"/>
  <c r="T207" i="1"/>
  <c r="T166" i="1"/>
  <c r="T186" i="1"/>
  <c r="T185" i="1"/>
  <c r="T151" i="1"/>
  <c r="T135" i="1"/>
  <c r="T119" i="1"/>
  <c r="T103" i="1"/>
  <c r="T192" i="1"/>
  <c r="T169" i="1"/>
  <c r="T114" i="1"/>
  <c r="T84" i="1"/>
  <c r="T68" i="1"/>
  <c r="T52" i="1"/>
  <c r="T36" i="1"/>
  <c r="T20" i="1"/>
  <c r="T100" i="1"/>
  <c r="T130" i="1"/>
  <c r="T167" i="1"/>
  <c r="T156" i="1"/>
  <c r="T93" i="1"/>
  <c r="T77" i="1"/>
  <c r="T61" i="1"/>
  <c r="T45" i="1"/>
  <c r="T29" i="1"/>
  <c r="T203" i="1"/>
  <c r="T182" i="1"/>
  <c r="T181" i="1"/>
  <c r="T149" i="1"/>
  <c r="T133" i="1"/>
  <c r="T117" i="1"/>
  <c r="T101" i="1"/>
  <c r="T188" i="1"/>
  <c r="T158" i="1"/>
  <c r="T98" i="1"/>
  <c r="T82" i="1"/>
  <c r="T66" i="1"/>
  <c r="T50" i="1"/>
  <c r="T34" i="1"/>
  <c r="T126" i="1"/>
  <c r="T118" i="1"/>
  <c r="T120" i="1"/>
  <c r="T148" i="1"/>
  <c r="T91" i="1"/>
  <c r="T75" i="1"/>
  <c r="T59" i="1"/>
  <c r="T43" i="1"/>
  <c r="T27" i="1"/>
  <c r="T199" i="1"/>
  <c r="T210" i="1"/>
  <c r="T178" i="1"/>
  <c r="T209" i="1"/>
  <c r="T177" i="1"/>
  <c r="T147" i="1"/>
  <c r="T131" i="1"/>
  <c r="T115" i="1"/>
  <c r="T99" i="1"/>
  <c r="T184" i="1"/>
  <c r="T112" i="1"/>
  <c r="T173" i="1"/>
  <c r="T96" i="1"/>
  <c r="T80" i="1"/>
  <c r="T64" i="1"/>
  <c r="T48" i="1"/>
  <c r="T32" i="1"/>
  <c r="T102" i="1"/>
  <c r="T104" i="1"/>
  <c r="T140" i="1"/>
  <c r="T89" i="1"/>
  <c r="T73" i="1"/>
  <c r="T57" i="1"/>
  <c r="T41" i="1"/>
  <c r="T25" i="1"/>
  <c r="T195" i="1"/>
  <c r="T206" i="1"/>
  <c r="T168" i="1"/>
  <c r="T205" i="1"/>
  <c r="T170" i="1"/>
  <c r="T145" i="1"/>
  <c r="T129" i="1"/>
  <c r="T113" i="1"/>
  <c r="T180" i="1"/>
  <c r="T160" i="1"/>
  <c r="T94" i="1"/>
  <c r="T78" i="1"/>
  <c r="T62" i="1"/>
  <c r="T46" i="1"/>
  <c r="T30" i="1"/>
  <c r="T172" i="1"/>
  <c r="T132" i="1"/>
  <c r="T87" i="1"/>
  <c r="T71" i="1"/>
  <c r="T55" i="1"/>
  <c r="T39" i="1"/>
  <c r="T23" i="1"/>
  <c r="T175" i="1"/>
  <c r="T191" i="1"/>
  <c r="T202" i="1"/>
  <c r="T201" i="1"/>
  <c r="T162" i="1"/>
  <c r="T143" i="1"/>
  <c r="T127" i="1"/>
  <c r="T111" i="1"/>
  <c r="T208" i="1"/>
  <c r="T176" i="1"/>
  <c r="T142" i="1"/>
  <c r="T152" i="1"/>
  <c r="T92" i="1"/>
  <c r="T76" i="1"/>
  <c r="T60" i="1"/>
  <c r="T44" i="1"/>
  <c r="T28" i="1"/>
  <c r="T163" i="1"/>
  <c r="T122" i="1"/>
  <c r="T85" i="1"/>
  <c r="T69" i="1"/>
  <c r="T53" i="1"/>
  <c r="T37" i="1"/>
  <c r="T21" i="1"/>
  <c r="T161" i="1"/>
  <c r="T187" i="1"/>
  <c r="T198" i="1"/>
  <c r="T174" i="1"/>
  <c r="T197" i="1"/>
  <c r="T157" i="1"/>
  <c r="T141" i="1"/>
  <c r="T125" i="1"/>
  <c r="T109" i="1"/>
  <c r="T204" i="1"/>
  <c r="T164" i="1"/>
  <c r="T134" i="1"/>
  <c r="T144" i="1"/>
  <c r="T90" i="1"/>
  <c r="T74" i="1"/>
  <c r="T58" i="1"/>
  <c r="T42" i="1"/>
  <c r="T26" i="1"/>
  <c r="T154" i="1"/>
  <c r="T106" i="1"/>
  <c r="T83" i="1"/>
  <c r="T67" i="1"/>
  <c r="T51" i="1"/>
  <c r="T35" i="1"/>
  <c r="T19" i="1"/>
  <c r="T124" i="1"/>
  <c r="T183" i="1"/>
  <c r="T194" i="1"/>
  <c r="T165" i="1"/>
  <c r="T193" i="1"/>
  <c r="T155" i="1"/>
  <c r="T139" i="1"/>
  <c r="T123" i="1"/>
  <c r="T107" i="1"/>
  <c r="T200" i="1"/>
  <c r="T110" i="1"/>
  <c r="T136" i="1"/>
  <c r="T88" i="1"/>
  <c r="T72" i="1"/>
  <c r="T56" i="1"/>
  <c r="T40" i="1"/>
  <c r="T24" i="1"/>
  <c r="T146" i="1"/>
  <c r="T171" i="1"/>
  <c r="T97" i="1"/>
  <c r="T81" i="1"/>
  <c r="T65" i="1"/>
  <c r="T49" i="1"/>
  <c r="T33" i="1"/>
  <c r="T108" i="1"/>
  <c r="T179" i="1"/>
  <c r="T190" i="1"/>
  <c r="T189" i="1"/>
  <c r="T153" i="1"/>
  <c r="T137" i="1"/>
  <c r="T121" i="1"/>
  <c r="T105" i="1"/>
  <c r="T196" i="1"/>
  <c r="T128" i="1"/>
  <c r="T86" i="1"/>
  <c r="T70" i="1"/>
  <c r="T54" i="1"/>
  <c r="T38" i="1"/>
  <c r="T22" i="1"/>
  <c r="T116" i="1"/>
  <c r="T138" i="1"/>
  <c r="T159" i="1"/>
  <c r="T95" i="1"/>
  <c r="T79" i="1"/>
  <c r="T63" i="1"/>
  <c r="T47" i="1"/>
  <c r="T31" i="1"/>
  <c r="T150" i="1"/>
  <c r="G19" i="20"/>
  <c r="G29" i="20"/>
  <c r="G38" i="20" l="1"/>
  <c r="F2" i="31"/>
  <c r="F2" i="5" l="1"/>
  <c r="F2" i="4"/>
  <c r="F2" i="2"/>
  <c r="F2" i="1"/>
  <c r="F2" i="29" l="1"/>
  <c r="N2" i="20"/>
  <c r="K19" i="20" l="1"/>
  <c r="K9" i="20"/>
  <c r="I2" i="29"/>
  <c r="J2" i="29" l="1"/>
  <c r="K2" i="29" l="1"/>
  <c r="L2" i="29" l="1"/>
  <c r="T480" i="29" s="1"/>
  <c r="O2" i="20"/>
  <c r="T479" i="29" l="1"/>
  <c r="T399" i="29"/>
  <c r="T481" i="29"/>
  <c r="T322" i="29"/>
  <c r="T400" i="29"/>
  <c r="T120" i="29"/>
  <c r="T483" i="29"/>
  <c r="T484" i="29"/>
  <c r="T402" i="29"/>
  <c r="T320" i="29"/>
  <c r="T398" i="29"/>
  <c r="T84" i="29"/>
  <c r="T487" i="29"/>
  <c r="T252" i="29"/>
  <c r="T422" i="29"/>
  <c r="T119" i="29"/>
  <c r="T192" i="29"/>
  <c r="T105" i="29"/>
  <c r="T268" i="29"/>
  <c r="T362" i="29"/>
  <c r="T46" i="29"/>
  <c r="T463" i="29"/>
  <c r="T314" i="29"/>
  <c r="T205" i="29"/>
  <c r="T274" i="29"/>
  <c r="T374" i="29"/>
  <c r="T293" i="29"/>
  <c r="T297" i="29"/>
  <c r="T431" i="29"/>
  <c r="T37" i="29"/>
  <c r="T311" i="29"/>
  <c r="T210" i="29"/>
  <c r="T237" i="29"/>
  <c r="T48" i="29"/>
  <c r="T391" i="29"/>
  <c r="T361" i="29"/>
  <c r="T336" i="29"/>
  <c r="T247" i="29"/>
  <c r="T146" i="29"/>
  <c r="T259" i="29"/>
  <c r="T421" i="29"/>
  <c r="T194" i="29"/>
  <c r="T443" i="29"/>
  <c r="T331" i="29"/>
  <c r="T459" i="29"/>
  <c r="T214" i="29"/>
  <c r="T131" i="29"/>
  <c r="T266" i="29"/>
  <c r="T378" i="29"/>
  <c r="T229" i="29"/>
  <c r="T99" i="29"/>
  <c r="T246" i="29"/>
  <c r="T49" i="29"/>
  <c r="T316" i="29"/>
  <c r="T91" i="29"/>
  <c r="T125" i="29"/>
  <c r="T325" i="29"/>
  <c r="T52" i="29"/>
  <c r="T118" i="29"/>
  <c r="T461" i="29"/>
  <c r="T233" i="29"/>
  <c r="T333" i="29"/>
  <c r="T231" i="29"/>
  <c r="T451" i="29"/>
  <c r="T301" i="29"/>
  <c r="T186" i="29"/>
  <c r="T448" i="29"/>
  <c r="T159" i="29"/>
  <c r="T254" i="29"/>
  <c r="T340" i="29"/>
  <c r="T113" i="29"/>
  <c r="T384" i="29"/>
  <c r="T63" i="29"/>
  <c r="T356" i="29"/>
  <c r="T155" i="29"/>
  <c r="T475" i="29"/>
  <c r="T440" i="29"/>
  <c r="T151" i="29"/>
  <c r="T65" i="29"/>
  <c r="T204" i="29"/>
  <c r="T41" i="29"/>
  <c r="T170" i="29"/>
  <c r="T405" i="29"/>
  <c r="T55" i="29"/>
  <c r="T165" i="29"/>
  <c r="T87" i="29"/>
  <c r="T410" i="29"/>
  <c r="T140" i="29"/>
  <c r="T271" i="29"/>
  <c r="T106" i="29"/>
  <c r="T128" i="29"/>
  <c r="T93" i="29"/>
  <c r="T175" i="29"/>
  <c r="T89" i="29"/>
  <c r="T476" i="29"/>
  <c r="T406" i="29"/>
  <c r="T143" i="29"/>
  <c r="T387" i="29"/>
  <c r="T353" i="29"/>
  <c r="T70" i="29"/>
  <c r="T478" i="29"/>
  <c r="T123" i="29"/>
  <c r="T34" i="29"/>
  <c r="T269" i="29"/>
  <c r="T295" i="29"/>
  <c r="T81" i="29"/>
  <c r="T335" i="29"/>
  <c r="T250" i="29"/>
  <c r="T133" i="29"/>
  <c r="T135" i="29"/>
  <c r="T258" i="29"/>
  <c r="T370" i="29"/>
  <c r="T38" i="29"/>
  <c r="T152" i="29"/>
  <c r="T4" i="29"/>
  <c r="T408" i="29"/>
  <c r="T211" i="29"/>
  <c r="T418" i="29"/>
  <c r="T187" i="29"/>
  <c r="T300" i="29"/>
  <c r="T101" i="29"/>
  <c r="T238" i="29"/>
  <c r="T452" i="29"/>
  <c r="T464" i="29"/>
  <c r="T86" i="29"/>
  <c r="T179" i="29"/>
  <c r="T292" i="29"/>
  <c r="T426" i="29"/>
  <c r="T330" i="29"/>
  <c r="T242" i="29"/>
  <c r="T364" i="29"/>
  <c r="T134" i="29"/>
  <c r="T390" i="29"/>
  <c r="T144" i="29"/>
  <c r="T228" i="29"/>
  <c r="T110" i="29"/>
  <c r="T261" i="29"/>
  <c r="T403" i="29"/>
  <c r="T163" i="29"/>
  <c r="T189" i="29"/>
  <c r="T379" i="29"/>
  <c r="T312" i="29"/>
  <c r="T78" i="29"/>
  <c r="T417" i="29"/>
  <c r="T185" i="29"/>
  <c r="T132" i="29"/>
  <c r="T263" i="29"/>
  <c r="T98" i="29"/>
  <c r="T413" i="29"/>
  <c r="T206" i="29"/>
  <c r="T60" i="29"/>
  <c r="T434" i="29"/>
  <c r="T39" i="29"/>
  <c r="T467" i="29"/>
  <c r="T365" i="29"/>
  <c r="T239" i="29"/>
  <c r="T382" i="29"/>
  <c r="T282" i="29"/>
  <c r="T112" i="29"/>
  <c r="T470" i="29"/>
  <c r="T115" i="29"/>
  <c r="T317" i="29"/>
  <c r="T482" i="29"/>
  <c r="T369" i="29"/>
  <c r="T367" i="29"/>
  <c r="T375" i="29"/>
  <c r="T50" i="29"/>
  <c r="T191" i="29"/>
  <c r="T203" i="29"/>
  <c r="T380" i="29"/>
  <c r="T223" i="29"/>
  <c r="T429" i="29"/>
  <c r="T153" i="29"/>
  <c r="T454" i="29"/>
  <c r="T446" i="29"/>
  <c r="T289" i="29"/>
  <c r="T423" i="29"/>
  <c r="T343" i="29"/>
  <c r="T74" i="29"/>
  <c r="T198" i="29"/>
  <c r="T200" i="29"/>
  <c r="T385" i="29"/>
  <c r="T75" i="29"/>
  <c r="T304" i="29"/>
  <c r="T174" i="29"/>
  <c r="T386" i="29"/>
  <c r="T156" i="29"/>
  <c r="T288" i="29"/>
  <c r="T217" i="29"/>
  <c r="T345" i="29"/>
  <c r="T388" i="29"/>
  <c r="T66" i="29"/>
  <c r="T230" i="29"/>
  <c r="T256" i="29"/>
  <c r="T283" i="29"/>
  <c r="T42" i="29"/>
  <c r="T409" i="29"/>
  <c r="T177" i="29"/>
  <c r="T449" i="29"/>
  <c r="T127" i="29"/>
  <c r="T430" i="29"/>
  <c r="T453" i="29"/>
  <c r="T328" i="29"/>
  <c r="T180" i="29"/>
  <c r="T94" i="29"/>
  <c r="T350" i="29"/>
  <c r="T137" i="29"/>
  <c r="T415" i="29"/>
  <c r="T339" i="29"/>
  <c r="T45" i="29"/>
  <c r="T136" i="29"/>
  <c r="T433" i="29"/>
  <c r="T445" i="29"/>
  <c r="T342" i="29"/>
  <c r="T248" i="29"/>
  <c r="T227" i="29"/>
  <c r="T466" i="29"/>
  <c r="T363" i="29"/>
  <c r="T270" i="29"/>
  <c r="T126" i="29"/>
  <c r="T164" i="29"/>
  <c r="T299" i="29"/>
  <c r="T321" i="29"/>
  <c r="T249" i="29"/>
  <c r="T196" i="29"/>
  <c r="T318" i="29"/>
  <c r="T162" i="29"/>
  <c r="T302" i="29"/>
  <c r="T366" i="29"/>
  <c r="T215" i="29"/>
  <c r="T358" i="29"/>
  <c r="T145" i="29"/>
  <c r="T404" i="29"/>
  <c r="T234" i="29"/>
  <c r="T224" i="29"/>
  <c r="T411" i="29"/>
  <c r="T438" i="29"/>
  <c r="T291" i="29"/>
  <c r="T473" i="29"/>
  <c r="T241" i="29"/>
  <c r="T47" i="29"/>
  <c r="T296" i="29"/>
  <c r="T90" i="29"/>
  <c r="T40" i="29"/>
  <c r="T441" i="29"/>
  <c r="T67" i="29"/>
  <c r="T275" i="29"/>
  <c r="T435" i="29"/>
  <c r="T251" i="29"/>
  <c r="T372" i="29"/>
  <c r="T148" i="29"/>
  <c r="T351" i="29"/>
  <c r="T428" i="29"/>
  <c r="T209" i="29"/>
  <c r="T338" i="29"/>
  <c r="T294" i="29"/>
  <c r="T377" i="29"/>
  <c r="T102" i="29"/>
  <c r="T323" i="29"/>
  <c r="T306" i="29"/>
  <c r="T71" i="29"/>
  <c r="T58" i="29"/>
  <c r="T202" i="29"/>
  <c r="T173" i="29"/>
  <c r="T83" i="29"/>
  <c r="T341" i="29"/>
  <c r="T285" i="29"/>
  <c r="T139" i="29"/>
  <c r="T150" i="29"/>
  <c r="T138" i="29"/>
  <c r="T477" i="29"/>
  <c r="T455" i="29"/>
  <c r="T208" i="29"/>
  <c r="T444" i="29"/>
  <c r="T456" i="29"/>
  <c r="T53" i="29"/>
  <c r="T43" i="29"/>
  <c r="T220" i="29"/>
  <c r="T381" i="29"/>
  <c r="T124" i="29"/>
  <c r="T117" i="29"/>
  <c r="T355" i="29"/>
  <c r="T103" i="29"/>
  <c r="T104" i="29"/>
  <c r="T92" i="29"/>
  <c r="T427" i="29"/>
  <c r="T315" i="29"/>
  <c r="T56" i="29"/>
  <c r="T35" i="29"/>
  <c r="T212" i="29"/>
  <c r="T359" i="29"/>
  <c r="T79" i="29"/>
  <c r="T462" i="29"/>
  <c r="T226" i="29"/>
  <c r="T439" i="29"/>
  <c r="T69" i="29"/>
  <c r="T486" i="29"/>
  <c r="T360" i="29"/>
  <c r="T188" i="29"/>
  <c r="T332" i="29"/>
  <c r="T169" i="29"/>
  <c r="T61" i="29"/>
  <c r="T167" i="29"/>
  <c r="T277" i="29"/>
  <c r="T82" i="29"/>
  <c r="T54" i="29"/>
  <c r="T287" i="29"/>
  <c r="T73" i="29"/>
  <c r="T122" i="29"/>
  <c r="T326" i="29"/>
  <c r="T161" i="29"/>
  <c r="T265" i="29"/>
  <c r="T414" i="29"/>
  <c r="T279" i="29"/>
  <c r="T184" i="29"/>
  <c r="T313" i="29"/>
  <c r="T260" i="29"/>
  <c r="T97" i="29"/>
  <c r="T272" i="29"/>
  <c r="T436" i="29"/>
  <c r="T344" i="29"/>
  <c r="T193" i="29"/>
  <c r="T468" i="29"/>
  <c r="T298" i="29"/>
  <c r="T64" i="29"/>
  <c r="T183" i="29"/>
  <c r="T195" i="29"/>
  <c r="T88" i="29"/>
  <c r="T77" i="29"/>
  <c r="T130" i="29"/>
  <c r="T166" i="29"/>
  <c r="T346" i="29"/>
  <c r="T253" i="29"/>
  <c r="T376" i="29"/>
  <c r="T460" i="29"/>
  <c r="T290" i="29"/>
  <c r="T469" i="29"/>
  <c r="T59" i="29"/>
  <c r="T392" i="29"/>
  <c r="T244" i="29"/>
  <c r="T264" i="29"/>
  <c r="T284" i="29"/>
  <c r="T420" i="29"/>
  <c r="T201" i="29"/>
  <c r="T348" i="29"/>
  <c r="T307" i="29"/>
  <c r="T349" i="29"/>
  <c r="T416" i="29"/>
  <c r="T76" i="29"/>
  <c r="T168" i="29"/>
  <c r="T197" i="29"/>
  <c r="T96" i="29"/>
  <c r="T216" i="29"/>
  <c r="T219" i="29"/>
  <c r="T80" i="29"/>
  <c r="T171" i="29"/>
  <c r="T221" i="29"/>
  <c r="T68" i="29"/>
  <c r="T334" i="29"/>
  <c r="T407" i="29"/>
  <c r="T36" i="29"/>
  <c r="T222" i="29"/>
  <c r="T107" i="29"/>
  <c r="T280" i="29"/>
  <c r="T57" i="29"/>
  <c r="T424" i="29"/>
  <c r="T108" i="29"/>
  <c r="T72" i="29"/>
  <c r="T286" i="29"/>
  <c r="T425" i="29"/>
  <c r="T232" i="29"/>
  <c r="T207" i="29"/>
  <c r="T213" i="29"/>
  <c r="T309" i="29"/>
  <c r="T305" i="29"/>
  <c r="T327" i="29"/>
  <c r="T111" i="29"/>
  <c r="T474" i="29"/>
  <c r="T310" i="29"/>
  <c r="T337" i="29"/>
  <c r="T100" i="29"/>
  <c r="T308" i="29"/>
  <c r="T442" i="29"/>
  <c r="T347" i="29"/>
  <c r="T121" i="29"/>
  <c r="T199" i="29"/>
  <c r="T190" i="29"/>
  <c r="T278" i="29"/>
  <c r="T447" i="29"/>
  <c r="T373" i="29"/>
  <c r="T472" i="29"/>
  <c r="T176" i="29"/>
  <c r="T368" i="29"/>
  <c r="T178" i="29"/>
  <c r="T437" i="29"/>
  <c r="T319" i="29"/>
  <c r="T218" i="29"/>
  <c r="T383" i="29"/>
  <c r="T51" i="29"/>
  <c r="T371" i="29"/>
  <c r="T457" i="29"/>
  <c r="T471" i="29"/>
  <c r="T172" i="29"/>
  <c r="T149" i="29"/>
  <c r="T389" i="29"/>
  <c r="T116" i="29"/>
  <c r="T158" i="29"/>
  <c r="T235" i="29"/>
  <c r="T281" i="29"/>
  <c r="T257" i="29"/>
  <c r="T262" i="29"/>
  <c r="T329" i="29"/>
  <c r="T225" i="29"/>
  <c r="T109" i="29"/>
  <c r="T354" i="29"/>
  <c r="T352" i="29"/>
  <c r="T419" i="29"/>
  <c r="T236" i="29"/>
  <c r="T141" i="29"/>
  <c r="T147" i="29"/>
  <c r="T450" i="29"/>
  <c r="T142" i="29"/>
  <c r="T157" i="29"/>
  <c r="T324" i="29"/>
  <c r="T412" i="29"/>
  <c r="T276" i="29"/>
  <c r="T85" i="29"/>
  <c r="T95" i="29"/>
  <c r="T458" i="29"/>
  <c r="T182" i="29"/>
  <c r="T267" i="29"/>
  <c r="T154" i="29"/>
  <c r="T255" i="29"/>
  <c r="T160" i="29"/>
  <c r="T114" i="29"/>
  <c r="T44" i="29"/>
  <c r="T465" i="29"/>
  <c r="T245" i="29"/>
  <c r="T303" i="29"/>
  <c r="T273" i="29"/>
  <c r="T240" i="29"/>
  <c r="T432" i="29"/>
  <c r="T62" i="29"/>
  <c r="T181" i="29"/>
  <c r="T243" i="29"/>
  <c r="T357" i="29"/>
  <c r="T129" i="29"/>
  <c r="T485" i="29"/>
  <c r="T395" i="29"/>
  <c r="T401" i="29"/>
  <c r="T393" i="29"/>
  <c r="T394" i="29"/>
  <c r="T9" i="29"/>
  <c r="T396" i="29"/>
  <c r="T397" i="29"/>
  <c r="T8" i="29"/>
  <c r="T18" i="29"/>
  <c r="T7" i="29"/>
  <c r="T30" i="29"/>
  <c r="T22" i="29"/>
  <c r="T19" i="29"/>
  <c r="T13" i="29"/>
  <c r="T10" i="29"/>
  <c r="T29" i="29"/>
  <c r="T5" i="29"/>
  <c r="T17" i="29"/>
  <c r="T21" i="29"/>
  <c r="T11" i="29"/>
  <c r="T31" i="29"/>
  <c r="T26" i="29"/>
  <c r="T23" i="29"/>
  <c r="T12" i="29"/>
  <c r="T6" i="29"/>
  <c r="T16" i="29"/>
  <c r="T28" i="29"/>
  <c r="T24" i="29"/>
  <c r="T14" i="29"/>
  <c r="T27" i="29"/>
  <c r="T32" i="29"/>
  <c r="T20" i="29"/>
  <c r="T25" i="29"/>
  <c r="T33" i="29"/>
  <c r="T15" i="29"/>
  <c r="A2" i="20"/>
  <c r="K18" i="20" l="1"/>
  <c r="K8" i="20"/>
  <c r="G28" i="20"/>
  <c r="G18" i="20"/>
  <c r="G8" i="2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1000000}" keepAlive="1" name="Query - QueryGenerale" description="Connessione alla query 'QueryGenerale' nella cartella di lavoro." type="5" refreshedVersion="6" saveData="1">
    <dbPr connection="Provider=Microsoft.Mashup.OleDb.1;Data Source=$Workbook$;Location=QueryGenerale;Extended Properties=&quot;&quot;" command="SELECT * FROM [QueryGenerale]"/>
  </connection>
  <connection id="2" xr16:uid="{00000000-0015-0000-FFFF-FFFF02000000}" keepAlive="1" name="Query - TabellaA1" description="Connessione alla query 'TabellaA1' nella cartella di lavoro." type="5" refreshedVersion="0" background="1">
    <dbPr connection="Provider=Microsoft.Mashup.OleDb.1;Data Source=$Workbook$;Location=TabellaA1;Extended Properties=&quot;&quot;" command="SELECT * FROM [TabellaA1]"/>
  </connection>
  <connection id="3" xr16:uid="{00000000-0015-0000-FFFF-FFFF03000000}" keepAlive="1" name="Query - TabellaA2" description="Connessione alla query 'TabellaA2' nella cartella di lavoro." type="5" refreshedVersion="0" background="1">
    <dbPr connection="Provider=Microsoft.Mashup.OleDb.1;Data Source=$Workbook$;Location=TabellaA2;Extended Properties=&quot;&quot;" command="SELECT * FROM [TabellaA2]"/>
  </connection>
  <connection id="4" xr16:uid="{00000000-0015-0000-FFFF-FFFF04000000}" keepAlive="1" name="Query - TabellaA3" description="Connessione alla query 'TabellaA3' nella cartella di lavoro." type="5" refreshedVersion="0" background="1">
    <dbPr connection="Provider=Microsoft.Mashup.OleDb.1;Data Source=$Workbook$;Location=TabellaA3;Extended Properties=&quot;&quot;" command="SELECT * FROM [TabellaA3]"/>
  </connection>
  <connection id="5" xr16:uid="{00000000-0015-0000-FFFF-FFFF05000000}" keepAlive="1" name="Query - TabellaBLENDING" description="Connessione alla query 'TabellaBLENDING' nella cartella di lavoro." type="5" refreshedVersion="0" background="1">
    <dbPr connection="Provider=Microsoft.Mashup.OleDb.1;Data Source=$Workbook$;Location=TabellaBLENDING;Extended Properties=&quot;&quot;" command="SELECT * FROM [TabellaBLENDING]"/>
  </connection>
  <connection id="6" xr16:uid="{00000000-0015-0000-FFFF-FFFF06000000}" keepAlive="1" name="Query - TabellaCTE" description="Connessione alla query 'TabellaCTE' nella cartella di lavoro." type="5" refreshedVersion="0" background="1">
    <dbPr connection="Provider=Microsoft.Mashup.OleDb.1;Data Source=$Workbook$;Location=TabellaCTE;Extended Properties=&quot;&quot;" command="SELECT * FROM [TabellaCTE]"/>
  </connection>
  <connection id="7" xr16:uid="{722B318D-A4A8-4B7A-8CB3-B2E214951617}" keepAlive="1" name="Query - TabellaIGCC" description="Connessione alla query 'TabellaIGCC' nella cartella di lavoro." type="5" refreshedVersion="0" background="1">
    <dbPr connection="Provider=Microsoft.Mashup.OleDb.1;Data Source=$Workbook$;Location=TabellaIGCC;Extended Properties=&quot;&quot;" command="SELECT * FROM [TabellaIGCC]"/>
  </connection>
  <connection id="8" xr16:uid="{665742D1-D8BD-43AC-8DB7-B8C4E240E12F}" keepAlive="1" name="Query - TabellaTAS" description="Connessione alla query 'TabellaTAS' nella cartella di lavoro." type="5" refreshedVersion="0" background="1">
    <dbPr connection="Provider=Microsoft.Mashup.OleDb.1;Data Source=$Workbook$;Location=TabellaTAS;Extended Properties=&quot;&quot;" command="SELECT * FROM [TabellaTAS]"/>
  </connection>
</connections>
</file>

<file path=xl/sharedStrings.xml><?xml version="1.0" encoding="utf-8"?>
<sst xmlns="http://schemas.openxmlformats.org/spreadsheetml/2006/main" count="19223" uniqueCount="3583">
  <si>
    <t xml:space="preserve">AREA </t>
  </si>
  <si>
    <t>PdL</t>
  </si>
  <si>
    <t>IMP.</t>
  </si>
  <si>
    <t>LUN</t>
  </si>
  <si>
    <t>MAR</t>
  </si>
  <si>
    <t>MER</t>
  </si>
  <si>
    <t>GIO</t>
  </si>
  <si>
    <t>VEN</t>
  </si>
  <si>
    <t>X</t>
  </si>
  <si>
    <t>TARASCIO/PARTESANO</t>
  </si>
  <si>
    <t>AREA 3</t>
  </si>
  <si>
    <t>MILLO/ALLEGRETTI</t>
  </si>
  <si>
    <t>inizio giorno di settimana:</t>
  </si>
  <si>
    <t>ANNO</t>
  </si>
  <si>
    <t>STATO
ATTIVITA'</t>
  </si>
  <si>
    <t>DATA
CONTROLLO</t>
  </si>
  <si>
    <t>DESCRIZIONE
ATTIVITA'</t>
  </si>
  <si>
    <t>PERSONALE
IMPIEGATO</t>
  </si>
  <si>
    <t>STATO
PdL</t>
  </si>
  <si>
    <t xml:space="preserve"> </t>
  </si>
  <si>
    <t>SPINALI</t>
  </si>
  <si>
    <t>DA PROCESSARE</t>
  </si>
  <si>
    <t>PROG.OGGI</t>
  </si>
  <si>
    <t>MILLO</t>
  </si>
  <si>
    <t>ATTIVITA' AREA 1</t>
  </si>
  <si>
    <t>ATTIVITA' AREA 2</t>
  </si>
  <si>
    <t>ATTIVITA' AREA 3</t>
  </si>
  <si>
    <t>ATTIVITA' CTE</t>
  </si>
  <si>
    <t>ATTIVITA' BLENDING</t>
  </si>
  <si>
    <t>RIEPILOGO</t>
  </si>
  <si>
    <t>BLENDING</t>
  </si>
  <si>
    <t>ANNO DI RIFERIMENTO</t>
  </si>
  <si>
    <t>PS</t>
  </si>
  <si>
    <t>PO</t>
  </si>
  <si>
    <t>PROG.SETT.</t>
  </si>
  <si>
    <t>dal</t>
  </si>
  <si>
    <t>al</t>
  </si>
  <si>
    <t>filtro PO:</t>
  </si>
  <si>
    <t>GARRO L.</t>
  </si>
  <si>
    <t>ESE</t>
  </si>
  <si>
    <t>SAIT</t>
  </si>
  <si>
    <t>PONTEROSSO</t>
  </si>
  <si>
    <t>ACCESSO DATI CARICA PROGRAMMAZIONE</t>
  </si>
  <si>
    <t>EMESSO</t>
  </si>
  <si>
    <t>EMESSI</t>
  </si>
  <si>
    <t>GARRO</t>
  </si>
  <si>
    <t>OGNISANTI</t>
  </si>
  <si>
    <t xml:space="preserve">ESEGUITO CONTROLLO FUNZIONALE </t>
  </si>
  <si>
    <t>PROGR. LUNEDI:</t>
  </si>
  <si>
    <t>PROGR. DOMANI:</t>
  </si>
  <si>
    <t>CAUSA INTERRUZIONE</t>
  </si>
  <si>
    <t>INTERROTTO</t>
  </si>
  <si>
    <t>DA CHIUDERE</t>
  </si>
  <si>
    <t>FERM</t>
  </si>
  <si>
    <t>MANUT</t>
  </si>
  <si>
    <t>FILTRA PDL</t>
  </si>
  <si>
    <t>FILTRA ATTIVITA'</t>
  </si>
  <si>
    <t>INTERROTTI</t>
  </si>
  <si>
    <t>CHIUSI</t>
  </si>
  <si>
    <t>536364/C</t>
  </si>
  <si>
    <t>DA PROGRAMMARE</t>
  </si>
  <si>
    <t>AVVISO</t>
  </si>
  <si>
    <t>CARICA AVVISI</t>
  </si>
  <si>
    <t>Credenziali</t>
  </si>
  <si>
    <t>SAFEWORK</t>
  </si>
  <si>
    <t>Caldarella</t>
  </si>
  <si>
    <t>ID</t>
  </si>
  <si>
    <t>password</t>
  </si>
  <si>
    <t>536407/C</t>
  </si>
  <si>
    <t>NO</t>
  </si>
  <si>
    <t>DESCRIZIONE ATTIVITA'</t>
  </si>
  <si>
    <t>PDL</t>
  </si>
  <si>
    <t>STATO PDL</t>
  </si>
  <si>
    <t>AZIONE CORRETTIVA</t>
  </si>
  <si>
    <t>DATA INTERVENTO</t>
  </si>
  <si>
    <t>PERSONALE IMPIEGATO</t>
  </si>
  <si>
    <t>DA FARE PDL</t>
  </si>
  <si>
    <t>ATTIVITA' CONCLUSE</t>
  </si>
  <si>
    <t>PROGRAMMATI</t>
  </si>
  <si>
    <t>539111/C</t>
  </si>
  <si>
    <t>SOSTITUITI RELE' PNEUMATICI SU REGOLAZIONE LIVELLO/VALVOLA, SOSTITUITO RICEVITORE 3-15 PSI, SOSTITUITI MANOMETRINI FILTRI RIDUTTORI VALVOLA/LIVELLO. LA REGOLAZIONE E' IN AUTOMATICO.</t>
  </si>
  <si>
    <t>Verifica funzionalità livellostato L614HA</t>
  </si>
  <si>
    <t>Verifica funzionalità livellostato L619HA</t>
  </si>
  <si>
    <t>Verifica funzionalità livellostato L621HA</t>
  </si>
  <si>
    <t>Verifica funzionalità livellostato L622HA</t>
  </si>
  <si>
    <t>Verifica funzionalità livellostato L623HA</t>
  </si>
  <si>
    <t>539438/C</t>
  </si>
  <si>
    <t>539444/C</t>
  </si>
  <si>
    <t>539448/C</t>
  </si>
  <si>
    <t>539454/C</t>
  </si>
  <si>
    <t>539467/C</t>
  </si>
  <si>
    <t>N. PdL</t>
  </si>
  <si>
    <t>Descrizione PdL</t>
  </si>
  <si>
    <t>Stato PdL</t>
  </si>
  <si>
    <t>OdC</t>
  </si>
  <si>
    <t>Apparecchiatura</t>
  </si>
  <si>
    <t>Unità</t>
  </si>
  <si>
    <t>Area</t>
  </si>
  <si>
    <t>Richiedente</t>
  </si>
  <si>
    <t>CARICA?</t>
  </si>
  <si>
    <t>539875/C</t>
  </si>
  <si>
    <t>DATA CONTROLLO</t>
  </si>
  <si>
    <t>DATA</t>
  </si>
  <si>
    <t>PR</t>
  </si>
  <si>
    <t xml:space="preserve"> STRUMENTO SOSTITUITO, COSTRUITA PALINA, NECESSITA INTERVENTO PONTEROSSO PER STASATURA RADICE NEGATIVA</t>
  </si>
  <si>
    <t>Nuovi Permessi di Lavoro rilevati da SafeWork</t>
  </si>
  <si>
    <t>2200 BD</t>
  </si>
  <si>
    <t>GUARINO</t>
  </si>
  <si>
    <t>T303I - IN CAMPO APERTA E NESSUN RITORNO A DCS CON ALLINEAMENTO
T304I - NON TROVATA IN CASSETTA TH6
T305I - IN CAMPO 26°C E NESSUN RITORNO A DCS CON ALLINEAMENTO
TRIS20 - IN CAMPO 23°C E NESSUN RITORNO A DCS CON ALLINEAMENTO
COSTRUITO PONTEGGIO. IN ATTESA DI INTERCETTO PERDITA VAPORE PER RIPRISTINARE MULTICAVI DANNEGGIATI</t>
  </si>
  <si>
    <t>PROGRAMMAZIONE ATTIVITA' CORRENTE</t>
  </si>
  <si>
    <t>STATO PdL2</t>
  </si>
  <si>
    <t>.</t>
  </si>
  <si>
    <t>..</t>
  </si>
  <si>
    <t>700A - RIPRISTINO JB TH6. Avviso n° 00000002</t>
  </si>
  <si>
    <t>Controllo e ripristino livello D105 filtri sale</t>
  </si>
  <si>
    <t>543006/C</t>
  </si>
  <si>
    <t>543010/C</t>
  </si>
  <si>
    <t>Ripristino L114SL livello D106 filtri sale</t>
  </si>
  <si>
    <t>543688/C</t>
  </si>
  <si>
    <t>543711/C</t>
  </si>
  <si>
    <t>Allegretti</t>
  </si>
  <si>
    <t>IN CORSO</t>
  </si>
  <si>
    <t>544285/C</t>
  </si>
  <si>
    <t>544286/C</t>
  </si>
  <si>
    <t>NECESSITA PONTEGGIO PER LO SMONTAGGIO.</t>
  </si>
  <si>
    <t>LIVELLO FUNZIONANTE, VALVOLA STARATA DEL 30% E RIPRISTINATA LA FUNZIONALITA'</t>
  </si>
  <si>
    <t>544577/C</t>
  </si>
  <si>
    <t>544672/C</t>
  </si>
  <si>
    <t>STRUMENTO DI PRESSIONE NON TROVATO INSIEME AD OPERATORE.  IL PUNTO A DCS RISULTA ALLARMATO.</t>
  </si>
  <si>
    <t>NESSUNA ANOMALIA DA SEGNALARE. STRUMENTO DOPPIO CON F302I, TRASMETTONO LA STESSA IDENTICA MISURA.</t>
  </si>
  <si>
    <t>545575/C</t>
  </si>
  <si>
    <t>10227790 - 700: VERIFICA 07T165I</t>
  </si>
  <si>
    <t>545915/C</t>
  </si>
  <si>
    <t>10227999  2200: MTZ 22L534R controllo e ripristino</t>
  </si>
  <si>
    <t>BARCODE</t>
  </si>
  <si>
    <t>AREA</t>
  </si>
  <si>
    <t>IMPIANTO</t>
  </si>
  <si>
    <t>DESCRIZIONE PDL</t>
  </si>
  <si>
    <t>TROVATA POLARITA' INVERTITA SU SEGNALE ANALOGICO. SISTEMATA ED ALLINEATA MISURA A DCS</t>
  </si>
  <si>
    <t>NULLA DA SEGNALARE .</t>
  </si>
  <si>
    <t>NON SI TROVA LO STRUMENTO Z0F152, CERCATO INSIEME AD OPERATORE, GLI ALTRI SONO STATI AZZERATI EDA ALLINEATI CON SALA CONTROLLO.</t>
  </si>
  <si>
    <t>DataUltimaModifica</t>
  </si>
  <si>
    <t>2000A</t>
  </si>
  <si>
    <t>AREA 1</t>
  </si>
  <si>
    <t/>
  </si>
  <si>
    <t>CTE</t>
  </si>
  <si>
    <t>RICHIESTO</t>
  </si>
  <si>
    <t>AREA 2</t>
  </si>
  <si>
    <t>100</t>
  </si>
  <si>
    <t>500</t>
  </si>
  <si>
    <t>700</t>
  </si>
  <si>
    <t>2600</t>
  </si>
  <si>
    <t>2000</t>
  </si>
  <si>
    <t>6000</t>
  </si>
  <si>
    <t>6300</t>
  </si>
  <si>
    <t>6400</t>
  </si>
  <si>
    <t>TAS</t>
  </si>
  <si>
    <t>1100</t>
  </si>
  <si>
    <t>NAS</t>
  </si>
  <si>
    <t>1800</t>
  </si>
  <si>
    <t>700A</t>
  </si>
  <si>
    <t>200</t>
  </si>
  <si>
    <t>300</t>
  </si>
  <si>
    <t>900</t>
  </si>
  <si>
    <t>600</t>
  </si>
  <si>
    <t>1000</t>
  </si>
  <si>
    <t>400</t>
  </si>
  <si>
    <t>800</t>
  </si>
  <si>
    <t>1400</t>
  </si>
  <si>
    <t>Richiesto</t>
  </si>
  <si>
    <t>Process Area 3</t>
  </si>
  <si>
    <t>Passanisi Domenico</t>
  </si>
  <si>
    <t>Sospensione per fine turno</t>
  </si>
  <si>
    <t>Process Area 1</t>
  </si>
  <si>
    <t>Avviso 10231940-Verifica periodica  rilevatori ambientali ottobre 2025</t>
  </si>
  <si>
    <t>Pontile</t>
  </si>
  <si>
    <t>no</t>
  </si>
  <si>
    <t>319376/S</t>
  </si>
  <si>
    <t>Assistenza alla ditta Ecocontrol Sud per campionamento in cabina SME camino E21</t>
  </si>
  <si>
    <t>6200</t>
  </si>
  <si>
    <t>319483/S</t>
  </si>
  <si>
    <t>554992/C</t>
  </si>
  <si>
    <t>Imp.100-Ripristino funzionalita' finecorsa su R120BV, R121BV; interfacciarsi con sala controllo prima di iniziare attivita'.</t>
  </si>
  <si>
    <t>Richiesto (Ese ok)</t>
  </si>
  <si>
    <t>ARCOM</t>
  </si>
  <si>
    <t>Pontile Sud</t>
  </si>
  <si>
    <t>6500</t>
  </si>
  <si>
    <t>319668/S</t>
  </si>
  <si>
    <t>Avviso 10231504-Imp.300-Verifica periodica rilevatori ambientali ottobre 2025</t>
  </si>
  <si>
    <t>319670/S</t>
  </si>
  <si>
    <t>Avviso 10232361-Imp.1800-Verifica periodica rilevatori ambientali ottobre 2025</t>
  </si>
  <si>
    <t>552839/C</t>
  </si>
  <si>
    <t>Avviso 10217843-Imp.1200/3 (linee degasaggio)-Controllo funzionalita' F901T(Port vap eiet CLAUS L 3),F902T('Port SW gas da CLAUS L3),X901V(Valvola CLAUS L3) T901I(Temp vap eiet CLAUS L 3); interfacciarsi con sala controllo prima della taratura</t>
  </si>
  <si>
    <t>IGCC Area 3</t>
  </si>
  <si>
    <t>553509/C</t>
  </si>
  <si>
    <t>SD imp.400- Vrifica logica matrice C&amp;E su F101 come da matrice allegata al PDL.</t>
  </si>
  <si>
    <t>319669/S</t>
  </si>
  <si>
    <t>Avviso 10231491-Imp.1000-Verifica periodica rilevatori ambientali ottobre 2025</t>
  </si>
  <si>
    <t>1200/3</t>
  </si>
  <si>
    <t>1200/1</t>
  </si>
  <si>
    <t>1200/0</t>
  </si>
  <si>
    <t>1200/2</t>
  </si>
  <si>
    <t>1200/4</t>
  </si>
  <si>
    <t>1200/M</t>
  </si>
  <si>
    <t>ATTIVITA' IGCC</t>
  </si>
  <si>
    <t>556341/C</t>
  </si>
  <si>
    <t>900F010R(ESANI A STOCK.)CONTROLLO E RIPRISTINO MISURA DI PORTATA</t>
  </si>
  <si>
    <t>SPURGATI PRIMARI, RIPRISTINATA MISURA ED EFFETTUARTA TARATURA. SI CONSIGLIA LA SOSTITUZIONE PERCHE' IL TX E' OBSOLETO. LE VALVOLE DI INTERCETTO NON TENGONO.</t>
  </si>
  <si>
    <t>556194/C</t>
  </si>
  <si>
    <t>SPURGATE LE PRESE, AZZERATO OK</t>
  </si>
  <si>
    <t>554440/C</t>
  </si>
  <si>
    <t>100MP 303B SOSTITUZIONE  MANOMETRO A CAPILLARE O:40 BAR SU POMPA</t>
  </si>
  <si>
    <t>SOSTITUITO MAMOMETRO.</t>
  </si>
  <si>
    <t>544421/C</t>
  </si>
  <si>
    <t>400F101 SOSTITUZIONE E PASSAGGIO CAVI TERMOCOPPIE CON RIPRISTINI SU STRUMENTAZIONE DANNEGGIATA ED ALLINEAMENTO CON SALA CONTROLLO</t>
  </si>
  <si>
    <t>RIPRISTINATO BATTENTE SULLA TRIPLICE MISURA.</t>
  </si>
  <si>
    <t>547395/C</t>
  </si>
  <si>
    <t>900L030A/B/C (LIVELLI FONDO T101) CONTROLLO E RIPRISTINO MISURA (METTERE MOS PRIMA DI INIZIARE ATTIVITA)</t>
  </si>
  <si>
    <t>544428/C</t>
  </si>
  <si>
    <t>400FCV604 : RIPRISTINO FUNZIONALITA'</t>
  </si>
  <si>
    <t>539642/C</t>
  </si>
  <si>
    <t>300 - P103B CONTROLLO E VERIFICA STRUMENTAZIONE BARILOTTO TENUTE POMPE</t>
  </si>
  <si>
    <t>ALLARME REALE (TRAFILA PRODOTTO DALLE TENUTE)</t>
  </si>
  <si>
    <t>539855/C</t>
  </si>
  <si>
    <t>400Z751HA ALLARME ABBASSAMENTO ASTA PRIMO CILINDRO C401.CONTROLLO E RIPRISTINO FUNZIONALITA(METTERE MOS SU 04Z751SH)</t>
  </si>
  <si>
    <t>539473/C</t>
  </si>
  <si>
    <t>200 - F015CV RIFLUSSO DEB. CONTROLLO E RIPRISTINO FUNZIONALITA VALVOLA</t>
  </si>
  <si>
    <t>MILLO/GARRO</t>
  </si>
  <si>
    <t>536907/C</t>
  </si>
  <si>
    <t>400 - 400T700/703R CONTROLLO TEMPERATURE ED ALLINEAMENTO CON SALA CONTROLLO</t>
  </si>
  <si>
    <t>537751/C</t>
  </si>
  <si>
    <t>300 - P103A RIMONTAGGIO STRUMENTAZIONE SU BARILOTTI TENUTA POMPE</t>
  </si>
  <si>
    <t>535185/C</t>
  </si>
  <si>
    <t>100 - P102B CONTROLLO E RIPRISTINO ALLARME CUMULATIVO 1P102BRA</t>
  </si>
  <si>
    <t>BYPASSATO TERMOSTATO DOPPIO CONTATTO ANALOGICO, CON MORSETTIERA LE CUI VITI GIRANO A VUOTO.</t>
  </si>
  <si>
    <t>535280/C</t>
  </si>
  <si>
    <t>100 - T419I (USCITA LM E107C/D)CONTROLLO E RIPRISTINO MISURA DI TEMPERATURA</t>
  </si>
  <si>
    <t>MORSETTI OSSIDATI, RIPRISTINATA FUNZIONALITA'</t>
  </si>
  <si>
    <t>TARASCIO</t>
  </si>
  <si>
    <t>534468/C</t>
  </si>
  <si>
    <t>300 - L012IC(MAMMELLONE D101)RIPRISTINO LOOP DI REGOLAZIONE CON CONTROLLO LIVELLO E VALVOLA</t>
  </si>
  <si>
    <t>SMONTAGGIO VALVOLA TROVATA OSTRUITA DA MELMA, PULITA E RIMONTATA</t>
  </si>
  <si>
    <t>CIANCHINO/SAGGIO</t>
  </si>
  <si>
    <t>534462/C</t>
  </si>
  <si>
    <t>900 - F024R(CARICA TOTALE T101) RIPRISTINO FUNZIONALITA PORTATA</t>
  </si>
  <si>
    <t>SOSTITUITO STRUMENTO GUASTO, ALLINEAMENTO MISURA CON SALA CONTROLLO</t>
  </si>
  <si>
    <t>533751/C</t>
  </si>
  <si>
    <t>100 - P102CRA (P102C ALLARME CUMULATIVO)  CONTROLLO E RIPRISTINO FUNZIONALITA</t>
  </si>
  <si>
    <t>532690/C</t>
  </si>
  <si>
    <t>100 - 01F030RC VAPORE A T104 CONTROLLO  LOOP DI REGOLAZIONE PARTENDO DALLA MISURA DI PORTATA</t>
  </si>
  <si>
    <t>NEGATIVA TAPPATA, STASATA OK. ALLARMI NON INTERVENGONO IN SALA CONTROLLO</t>
  </si>
  <si>
    <t>534322/C</t>
  </si>
  <si>
    <t>200 - P001I(INGRESSO 200-R101)CONTROLLO E TARATURA STRUMENTO DI PRESSIONE</t>
  </si>
  <si>
    <t>NULLA DA SEGNALARE, AZZERATO.</t>
  </si>
  <si>
    <t>SPINALI/SERRA</t>
  </si>
  <si>
    <t>534327/C</t>
  </si>
  <si>
    <t>200 - P002DC(DIFFERENZIALE PRESSIONE 200-R101)CONTROLLO E TARATURA STRUMENTO DI PRESSIONE</t>
  </si>
  <si>
    <t>VALVOLE D'INTERCETTO NON FANNO TENUTA, CORRETTO DI ZERO</t>
  </si>
  <si>
    <t>534324/C</t>
  </si>
  <si>
    <t>200 - P030R(USCITA 200-R101)CONTROLLO E TARATURA STRUMENTO DI PRESSIONE</t>
  </si>
  <si>
    <t>STARATA BARRIERA, SOSTITUITA CON RIPRISTINO DELLA FUNZIONALITA'</t>
  </si>
  <si>
    <t>533920/C</t>
  </si>
  <si>
    <t>200A</t>
  </si>
  <si>
    <t>200A - L355HA D303  CONTROLLO E RIPRISTINO FUNZIONALITA LIVELLOSTATO</t>
  </si>
  <si>
    <t>533748/C</t>
  </si>
  <si>
    <t xml:space="preserve">100 - L352RC (T301)CONTROLLO E TARATURA LIVELLO E  ALLINEAMENTO CON SALA CONTROLLOI </t>
  </si>
  <si>
    <t>SOSTITUITO STRUMENTO IN CHIAMATA CTG, FUNZIONANTE E COSTRUITA PALINA</t>
  </si>
  <si>
    <t>CAVAGNACCHI</t>
  </si>
  <si>
    <t>533507/C</t>
  </si>
  <si>
    <t>100 - L352CV (T301) CONTROLLO E RIPRISTINO VALVOLA ATTIVITA DA EFFETTUARE CON SUPPORTO OPERATORE</t>
  </si>
  <si>
    <t>PER VALVOLISTI</t>
  </si>
  <si>
    <t>532694/C</t>
  </si>
  <si>
    <t>100 - 01F035RC VAPORE A T103 CONTROLLO  LOOP DI REGOLAZIONE PARTENDO DALLA MISURA DI PORTATA</t>
  </si>
  <si>
    <t>532479/C</t>
  </si>
  <si>
    <t>900 - F004R PROPANO A STOCCAGGIO RIPRISTINO MISURA PORTATA</t>
  </si>
  <si>
    <t>SOSTITUITO TX DI PORTATA RIPRISTINATA FUNZIONALITA'</t>
  </si>
  <si>
    <t>523172/C</t>
  </si>
  <si>
    <t>200 T361I(TEMPERATURA FASE LIQUIDA D301)CONTROLLO E ALLINEAMENTO CON SALA CONTROLLO</t>
  </si>
  <si>
    <t>INVERSIONE DI POLARITA' SUL TERMOELEMENTO, NECESSITA PONTEGGIO PER ACCEDERE. MISURA OK DA INFO NASELLI</t>
  </si>
  <si>
    <t>527367/C</t>
  </si>
  <si>
    <t>200 - F150R(VAPORE MS L.B.)CONTROLLO E RIPRISTINO FUNZIONALITA</t>
  </si>
  <si>
    <t xml:space="preserve">RISOLTO CON SCATOLA DI CONTENIMENTO STRUMENTO IN SERVIZIO </t>
  </si>
  <si>
    <t>531793/C</t>
  </si>
  <si>
    <t>900 - (ZONA TRA T101 E P106A) RIPRISTINI CAVI E PASSARELLE  DANNEGIATE IN H24 TRAMITE REALIZZAZIONE DI GIUNTI E RIPRISTINO  CASSETE DI GIUNZIONE ELETTROVALVOLE (SOV-2 )TEMPERATURE (T3)E ALLARMI (AL1-2)</t>
  </si>
  <si>
    <t>531726/C</t>
  </si>
  <si>
    <t>900 - T101 CONTROLLO LOOP CHECK SU STRUMENTAZIONE COLONNA E A CORREDO CON LA STESSA.</t>
  </si>
  <si>
    <t>531636/C</t>
  </si>
  <si>
    <t>100 - L009CV STRIPPER T103  CONTROLLO E RIPRISTINO FUNZIONALITA VALVOLA</t>
  </si>
  <si>
    <t>531195/C</t>
  </si>
  <si>
    <t>100 - 01P501LB (ABBASSAMENTO ASTA K651B)CONTROLLO E RIPRISTINO FUNZIONALITA</t>
  </si>
  <si>
    <t>527836/C</t>
  </si>
  <si>
    <t>900  - 09L115LA BASSO LIVELLO TENUTA P115  09P115HA ALTA PRESSIONE TENUTA P115.CONTROLLO E RIPRISTINO FUNZIONALITA.</t>
  </si>
  <si>
    <t>530531/C</t>
  </si>
  <si>
    <t>100 - F470I CONTROLLO E RIPRISTINO MISURA</t>
  </si>
  <si>
    <t>530128/C</t>
  </si>
  <si>
    <t>900 - L005RC(ACQUA D104) CONTROLLO E RIPRISTINO MISURA</t>
  </si>
  <si>
    <t>527365/C</t>
  </si>
  <si>
    <t>100 - 01F023RC montaggio staffa di sostegno su nuovo strumento</t>
  </si>
  <si>
    <t>530718/C</t>
  </si>
  <si>
    <t>100 - 01F169Q (CONTATORE SODA )MONTAGGIO NUOVO  CONTATORE E PROVE DI FUNZIONALITA</t>
  </si>
  <si>
    <t>529414/C</t>
  </si>
  <si>
    <t>200A - L353CV (MEA T301)SMONTAGGIO/MONTAGGIO PER REVISIONE VALVOLA</t>
  </si>
  <si>
    <t>530131/C</t>
  </si>
  <si>
    <t>200 - T004I(USCITA CARICA TUBI E102A/B) CONTROLLO E RIPRISTINO MISURA</t>
  </si>
  <si>
    <t>529726/C</t>
  </si>
  <si>
    <t>100 - E112A/B SCOLLEGAMENTO/COLLE GAMENTO TERMOCOPPIE E  SISTEMAZIONE CAVI PER MANUTENZIONE SCAMBIATORE</t>
  </si>
  <si>
    <t>528658/C</t>
  </si>
  <si>
    <t xml:space="preserve">300 - 300X161A  300X161B (TENUTA POMPE P101A/B)CONTROLLO E RIPRISTINO ALLARMI TENUTA POMPE </t>
  </si>
  <si>
    <t>528052/C</t>
  </si>
  <si>
    <t>900 - (RIPRISTINI ALLARMI ATTIVI)IMP.900 09L110BL ALLARME TENUTA MP110/B .CONTROLLO E RIPRISTINO FUNZIONALITA.</t>
  </si>
  <si>
    <t>ESCLUSO LIVELLOSTATO GUASTO, MANCA RICAMBIO. SISTEMA OK</t>
  </si>
  <si>
    <t>528050/C</t>
  </si>
  <si>
    <t>900 - (RIPRISTINI ALLARMI ATTIVI)IMP.900 09L106BL ALLARME TENUTA MP106/B .CONTROLLO E RIPRISTINO FUNZIONALITA.</t>
  </si>
  <si>
    <t>528047/C</t>
  </si>
  <si>
    <t>900 - RIPRISTINI ALLARMI ATTIVI)IMP.900 09L106AL ALLARME TENUTA MP106/A .CONTROLLO E RIPRISTINO FUNZIONALITA.</t>
  </si>
  <si>
    <t>533269/C</t>
  </si>
  <si>
    <t>200 - F701CV INGRESSO H2 CONTROLLO E RIPRISTINO FUNZIONALITA VALVOLA CON SOSTITUZIONE ACCESSORI A CORREDO</t>
  </si>
  <si>
    <t>ATTIVITA' IN CORSO PASSATA AD OFFICINA VALVOLE</t>
  </si>
  <si>
    <t>CIANCHINO/ANDRONICO</t>
  </si>
  <si>
    <t>532930/C</t>
  </si>
  <si>
    <t>900 - F004R SOSTITUZIONE CAVO SECONDARIO E RIFACIMENTO CONDUIT TRA  STRUMENTO E CASSETTA JB E2</t>
  </si>
  <si>
    <t>COSTRUZIONE E POSA TUBO CONDUIT E PASSAGGIO DOPPINO DA CHIUDERE</t>
  </si>
  <si>
    <t>CAVAGNACCHI/MANSERVIGI</t>
  </si>
  <si>
    <t>532822/C</t>
  </si>
  <si>
    <t>200 - H261IC(VALVOLA GLOBO IDROGENO) CONTROLLO E RIPRISTINO FUNZIONALITA VALVOLA</t>
  </si>
  <si>
    <t>531429/C</t>
  </si>
  <si>
    <t>100 - T316HA CONTROLLO TEMPERATURA OLIO MANOVELLISMI K651A</t>
  </si>
  <si>
    <t>527841/C</t>
  </si>
  <si>
    <t>900 - 09P102AL BASSA PRESSIONE TENUTA P102/A CONTROLLO E RIPRISTINO FUNZIONALITA.</t>
  </si>
  <si>
    <t>ATTIVITA' CONCLUSA</t>
  </si>
  <si>
    <t>527840/C</t>
  </si>
  <si>
    <t>900 - 09P105AL BASSA PRESSIONE  TENUTA P105/A   09P105BL BASSA PRESSIONE  TENUTA P105/B.CONTROLLO E RIPRISTINO FUNZIONALITA.</t>
  </si>
  <si>
    <t>527838/C</t>
  </si>
  <si>
    <t>900 - 09L040LA BASSO LIVELLO TENUTA P107/A  09L041BASSO LIVELLO TENUTA P107/B.CONTROLLO E RIPRISTINO FUNZIONALITA.</t>
  </si>
  <si>
    <t>528660/C</t>
  </si>
  <si>
    <t xml:space="preserve">200 - 200P101AL   200P101BL (AVARIA TENUTA POMPE P101A/B )CONTROLLO E RIPRISTINO ALLARMI TENUTA POMPE </t>
  </si>
  <si>
    <t>528664/C</t>
  </si>
  <si>
    <t xml:space="preserve">200 - 200P102BL  (AVARIA TENUTA POMPA P102B )CONTROLLO E RIPRISTINO ALLARMI TENUTA POMPE </t>
  </si>
  <si>
    <t>528663/C</t>
  </si>
  <si>
    <t xml:space="preserve">200 - 200P103AL  (AVARIA TENUTA POMPA P103/A )CONTROLLO E RIPRISTINO ALLARMI TENUTA POMPE </t>
  </si>
  <si>
    <t>STARATO, CORRETTO</t>
  </si>
  <si>
    <t>528662/C</t>
  </si>
  <si>
    <t xml:space="preserve">200 - P104BL  (AVARIA TENUTA POMPA P104B )CONTROLLO E RIPRISTINO ALLARMI TENUTA POMPE </t>
  </si>
  <si>
    <t>530129/C</t>
  </si>
  <si>
    <t>900 - T006I(CONDENSATO USCITA E101A/B ) CONTROLLO E RIPRISTINO MISURA</t>
  </si>
  <si>
    <t>RIPRISTINATA FUNZIONALITA' DOPO AVER COLLEGATO</t>
  </si>
  <si>
    <t>528180/C</t>
  </si>
  <si>
    <t>(RIDUZIONE ALLARMI ATTIVI)400L612AR (D403 BLOCCO  C401 ) CONTROLLO E RIPRISTINO FUNZIONALITA LIVELLO.METTERE I MOS PRIMA DI INIZIARE L'ATTIVITA</t>
  </si>
  <si>
    <t>ATTESA RICAMBIO TESTINA FOXBORO</t>
  </si>
  <si>
    <t>529765/C</t>
  </si>
  <si>
    <t>100 - H101A (B101A) CONTROLLO E RIPRISTINO SERVOMATORE  DOPO AVER BLOCCACCATO MECCANICAMENTE LA SERRANDA</t>
  </si>
  <si>
    <t>529041/C</t>
  </si>
  <si>
    <t>900 - F019CV CONTROLLO E RIPRISTINO VALVOLA (APRE DOPO IL25% DI OP)</t>
  </si>
  <si>
    <t>LA VALVOLA RISULTA STARATA CAUSA MANCANZA ALIMENTAZIONE DAL FILTRO RIDUTTORE. AUMENTATA ARIA, ALLINEATA CON SALA CONTROLLO. ATTIVITA' DA CHIUDERE.</t>
  </si>
  <si>
    <t>529039/C</t>
  </si>
  <si>
    <t>200 - T029I TESTA T101 RIPRISTINO PRESSACAVO E CAVI DI TERMOCOPPIA</t>
  </si>
  <si>
    <t>529037/C</t>
  </si>
  <si>
    <t>200 - F015CV(RIFLUSSO DEBUT.)CONTROLLO E RIPRISTINO FUNZIONALITA VALVOLA</t>
  </si>
  <si>
    <t>528659/C</t>
  </si>
  <si>
    <t xml:space="preserve">300 - 300X163A  300X163B  300X163C  (TENUTA POMPE MP103A/B/C )CONTROLLO E RIPRISTINO ALLARMI TENUTA POMPE </t>
  </si>
  <si>
    <t>529043/C</t>
  </si>
  <si>
    <t>300 - F021CV CONTROLLO E RIPRISTINO CON TARATURA VALVOLA</t>
  </si>
  <si>
    <t>528890/C</t>
  </si>
  <si>
    <t>400 - C101A CONTROLLO PARZIALIZZAZIONE COMPRESSORE</t>
  </si>
  <si>
    <t>529044/C</t>
  </si>
  <si>
    <t>100 - L120I CONTROLLO E RIPRISTINO LIVELLO</t>
  </si>
  <si>
    <t>tag errato</t>
  </si>
  <si>
    <t>528474/C</t>
  </si>
  <si>
    <t>200F150R ELIMINAZIONE PERDITA DI VAPORE CON RIFACIMENTO TUBING BARILOTTI DI RIEMPIMENTO IN PROSSIMITA FLANGIA TARATA</t>
  </si>
  <si>
    <t xml:space="preserve">VALVOLE DI RADICE BLOCCATE. </t>
  </si>
  <si>
    <t>528714/C</t>
  </si>
  <si>
    <t>300T059RC (TESTA T101)  CONTROLLO E RIPRISTINO FUNZIONALITA CON SOSTITUZIONE BARRIERA E ALLINEAMENTO CON SALA CONTROLLO</t>
  </si>
  <si>
    <t>TERMINNATA, SOSTITUITA LA BARRIERA. SI E' DOVUTO CAMBIARE ANCHE IL DOPPINO SECONDARIO DA J. BOX, PERCHE' ERA IN DISPERSIONE. MULTICACO COMPROMESSO.</t>
  </si>
  <si>
    <t>528181/C</t>
  </si>
  <si>
    <t>(RIDUZIONE ALLARMI ATTIVI)400T151I (VAPORE USCITA SURR. F101) CONTROLLO E RIPRISTINO FUNZIONALITA TEMPERATURA</t>
  </si>
  <si>
    <t>IL DOPPINO SECONDARIO DA TERMOELEMENTO PARTE, MA NON ARRIVA A J.BOX. TAGLIATO IN PASSARELLA INSIEME A QUALCHE ALTRO CHE NON SI CAPISCE NESSUN TAG.</t>
  </si>
  <si>
    <t>527681/C</t>
  </si>
  <si>
    <t>300 - P217HA (ALTA PRESSIONE T101)CONTROLLO E RIPRISTINO FUNZIONALITA</t>
  </si>
  <si>
    <t>VALVOLA DI RADICE BLOCCATA APERTA, RILEVATA PRESSIONE D'ESERCIZIO E AUMENTATO IL SET PER RIENTRARE L'ALLARME</t>
  </si>
  <si>
    <t>527614/C</t>
  </si>
  <si>
    <t>400 - F225RC (VIRGIN NAFTA DA TOPPING)CONTROLLO E RIPRISTINO FUNZIONALITA PORTATA</t>
  </si>
  <si>
    <t>LINEA CIECATA E PORTATA SEGNA ZERO E L'ALLARME DI BASSA PORTATA RISULTA VERITIERA</t>
  </si>
  <si>
    <t>527619/C</t>
  </si>
  <si>
    <t>400 - T049IM(USCITA PASSO 1 RADIANTE F101)   400T169IM(USCITA PASSO 2 RADIANTE F101) CONTROLLO E RIPRISTINO FUNZIONALITA TEMPERATURE</t>
  </si>
  <si>
    <t>GLI STRUMENTI SONO STATI ELIMINATI DOPO IL REVAMPING, NON ESISTONO IN CAMPO E VERRANNO CANCELLATI AL DCS.</t>
  </si>
  <si>
    <t>525249/C</t>
  </si>
  <si>
    <t>100 - E1001C/D SCOLLEGAMENTO/RICOLLEGAMENTO TERMOCOPPIE E SISTEMAZIONE CAVI PER MANUTENZIONE SCAMBIATORE</t>
  </si>
  <si>
    <t>527380/C</t>
  </si>
  <si>
    <t>200 - F152R(VAPORE LS L.B.)CONTROLLO E RIPRISTINO FUNZIONALITA</t>
  </si>
  <si>
    <t>CONTROLLO FUNZIONALE, TARATURA ED ALLINEAMENTO MISURA A DCS. NESSUNA ANOMALIA</t>
  </si>
  <si>
    <t>526843/C</t>
  </si>
  <si>
    <t>100 - 01F023RC SOSTITUZIONE STRUMENTO E RIEMPIMENTO BARILOTTI CON GLICERINA</t>
  </si>
  <si>
    <t>ATTIVITA' CONCLUSA, AGGIUNTO TX E COSTRUITA STAFFA PER ANCORAGGIO</t>
  </si>
  <si>
    <t>527062/C</t>
  </si>
  <si>
    <t>100 - 100P004LA  (BASSA PRESSIONE B101A/B)CONTROLLO E RIPRISTINO FUNZIONALITA PRESSOSTATO (PIANO RIPRISTINI ALLARMI ATTIVI)</t>
  </si>
  <si>
    <t>IL PUNTO NON ESISTE A PAGINA GRAFICA, ELIMINATO A CURA TECNICO DCS.</t>
  </si>
  <si>
    <t>527047/C</t>
  </si>
  <si>
    <t>100 - 100P003DI (PREVALENZA B101B)CONTROLLO E RIPRISTINO FUNZIONALITA DIFFERENZIALE DI PRESSIONE (PIANO RIPRISTINI ALLARMI ATTIVI)</t>
  </si>
  <si>
    <t>CONTROLLO TARATURA TX, VERIFICA PRESE, INSERITO. ALLARME RIPRISTINATO.</t>
  </si>
  <si>
    <t>526933/C</t>
  </si>
  <si>
    <t>100 - F101 VALVOLA VAPORE DI SOFFIATURA SOSTITUZIONE POSIZIONATORE E RIPRISTINO FUNZIONALITA(CON VAPORE INTERCETTATO)</t>
  </si>
  <si>
    <t>SOSTITUITO POSIZIONATORE EICARD, SOSTITUITA E.V. CHE NON SCARICAVA. VALVOLA ALLINEATA OK</t>
  </si>
  <si>
    <t>526431/C</t>
  </si>
  <si>
    <t>300 - P218HA(DA D102 A E104)CONTROLLO E RIPRISTINO FUNZIONALITA PRESSOSTATO</t>
  </si>
  <si>
    <t>SOSTITUITO PRESSOSTATO, RIFACIMENTO PRIMARIO IN ACCIAIO CON AGGIUNTA DI T E VALVOLA DI DRENO DA 1/2 POLLICE.</t>
  </si>
  <si>
    <t>526779/C</t>
  </si>
  <si>
    <t>200 - 200L353CV (T301) RIPRISTINO FUNZIONALITA VALVOLA NON CHIUDE OLTRE IL 30%</t>
  </si>
  <si>
    <t>SOSTITUITO I/P CONVERTER, SBLOCCATA VALVOLA CHE RIMANEVA AL 20%, TARATA E ALLINEATA CON SALA CONTROLLO.</t>
  </si>
  <si>
    <t>MILLO/GARRO L.</t>
  </si>
  <si>
    <t>526588/C</t>
  </si>
  <si>
    <t>400 - 04F227T_BAD 04F225T_BAD verifica simulazione di portata se rientrano dal BED</t>
  </si>
  <si>
    <t>ESEGUITO AZZERAMENTO SULLE DUE PORTATE, ALLINEATE A DCS, OK.</t>
  </si>
  <si>
    <t>526579/C</t>
  </si>
  <si>
    <t>T151 CONTROLLO LOOP DI REGOLAZIONE 04-LIC152 +04-L330A/B/C   E LOGICA DELL'AUTOMATISMO DEI LIVELLI CON CONTROLLO VALVOLA DI BLOCCO 04-XV330</t>
  </si>
  <si>
    <t>CONTROLLO FUNZIONALE TRASMETTITORI, ESEGUITA TARATURA ED ALLINEATI AL LIVELLO VISIVO. CONTROLLO VALVOLA BLOCCO OK</t>
  </si>
  <si>
    <t>526301/C</t>
  </si>
  <si>
    <t>300 - F017RC VAPORE STRIPP. T101 CONTROLLO  E TARATURA  PORTATA</t>
  </si>
  <si>
    <t>POSITIVA PARZIALMENTE TAPPATA, STASATA E BYPASS ROTTO</t>
  </si>
  <si>
    <t>526298/C</t>
  </si>
  <si>
    <t>300 - F020I(H2O D104)CONTROLLO E TARATURA PORTATA</t>
  </si>
  <si>
    <t>CORRETTO DI ZERO ED ESEGUITO ALLINEAMENTO.</t>
  </si>
  <si>
    <t>525238/C</t>
  </si>
  <si>
    <t>100 - E109A/B SCOLLEGAMENTO/RICOLLEGAMENTO TERMOCOPPIE E SISTEMAZIONE CAVI PER MANUTENZIONE SCAMBIATORE</t>
  </si>
  <si>
    <t>524894/C</t>
  </si>
  <si>
    <t>100 - 01F031RC(GOL A STOCK.)CONTROLLO E TARATURA STRUMENTO DI PORTATA</t>
  </si>
  <si>
    <t>526196/C</t>
  </si>
  <si>
    <t>100 - F101 CONTROLLO FUNZIONALITA VALVOLA VAPORE SOFFIATURA(VAPORE INTERCETTATO)-VALVOLA CLYDE-</t>
  </si>
  <si>
    <t>NESSUNA ANOMALIA</t>
  </si>
  <si>
    <t>MILLO F.</t>
  </si>
  <si>
    <t>523180/C</t>
  </si>
  <si>
    <t>400 - F160R VAPORE LB CONTROLLO E RIPRISTINO FUNZIONALITA'</t>
  </si>
  <si>
    <t>NESSUNA ANOMALIA DA SEGNALARE</t>
  </si>
  <si>
    <t>524883/C</t>
  </si>
  <si>
    <t>100 - 01F354R(CARICA A STR.301 MANDATA P302A/B)CONTROLLO E TARATURA STRUMENTO DI PORTATA METTERE IL MOS PRIMA DI INIZIARE ATTIVITA</t>
  </si>
  <si>
    <t>ATTIVITA' CONCLUSA - CHIUSO</t>
  </si>
  <si>
    <t>525250/C</t>
  </si>
  <si>
    <t>200A - E302A  SCOLLEGAMENTO/RICOLLEGAMENTO TERMOCOPPIE E SISTEMAZIONE CAVI PER MANUTENZIONE SCAMBIATORE</t>
  </si>
  <si>
    <t>525236/C</t>
  </si>
  <si>
    <t>100 - E105A SCOLLEGAMENTO/RICOLLEGAMENTO TERMOCOPPIE E SISTEMAZIONE CAVI PER MANUTENZIONE SCAMBIATORE</t>
  </si>
  <si>
    <t>525360/C</t>
  </si>
  <si>
    <t>100 - RIPRISTINI STRUMENTALI E RIPRISTINI FUNZIONALITA VALVOLE  PER AVVIAMENTO IMPIANTO IN ACCORDO CON ESERCIZIO</t>
  </si>
  <si>
    <t>525048/C</t>
  </si>
  <si>
    <t>200A - L361DC(D111)CONTROLLO E RIPRISTINO FUNZIONALITA LIVELLO</t>
  </si>
  <si>
    <t>PULIZIA CORPO LIVELLO ( TROVATO PIENO DI MORCHIA NELL'EQUIPAGGIO MOBILE ), TARATO ED INSERITO. LA VALVOLA DI REGOLAZIONE E' TOTALMENTE CORROSA DA ACQUA ACIDA, SI CONSIGLIA LA REVISIONE.</t>
  </si>
  <si>
    <t>535656/C</t>
  </si>
  <si>
    <t>300 - L008RC CONTROLLO E TARATURA CON EVENTUALE  RIPRISTINO FUNZIONALITA LIVELLO</t>
  </si>
  <si>
    <t>SOTITUITO POSIZIONATORE E LOCKUP. IL NUOVO POSIZIONATORE HA UNA MOLLA DIFFERENTE DAL CAMPO DI LAVORO DEL PISTONE, E IN AUTOMATICO LA VALVOLA LAVORA DAL 15% AL 85%. PER LA TOTALE APERTURA/CHIUSURA BISOGNA METTERE LA REG. IN MAN E DARE UN  OP NEGATIVO PER CHIUDERE, E SUPEREIORE AL 110 % POSITIVO PER APRIRE. TCL NASELLI A CONOSCENZA.</t>
  </si>
  <si>
    <t>MILLO/GARRO L/CIANCHINO</t>
  </si>
  <si>
    <t>524892/C</t>
  </si>
  <si>
    <t>200A - 02F390R(CARICA LIQUIDA PASSO 2)CONTROLLO E TARATURA STRUMENTO DI PORTATA METTERE IL MOS PRIMA DI INIZIARE ATTIVITA</t>
  </si>
  <si>
    <t>524888/C</t>
  </si>
  <si>
    <t>200A - 02F379R(CARICA LIQUIDA PASSO 1)CONTROLLO E TARATURA STRUMENTO DI PORTATA METTERE IL MOS PRIMA DI INIZIARE ATTIVITA</t>
  </si>
  <si>
    <t>524881/C</t>
  </si>
  <si>
    <t>400 - V877SHH(P401B  CUSC.)CONTROLLO E RIPRISTINO SONDA DI VIBRAZIONE METTERE IL MOS PRIMA DI INIZIARE ATTIVITA</t>
  </si>
  <si>
    <t>TROVATO CAVO SCORTICATO, NASTRATO CON VULCANIZZANTE E RIPRISTINATO.</t>
  </si>
  <si>
    <t>524215/C</t>
  </si>
  <si>
    <t>200 - L005IC (MAMMELLONE D102) SMONTAGGIO PER REVISIONE LIVELLO (METTERE LE CONTROFLANGIE)</t>
  </si>
  <si>
    <t>ESEGUITO RIMONTAGGIO LIVELLO.</t>
  </si>
  <si>
    <t>524096/C</t>
  </si>
  <si>
    <t xml:space="preserve">400 - L151DRC (D101) CONTROLLO LOOP DI REGOLAZIONE PARTENDO PRIMA DAL TX LIVELLO </t>
  </si>
  <si>
    <t>CONTROLLATO E AZZERATO TRASMETTITORE DI LIVELLO INTERFASE AD ONDA GUIDATA; CONTROLLATA E TARATA VALVOLA ( STARATA DEL 25% ). LOOP IN REGOLAZIONE _OK</t>
  </si>
  <si>
    <t>MILLO/SERRA</t>
  </si>
  <si>
    <t>524094/C</t>
  </si>
  <si>
    <t xml:space="preserve">400 - L010RC(D104) CONTROLLO LOOP DI REGOLAZIONE PARTENDO PRIMA DAL TX LIVELLO </t>
  </si>
  <si>
    <t>CONTROLLATO LIVELLO, DRENATO E PROVATE PRESE INFERIORE E SUPERIORE. CONTROLLO VALVOLA REGOLATRICE ( NESSUNA ANOMALIA ).</t>
  </si>
  <si>
    <t>524414/C</t>
  </si>
  <si>
    <t>900 - F014R(FONDO T102 A STOCK)CONTROLLO E RIPRISTINO FUNZIONALITA' PORTATA</t>
  </si>
  <si>
    <t>STRUMENTO TROVATO CON BY-PASS SPUNTATO. ESEGUITA STASATURA PRESA NEGATIVA. INSERITO_OK</t>
  </si>
  <si>
    <t>524214/C</t>
  </si>
  <si>
    <t>200 - L006RC(E106A)CONTROLLO DI TARATURA TRASMETTITORE DI LIVELLO</t>
  </si>
  <si>
    <t>ESEGUITO RIEMPIMENTO CON GLICOLE, TARATO ED ALLINEATO A KLINGER.</t>
  </si>
  <si>
    <t>524093/C</t>
  </si>
  <si>
    <t>400 - F016R(ACQUA ACIDA DA D104)CONTROLLO E RIPRISTINO FUNZIONALITA' PORTATA</t>
  </si>
  <si>
    <t>LA REGOLAZIONE NON FUNZIONA DA OLTRE 10 ANNI. LO STRUMENTO CON APERTURA VALVOLA DEL 5% SEGNA 4,5 T/H SU UN F.S. DI 6.7. IN ACCORDO CON TECNOLOGIA E TCL, E' STATO CAMBIATO IL F.S. DI TARATURA TX DA 2500 A 10200mm/H20, IN ATTESA CHE IN FERMATA VENGA ISPEZIONATO IL DISCO CALIBRATO.</t>
  </si>
  <si>
    <t>524092/C</t>
  </si>
  <si>
    <t>400 - F014RC(VAPORE DI STRIPPAGGIO A T101)CONTROLLO DI TARATURA PORTATA</t>
  </si>
  <si>
    <t>523786/C</t>
  </si>
  <si>
    <t>200 - F353R(GAS LAVAGGIO)RIPRISTINO O EVENTUALE SOSTITUZIONE STRUMENTO DI PORTATA</t>
  </si>
  <si>
    <t>LE PRESE DI RADICE NON FANNO TENUTA,RIMONTATO NUOVO STRUMENTO. EMESSO VALVOLE D'INTERCETTO, CHE SI SONO SPEZZATE. IL LAVORO VA COMPLETATO IN FERMATA</t>
  </si>
  <si>
    <t>523747/C</t>
  </si>
  <si>
    <t xml:space="preserve">900 - F019RC (C3/C4 A RETE GAS)CONTROLLO E RIPRISTINO LOOP DI REGOLAZIONE </t>
  </si>
  <si>
    <t xml:space="preserve">TARATA VALVOLA PNEUMATICA ED ESEGUITO ZERO SUL TRASMETTITORE DI PORTATA. </t>
  </si>
  <si>
    <t>524052/C</t>
  </si>
  <si>
    <t>100 - H351BS(RICICLO NHDS )MONTAGGIO DOPO REVISIONE VOLANTINO VALVOLA</t>
  </si>
  <si>
    <t>ESEGUITO RIMONTAGGIO VOLANTINO MANUALE</t>
  </si>
  <si>
    <t>523553/C</t>
  </si>
  <si>
    <t>100 - 100P452RC (T301) CONTROLLO E RIPRISTINO PRESSIONE</t>
  </si>
  <si>
    <t>SOSTITUITO TRASMETTITORE DI PRESSIONE CON RIPRISTINO DELLA FUNZIONALITA'</t>
  </si>
  <si>
    <t>521859/C</t>
  </si>
  <si>
    <t xml:space="preserve">200 - F021CV(FONDO T102) SOSTITUZIONE TUBICINI ALIMENTAZIONE ARIA VALVOLA METTERE IN VOLANTINO LA VALVOLA </t>
  </si>
  <si>
    <t>RIPRISTINATA NUOVA LINEA ALIMENTAZIONE ARIA E USCITA IP-CONVERTER. (RIMESSO IN PROGRAMMA)</t>
  </si>
  <si>
    <t>523683/C</t>
  </si>
  <si>
    <t>100 - F068I STASATURA BARILOTTI E VALVOLE DI RADICE SU FLANGIA TARATA</t>
  </si>
  <si>
    <t>ESEGUITA STASATURA CON RIPRISTINO FUNZIONALITA'</t>
  </si>
  <si>
    <t>523177/C</t>
  </si>
  <si>
    <t>400 - T151RC(USCITA VAPORE SURRISCALDATO F101) CONTROLLO E ALLINEAMENTO CON SALA CONTROLLO TEMPERATURA</t>
  </si>
  <si>
    <t>RIFATTA TESTINA TERMOELEMENTO E PROVATA VALVOLA REGOLATRICE (STRETTO BYPASS); DA ESEGUIRE TUNING REGOLAZIONE ( A CURA AUTOMATION SERVICE)</t>
  </si>
  <si>
    <t>522606/C</t>
  </si>
  <si>
    <t xml:space="preserve">300T018I(USCITA PASSI F101)CONTROLLO FUNZIONALITA E ALLINEAMENTO CON SALA CONTROLLO </t>
  </si>
  <si>
    <t>SEGUITO SERRAGGIO FILI IN CAMPO CON RIPRISTINO DELLA FUNZIONALITA'</t>
  </si>
  <si>
    <t>522598/C</t>
  </si>
  <si>
    <t>300T017I (TREAT GAS USCITA F101)RIPRISTINO TEMPERATURA IN BAD</t>
  </si>
  <si>
    <t>FILO SCOLLEGATO IN CASSETTA, RICOLLEGATO E RIPRISTINATA LA FUNZIONALITA'</t>
  </si>
  <si>
    <t>522591/C</t>
  </si>
  <si>
    <t>200T019IC(E106A A T102)RIPRISTINO TEMPERATURA IN BAD</t>
  </si>
  <si>
    <t>SOSTITUITO TERMOELEMENTO CON RIPRISTINO DELLA FUNZIONALITA'.</t>
  </si>
  <si>
    <t>522590/C</t>
  </si>
  <si>
    <t>02F037R(GPL D104 A U1100)CONTROLLO DI TARATURA ED EVENTUALE CONTROLLO LOOP DI REGOLAZIONE</t>
  </si>
  <si>
    <t>522664/C</t>
  </si>
  <si>
    <t>300 - L101CV RIPRISTINO ELETTROVALVOLA DI BLOCCO</t>
  </si>
  <si>
    <t>SOSTITUITO FUSIBILE SU LOOP ELETTROVALVOLA RIPRISTINANDO LA TENSIONE IN CAMPO.</t>
  </si>
  <si>
    <t>520988/C</t>
  </si>
  <si>
    <t>100L020HA 100L021LA(D109)CONTROLLO E RIPRISTINO FUNZIONALITA'</t>
  </si>
  <si>
    <t>VALVOLE DI RADICE NON TENGONO MA INTERCETTANDO E DRENANDO VIENE ALLARMATO ALLARME DI BASSO</t>
  </si>
  <si>
    <t>522265/C</t>
  </si>
  <si>
    <t>400T044R (MANDATA 2 STADIO C101A) CONTROLLO E RIPRISTINO TEMPERATURA</t>
  </si>
  <si>
    <t xml:space="preserve">TERMOELEMENTO ROTTO. SOSTITUITO. </t>
  </si>
  <si>
    <t>TARASCIO/SERRA</t>
  </si>
  <si>
    <t>522038/C</t>
  </si>
  <si>
    <t>100 - L453RC (D302)CONTROLLO E RIPRISTINO FUNZIONALITA' LIVELLO</t>
  </si>
  <si>
    <t>CONTROLLATO LIVELLO, INTERCETTATO E SCARICATO. PRESE PROVATE. ( IL LIVELLO E' A ZERO PERCHE' E VERITIERO ). NULLA DA SEGNALARE.</t>
  </si>
  <si>
    <t>MILLO/AMARA</t>
  </si>
  <si>
    <t>522037/C</t>
  </si>
  <si>
    <t>100 - L008RC (T104)CONTROLLO E RIPRISTINO FUNZIONALITA' LIVELLO</t>
  </si>
  <si>
    <t>CONTROLLO FUNZIONALE TRASMETTITORE, VERIFICA RIEMPIMENTO, TARATURA_OK. RIMESSO IN REGOLAZIONE</t>
  </si>
  <si>
    <t>522162/C</t>
  </si>
  <si>
    <t>100 - T263HA(INGRESSO D101A)CONTROLLO E RIPRISTINO FUNZIONALITA TEMPERATURA</t>
  </si>
  <si>
    <t>CONTROLLATO TERMOELEMENTO, SI NOTA CHE SUL POZZETTO TERMOMETRICO E' PRESENTE ACQUA E FALSA LA MISURA DI 20 GRADI CIRCA. ASCIUGATA ED ALLINEATA A DCS.</t>
  </si>
  <si>
    <t>517609/C</t>
  </si>
  <si>
    <t>10211872  - 100 : LCV162 non chiude oltre il 30%. controllo LOOP di regolazione</t>
  </si>
  <si>
    <t>SBLOCCATA IN CAMPO, TARATA ED INSERITA IN REGOLAZIONE</t>
  </si>
  <si>
    <t>520993/C</t>
  </si>
  <si>
    <t>POT DI ASPIRAZIONE  K651A/B (CONTROLLO LIVELLI)</t>
  </si>
  <si>
    <t>520729/C</t>
  </si>
  <si>
    <t>400 - F024R(IDROGENO A RETE GAS)CONTROLLO DI TARATURA E ALLINEAMENTO CON SALA CONTROLLO</t>
  </si>
  <si>
    <t>RICIPUTO</t>
  </si>
  <si>
    <t>520422/C</t>
  </si>
  <si>
    <t>100 - L038HA RIPRISTINO E CONTROLLO LIVELLOSTATO</t>
  </si>
  <si>
    <t>520425/C</t>
  </si>
  <si>
    <t>100 - 100L036HA RIPRISTINO E CONTROLLO LIVELLOSTATO</t>
  </si>
  <si>
    <t>517135/C</t>
  </si>
  <si>
    <t>300F009RC(TREAT GAS A F101)CONTROLLO E TARATURA STRUMENTO</t>
  </si>
  <si>
    <t>517115/C</t>
  </si>
  <si>
    <t>400P625R(R 401B)CONTROLLO E RIPRISTINO FUNZIONALITA'</t>
  </si>
  <si>
    <t>515100/C</t>
  </si>
  <si>
    <t>P115HA P115LA (TENUTA POMPA 115)</t>
  </si>
  <si>
    <t>SPINALI/PUGLIARES</t>
  </si>
  <si>
    <t>515104/C</t>
  </si>
  <si>
    <t>900P110BL(TENUTA POMPA P110B)</t>
  </si>
  <si>
    <t>516428/C</t>
  </si>
  <si>
    <t>300F151R(VAPORE BASSA DA LIMITE BATTERIA) 300F151RA(USCITA DSH-102) CONTROLLO E RIPRISTINO FUNZIONALITA'</t>
  </si>
  <si>
    <t>516432/C</t>
  </si>
  <si>
    <t>100T156I(INGRESSO BUTANO)RIPRISTINO FUNZIONALITA' TEMPERATURA POICHE' SPESSO VA IN BAD</t>
  </si>
  <si>
    <t>515096/C</t>
  </si>
  <si>
    <t>L036HA(ALTO LIVELLO POT LINEA BILANCIO )</t>
  </si>
  <si>
    <t>515108/C</t>
  </si>
  <si>
    <t>P105AL 105BL(TENUTA POMPA 105A P105B)</t>
  </si>
  <si>
    <t>515109/C</t>
  </si>
  <si>
    <t>P102AL (TENUTA POMPA 102A)</t>
  </si>
  <si>
    <t>515111/C</t>
  </si>
  <si>
    <t>L041LA L040LA(BASSO LIVELLO TENUTA POMPA P107A P107B)</t>
  </si>
  <si>
    <t>515112/C</t>
  </si>
  <si>
    <t>L020RC (LIVELLO INTERFASE  D105B)</t>
  </si>
  <si>
    <t>515116/C</t>
  </si>
  <si>
    <t>P218HA(USCITA SEPARATORE D102)</t>
  </si>
  <si>
    <t>517838/C</t>
  </si>
  <si>
    <t>300T064RC(USCITA DSH-101)CONTROLLO E RIPRISTINO TEMPERATURA</t>
  </si>
  <si>
    <t>514822/C</t>
  </si>
  <si>
    <t>302B - SONDA DI VIBRAZIONE 01V471I</t>
  </si>
  <si>
    <t>IN ATTESA DI RIMONTAGGIO POMPA P302A PER EFFETTUARE IL CONTROLLO</t>
  </si>
  <si>
    <t>515095/C</t>
  </si>
  <si>
    <t>L038HA(ALTO LIVELLO POT LINEA 1100)</t>
  </si>
  <si>
    <t>SERVE PONTEGGIO PER ACCEDERE AL LIVELLO</t>
  </si>
  <si>
    <t>518674/C</t>
  </si>
  <si>
    <t>100F041R(KERO A U300)CONTROLLO E TARATURA STRUMENTO E CONTROLLO LOOP DI REGOLAZIONE CON RELATIVA VALVOLA</t>
  </si>
  <si>
    <t>518009/C</t>
  </si>
  <si>
    <t>300F150R CONTROLLO E RIPRISTINO FUNZIONALITA' PORTATA VAPORE</t>
  </si>
  <si>
    <t>518003/C</t>
  </si>
  <si>
    <t>100P102RCA CONTROLLO E RIPRISTINO FUNZIONALITA' ALLARME CUMULATIVO</t>
  </si>
  <si>
    <t>518006/C</t>
  </si>
  <si>
    <t>100P101BRA CONTROLLO E RIPRISTINO FUNZIONALITA' ALLARME CUMULATIVO</t>
  </si>
  <si>
    <t>518185/C</t>
  </si>
  <si>
    <t>200F041CO(MEA A T103)CONTROLLO E RIPRISTINO FUNZIONALITA'</t>
  </si>
  <si>
    <t>il problema è sulla valvola</t>
  </si>
  <si>
    <t>516709/C</t>
  </si>
  <si>
    <t>400V852I(SONDA DI VIBRAZIONE P401A CUSCINETTO)CONTROLLO  ERIPRISTINO FUNZIONALITA'.METTERE IL MOS PRIMA DI INIZIARE ATTIVITA'</t>
  </si>
  <si>
    <t>517138/C</t>
  </si>
  <si>
    <t>400F611R(H2O LAV. E105)CONTROLLO E RIPRISTINO FUNZIONALITA'.METTERE IL MOS PRIMA DI INIZIARE ATTIVITA'</t>
  </si>
  <si>
    <t>517136/C</t>
  </si>
  <si>
    <t>300F016RC(TREAT GAS A U400)CONTROLLO E TARATURA STRUMENTO</t>
  </si>
  <si>
    <t>515105/C</t>
  </si>
  <si>
    <t>P106AL 106BL(TENUTA POMPA 106A P106B)</t>
  </si>
  <si>
    <t>LAVORO IN CORSO</t>
  </si>
  <si>
    <t>515090/C</t>
  </si>
  <si>
    <t>P102BL (POMPE P102B) RIPRISTINO STRUM. TENUTA</t>
  </si>
  <si>
    <t>DA CHIUDERE, OK</t>
  </si>
  <si>
    <t>515083/C</t>
  </si>
  <si>
    <t>P101AL P101BL (POMPE P101A P101B)RIPR. STRUM. TENUTA</t>
  </si>
  <si>
    <t>514818/C</t>
  </si>
  <si>
    <t>P302A - SONDA DI VIBRAZIONE 01V470I</t>
  </si>
  <si>
    <t>SOSTITUITA, OK</t>
  </si>
  <si>
    <t>513657/C</t>
  </si>
  <si>
    <t xml:space="preserve">F169Q CONTATORE SODA PER REVISIONE IN OFFICINA </t>
  </si>
  <si>
    <t>IN ATTESA DI RIMONTAGGIO ( CORPO GUASTO)</t>
  </si>
  <si>
    <t>515091/C</t>
  </si>
  <si>
    <t>L018DL (BASSO LIVELLO INTERFASE D105)</t>
  </si>
  <si>
    <t>SOSTITUITO TUBO ALIMENTAZIONE ARIA, OK</t>
  </si>
  <si>
    <t>535625/C</t>
  </si>
  <si>
    <t>400 - P401A RIPRISTINO SONDA DI VIBRAZIONE 04V852I(METTERE I MOS PRIMA DI INIZIARE ATTIVITA)</t>
  </si>
  <si>
    <t>SOSTITUITA SONDA VIBRAZIONI. ALLINEATA CON SALA CONTROLLO.</t>
  </si>
  <si>
    <t>MILLO/CAVAGNACCHI</t>
  </si>
  <si>
    <t>537496/C</t>
  </si>
  <si>
    <t>400 - F401RC (H2 MAKE UP DA IES)CONTROLLO STRUMENTO DI PORTATA</t>
  </si>
  <si>
    <t>fare zero a retroquadro (NON SI TROVA LOOP)</t>
  </si>
  <si>
    <t>22/05/2025 00:00:00</t>
  </si>
  <si>
    <t>537928/C</t>
  </si>
  <si>
    <t>400 - C101B RIPRISTINO TUBING IN ACCIAIO PARZIALIZZAZIONE COMPRESSORE</t>
  </si>
  <si>
    <t>534896/C</t>
  </si>
  <si>
    <t>100 - F359R (RICICLO IMPIANTO NHDS)CONTROLLO E RIPRISTINO FUNZIONALITA STRUMENTO DI PORTATA</t>
  </si>
  <si>
    <t>SPINALI/CAVAGNACCHI</t>
  </si>
  <si>
    <t>538038/C</t>
  </si>
  <si>
    <t>300 - T060RC(VAPORE MS A T101)CONTROLLO E RIPRISTINO TEMPERATURA</t>
  </si>
  <si>
    <t>ATTIVITA' COMPLETATA.</t>
  </si>
  <si>
    <t>SPINALI/MANSERVIGI</t>
  </si>
  <si>
    <t>538470/C</t>
  </si>
  <si>
    <t>400 - B603V 400B604V SCOLLEGAMENTO/RICOLLEGAMENTO ELETTROPNEUMATICO PER REVISIONE VALVOLE</t>
  </si>
  <si>
    <t>SCOLLEGAMENTO PER REVISIONE VALVOLE</t>
  </si>
  <si>
    <t>SPINALI/GARRO S.</t>
  </si>
  <si>
    <t>538277/C</t>
  </si>
  <si>
    <t>400 - P401/A SMONTAGGIO/RIMONTAGGIO SONDE DI TEMPERATURA PER SOSTITUZIONE TENUTE</t>
  </si>
  <si>
    <t>SMTG SONDE DI TEMPERATURA</t>
  </si>
  <si>
    <t>538998/C</t>
  </si>
  <si>
    <t>100 - F160</t>
  </si>
  <si>
    <t>539133/C</t>
  </si>
  <si>
    <t>100 - F012RC (INGRESSO F101 PASSO 12) CONTROLLO E RIPRISTINO FUNZIONALITA PORTATA</t>
  </si>
  <si>
    <t>TROVATA TRACCIA DI VAPORE FREDDA, NECESSITA PONTEGGIO PER INTERCETTARE. TX CON NESSUNA ANOMALIA DA SEGNALARE, AZZERATA MISURA.</t>
  </si>
  <si>
    <t>541858/C</t>
  </si>
  <si>
    <t>01F457RC (RIFLUSSO T301)CONTROLLO FUNZIONALE E RIPRISTINO PERDITA SU RACCORDO GRUPPO BYPASS E PRIMARI</t>
  </si>
  <si>
    <t>ELIMINATA PERDITA DA GRUPPO BYPASS, E STASATA CON POMPA ALTA PRESSIONE PRESA NEGATIVA. STRUMENTO INSERITO OK</t>
  </si>
  <si>
    <t>MILLO/LEONE</t>
  </si>
  <si>
    <t>541859/C</t>
  </si>
  <si>
    <t>01T075I 01T076I (USCITA FUMI LATO EST/OVEST) CONTROLLO DI FUNZIONALITA CON ALLINEAMENTO MISURA CON SALA CONTROLLO</t>
  </si>
  <si>
    <t>CONTROLLATE E ALLINEATE TEMPERATURE (SKIN POINT). NULLA DA SEGNALARE</t>
  </si>
  <si>
    <t>541862/C</t>
  </si>
  <si>
    <t>01L009RC(STRIPPER T103 KEP)CONTROLLO E RIPRISTINO FUNZIONALITA LIVELLO</t>
  </si>
  <si>
    <t>LIVELLO TROVATO SPENTO, SOSTITUITA BARRIERA. OK</t>
  </si>
  <si>
    <t>543125/C</t>
  </si>
  <si>
    <t xml:space="preserve">400- T004RC - T022I CONTROLLO FUNZIONALE (uscita E102 lato prodotto) </t>
  </si>
  <si>
    <t>BARRIERA STARATA, RIPRISTINATA FUNZIONALITA'</t>
  </si>
  <si>
    <t>542831/C</t>
  </si>
  <si>
    <t>200A T407HA(CARICA REATTORE)CONTROLLO E RIPRISTINO MISURA DI TEMPERATURA</t>
  </si>
  <si>
    <t>TROVATA BARRIERA STARATA, CONTROLLATA E TARATA. TEMPERATURE ALLINEATE.</t>
  </si>
  <si>
    <t>SPINALI/DE LUCA</t>
  </si>
  <si>
    <t>543905/C</t>
  </si>
  <si>
    <t>100L021LA(BASSO LIVELLO D109)CONTROLLO E RIPRISTINO FUNZIONALITA LIVELLOSTATO</t>
  </si>
  <si>
    <t>VALVOLE D'INTERCETTO NON FANNO PERFETTA TENUTA. EFFETTUATI CONTROLLI FUNZIONALI SU LIVELLOSTATO L021LA NON RISCONTRANDO ANOMALIE (ALLARME INTERVENUTO A DCS).</t>
  </si>
  <si>
    <t>544541/C</t>
  </si>
  <si>
    <t xml:space="preserve">100L015CV (H2O DI SCARICO D103)CONTROLLO E RIPRISTINO FUNZIONALITA SE DOVESSE SERVIRE SI PREVEDE LO SMONTAGGIO/MONTAGGIO PER REVISIONE </t>
  </si>
  <si>
    <t>VALVOLA PORTATA IN OFFICINA PER REVISIONE</t>
  </si>
  <si>
    <t>545215/C</t>
  </si>
  <si>
    <t>300P006CV(FUEL GAS F101)RIPRISTINO FUNZIONALITA VALVOLA</t>
  </si>
  <si>
    <t>NESSUNA ANOMALIA DA SEGNALARE, TCL NASELLI A CONOSCENZA</t>
  </si>
  <si>
    <t>545075/C</t>
  </si>
  <si>
    <t>200AL361CV (SCARICO H20 D111)SMONTAGGIO/MONTAGGIO VALVOLA PER  ELIMINAZIONE EVENTUALE OCCLUSIONE</t>
  </si>
  <si>
    <t>LA VALVOLA E' STATA SMONTATA ED E' A REVISIONE. ESEGUITO RIMONTAGGIO IN CAMPO.</t>
  </si>
  <si>
    <t>542910/C</t>
  </si>
  <si>
    <t>02F211R(H2O MARE A E107N A/B)CONRTOLLO E RIPRISTINO MISURA DI PORTATA</t>
  </si>
  <si>
    <t>RIPRISTINATA FUNZIONALTA', SOSTITUITO TRASMETTORE.</t>
  </si>
  <si>
    <t>544810/C</t>
  </si>
  <si>
    <t>400T679I Effluente reattore a 400-E-404 A/B RIPRISTINO FILETTATURA  TERMOCOPPIA</t>
  </si>
  <si>
    <t>SOSTITUZIONE NIPPLES SFILETTATO, TERMOCOPPIA RIPRISTINATA.</t>
  </si>
  <si>
    <t>545833/C</t>
  </si>
  <si>
    <t>100L013CV (D103) RIPRISTINO E RIFACIMENTO  PALINA DI SUPPORTO TRASDUTTORE DI SEGNALE VALVOLA(DOPO LE ATTIVITA PROPEDEUTICHE SERVIRA METTERE IN BY PASS LA VALVOLA)</t>
  </si>
  <si>
    <t>SOSTITUITA PALINA E RILOCATI INDICATORE E IP/CONVERTER</t>
  </si>
  <si>
    <t>DE LUCA</t>
  </si>
  <si>
    <t>547638/C</t>
  </si>
  <si>
    <t>100F016RC(INGRESSO F101 PASSO 4)CONTROLLO E RIPRISTINO MISURA DI PORTATA</t>
  </si>
  <si>
    <t>ESEGUITO RIEMPIMENTO, STRUMENTO ALLINEATO CON SALA CONTROLLO</t>
  </si>
  <si>
    <t>547637/C</t>
  </si>
  <si>
    <t>300F016RC(TREAT GAS A U400)CONTROLLO E RIPRISTINO MISURA DI PORTATA</t>
  </si>
  <si>
    <t>AZZERATO STRUMENTO ED ALLINEATO CON SALA CONTROLLO</t>
  </si>
  <si>
    <t>547922/C</t>
  </si>
  <si>
    <t>IMP.400  FIL 101 CONTROLLO DELTA P MANOMETRI LOCALI</t>
  </si>
  <si>
    <t>CONTROLLO TARATURA, VERIFICA PRESE, NULLA DA SEGNALARE.</t>
  </si>
  <si>
    <t>LOMBARDO</t>
  </si>
  <si>
    <t>547928/C</t>
  </si>
  <si>
    <t>900T021I RIFLUSSO T103 CONTROLLO E RIPRISTINO TEMPERATURA</t>
  </si>
  <si>
    <t>CONTROLLATO TERMOELEMENTO E BARRIERA, OK. IL PROBLEMA ERA A QUADRO, DOPO AVER FATTO IL RESET E' RIENTRATA LA TEMPERATURA</t>
  </si>
  <si>
    <t>548458/C</t>
  </si>
  <si>
    <t>200F358RC(TREAT GAS A E301A/D)CONTROLLO LOOP DI RGOLAZIONE PARTENDO DALLA PORTATA</t>
  </si>
  <si>
    <t>548424/C</t>
  </si>
  <si>
    <t>200P011CV SMONTAGGIO/MONTAGGIO VALVOLA PER SOSTITUZIONE E RIFACIMENTO TUBING PER COLLEGAMENTO PNEUMATICO CON RELATIVE PROVE DI FUNZIONALITA</t>
  </si>
  <si>
    <t>548722/C</t>
  </si>
  <si>
    <t>100L501LB (ABBASSAMENTO ASTA K651B)CONTROLLO E RIPRISTINO PRESSOSTATO</t>
  </si>
  <si>
    <t>548459/C</t>
  </si>
  <si>
    <t>300F001R(CARICA DA STOCC.  A D101)CONTROLLO E TARATURA  PORTATA</t>
  </si>
  <si>
    <t>PRIMARI TAPPATI, ESEGUITA STASATURA E SOSTITUITA BARRIERA</t>
  </si>
  <si>
    <t>548825/C</t>
  </si>
  <si>
    <t>300F151R CONTROLLO E RIPRISTINO FUNZIONALITA CON STASAMENTO PRIMARI/RADICI</t>
  </si>
  <si>
    <t>VALVOLA DI RADICE NEGATIVA BLOCCATA APERTA, PRIMARIO POSITIVO TAPPATO E VALVOLA DI RADICE POSITIVA NON FA' TENUTA</t>
  </si>
  <si>
    <t>547934/C</t>
  </si>
  <si>
    <t>100T076I (USCITA FUMI LATO OVEST F101) CONTROLLO E RIPRISTINO TEMPERATURA</t>
  </si>
  <si>
    <t>548939/C</t>
  </si>
  <si>
    <t>100F024rc(residuo a u600)controllo loop di regolazione partendo dalla portata</t>
  </si>
  <si>
    <t>548944/C</t>
  </si>
  <si>
    <t>900F003RC(RIFLUSSO T101 SPLITTER C3/C4)controllo loop di regolazione partendo dalla portata</t>
  </si>
  <si>
    <t>549105/C</t>
  </si>
  <si>
    <t>400L005HA (K.O. DRUM FUEL GAS)CONTROLLO E RIPRISTINO LIVELLOSTATO</t>
  </si>
  <si>
    <t>548947/C</t>
  </si>
  <si>
    <t>900F015RC(RIC.FONDO T103))controllo loop di regolazione partendo dalla portata</t>
  </si>
  <si>
    <t>STRUMENTO SOSTITUITO. VALVOLA D'INTERCETTO POSITIVA NON FA PERFETTA TENUTA.</t>
  </si>
  <si>
    <t>549261/C</t>
  </si>
  <si>
    <t>IMP.900 TK101 06T007RC RIPRISTINO FUNZIONALITA TEMPERATURA</t>
  </si>
  <si>
    <t>ESEGUITO RIPRISTINO DELLE FUNZIONALITA'</t>
  </si>
  <si>
    <t>549454/C</t>
  </si>
  <si>
    <t>200F457RC (RIFLUSSO  T301)CONTROLLO E RIPRISTINO PERDITA SU PRIMARI STRUMENTO</t>
  </si>
  <si>
    <t>ESEGUITO RIFACIMENTO PRIMARI, RIPRISTINATA FUNZIONALITA'</t>
  </si>
  <si>
    <t>549268/C</t>
  </si>
  <si>
    <t>200L005CV (D102) SMONTAGGIO/MONTAGGIO VALVOLA PER REVISIONE</t>
  </si>
  <si>
    <t>549816/C</t>
  </si>
  <si>
    <t>100F025R(OVERFLASH)CONTROLLO E INSERIMENTO STRUMENTO</t>
  </si>
  <si>
    <t>549677/C</t>
  </si>
  <si>
    <t>100F083I(VN PRELEVATA DA STOCCAGGIO)CONTROLLO E TARATURA E RIPRISTINO PORTATA</t>
  </si>
  <si>
    <t>549917/C</t>
  </si>
  <si>
    <t>100L651R(D651)CONTROLLO E TARATURA STRUMENTO DI LIVELLO</t>
  </si>
  <si>
    <t>RIPRISTINATA FUNZIONALITA'</t>
  </si>
  <si>
    <t>549920/C</t>
  </si>
  <si>
    <t>100T107I(MANDATA P114A/B)CONTROLLO  E ALLINEAMENTO CON SALA CONTROLLO</t>
  </si>
  <si>
    <t>550136/C</t>
  </si>
  <si>
    <t>100L302HA(D651)CONTROLLO E RIPRISTINO FUNZIONALITA LIVELLOSTATO</t>
  </si>
  <si>
    <t>550176/C</t>
  </si>
  <si>
    <t>100K651A CONTROLLO E RIPRISTINO  PARZIALIZZAZIONE COMPRESSORE PARTE STRUMENTALE</t>
  </si>
  <si>
    <t>550665/C</t>
  </si>
  <si>
    <t>100P329SD(BASSO DELTA P ASP./MAND. K651A)CONTROLLO E TARATURA STRUMENTO DI PRESSIONE</t>
  </si>
  <si>
    <t>STRUMENTO PNEUMATICO GUASTO. MONTATO PRESSOSTATO DIFFERENZIALE , ALLINEATO CON SALA CONTROLLO.</t>
  </si>
  <si>
    <t>SPINALI/LOMBARDO</t>
  </si>
  <si>
    <t>550173/C</t>
  </si>
  <si>
    <t>100P3032A_DR DIFFERENZIALE DI PRESSIONE TENUTA K651A CONTROLLO E RIPRISTINO MISURA</t>
  </si>
  <si>
    <t xml:space="preserve">ATTIVATA TEMINATA IN DATA 15/09/2025. RIPRISTINATA FUNZIONALITÀ </t>
  </si>
  <si>
    <t>550161/C</t>
  </si>
  <si>
    <t>01F026RC VAPORE A T105 CONTROLLO E TARATURA STRUMENTO DI PORTATA</t>
  </si>
  <si>
    <t>PRIMARI TAPPATI, VALVOLE DI RADICI BLOCCATE APERTE. NECESSITA PONTEGGIO X ESEGUIRE ATTIVITÀ., DA PROGRAMMARE A PRIMA FERMATA IMPIANTO</t>
  </si>
  <si>
    <t>551966/C</t>
  </si>
  <si>
    <t>100P101ARA (ALLARME CUMULATIVO P101A)CONTROLLO E RIPRISTINO FUNZIONALITA</t>
  </si>
  <si>
    <t>SOSTITUITO PRESSOSTATO POCO RIPETIBILE DI ALLARME E BLOCCO</t>
  </si>
  <si>
    <t>552930/C</t>
  </si>
  <si>
    <t>400L152IC (LIVELLO T151)CONTROLLO E RIPRISTINO LOOP DI REGOLAZIONE</t>
  </si>
  <si>
    <t>RIPRISTINATA MISURA, TROVATO FILO LENTO IN BARRIERA.</t>
  </si>
  <si>
    <t>552792/C</t>
  </si>
  <si>
    <t>400C101A CONTROLLO PARZIALIZZAZIONE STRUMENTALE E SOSTITUZIONE TUBING DI ACCIAIO OLIO DI LUBRIFICAZIONE</t>
  </si>
  <si>
    <t>TROVATI INVERTITI N°2 TUBI L2, RIPRISTINATI. CONTROLLATA PARZIALIZZAZIONE OK, RIFACIMENTO TUBI OLIO DI LUBRIFICAZIONE.</t>
  </si>
  <si>
    <t>552675/C</t>
  </si>
  <si>
    <t>100F024RC(RESIDUO A U600)CONTROLLO E TARATURA STRUMENTO DI PORTATA</t>
  </si>
  <si>
    <t xml:space="preserve">Regolati flussaggi e ripristinata traccia di vapore. </t>
  </si>
  <si>
    <t>553832/C</t>
  </si>
  <si>
    <t>900L030BT (FONDO T101)CONTROLLO E TARATURA LIVELLO CON RIEMPIMENTO BATTENTE .METTERE MOS PRIMA DI INIZIARE ATTIVITA</t>
  </si>
  <si>
    <t>RIEMPITE PRESE E RIPRISTINATA MISURA.</t>
  </si>
  <si>
    <t>553728/C</t>
  </si>
  <si>
    <t>200F163R(FUEL GAS L. B.)SOSTITUZIONE STRUMENTO DI PORTATA</t>
  </si>
  <si>
    <t>SOSTITUITO STRUMENTO, INSERITO A PROCESSO OK.</t>
  </si>
  <si>
    <t>555389/C</t>
  </si>
  <si>
    <t xml:space="preserve">100F011RC ( PASSO 11 F101) CONTROLLO E RIPRISTINO MISURA CON  RIEMPIMENTO PRIMARI E IN TAL CASO CONTROLLO DELLA VALVOLA DI REGOLAZIONE </t>
  </si>
  <si>
    <t>RIPRISTINATA MISURA IN BED RIEMPENDO I PRIMARI DI GLICERINA.</t>
  </si>
  <si>
    <t>555186/C</t>
  </si>
  <si>
    <t>200F008R(FUEL GAS F101) CONTROLLO  E TARATURA STRUMENTI DI PORTATA IN PROSSIMITA DELLA FLANGIA TARATA</t>
  </si>
  <si>
    <t>554681/C</t>
  </si>
  <si>
    <t>100L002SD (101A) CONTROLLO E RIPRISTINO FUNZIONALITA E CONTROLLO LOOP</t>
  </si>
  <si>
    <t>553731/C</t>
  </si>
  <si>
    <t>U400  INTERVENTI DI RIPRISTINO SU STRUMENTAZIONE E VALVOLE DI REGOLAZIONE PER AVVIAMENTO IMPIANTO</t>
  </si>
  <si>
    <t>553696/C</t>
  </si>
  <si>
    <t>U400 RIPRISTINI STRUMENTALI E INTERVENTI SU VALVOLE DI REGOLAZIONE PER AVVIAMENTO IMPIANTO</t>
  </si>
  <si>
    <t>553419/C</t>
  </si>
  <si>
    <t>100P303A SOSTITUZIONE MANOMETRO A CAPILLARE( O:40 BAR)</t>
  </si>
  <si>
    <t>550913/C</t>
  </si>
  <si>
    <t>400C101B RIPRISTINI STRUMENTALI PER AVVAMENTO COMPRESSORE</t>
  </si>
  <si>
    <t>545739/C</t>
  </si>
  <si>
    <t>400-C401 04L750-G LIVELLO VISIVO MAGNETICO SMONTAGGIO/MONTAGGIO LIVELLO PER RIPRISTINO CRICCHE(CONTROFLANGIARE LE DUE PRESE)</t>
  </si>
  <si>
    <t>545114/C</t>
  </si>
  <si>
    <t xml:space="preserve">200AL361CV (SCARICO H20 D111)SMONTAGGIO/MONTAGGIO VALVOLA PER  ELIMINAZIONE  OCCLUSIONE O EVENTUALE REVISIONE </t>
  </si>
  <si>
    <t>544406/C</t>
  </si>
  <si>
    <t>400F101 CONTROLLO E RIPRISTINO T605I T606I ED EVENTUALE STRUMENTAZIONE DANNEGGIATA</t>
  </si>
  <si>
    <t>543478/C</t>
  </si>
  <si>
    <t>18000155612  400C401 assistenza macchinisti per montaggio/smontaggio strumentazione a bordo macchina per revisione della stessa</t>
  </si>
  <si>
    <t>542240/C</t>
  </si>
  <si>
    <t>100P080RC MANDATA P102A/B/C CONTROLLO ED EVENTUALE SOSTITUZIONE STRUMENTO DI PRESSIONE(METTERE I MOS PRIMA DI INIZIARE ATTIVITA)</t>
  </si>
  <si>
    <t>SOSTITUITO STRUMENTO DI PRESSIONE E CONTROLLATA BARRIERA</t>
  </si>
  <si>
    <t>RICIPUTO/SERRA</t>
  </si>
  <si>
    <t>540997/C</t>
  </si>
  <si>
    <t>100T073I(CAMERA COMBUSTIONE L.EST)100T074I(CAMERA DI COMBUSTIONE L.OVEST)CONTROLLO E RIPRISTINO MISURE DI TEMPERATURE CON ALLINEAMENTO A DCS</t>
  </si>
  <si>
    <t>NESSUNA ANOMALIA RISCONTRATA</t>
  </si>
  <si>
    <t>540858/C</t>
  </si>
  <si>
    <t>01T264I(USCITA MANTELLO E109D)CONTROLLO E RIPRISTINO MISURA DI TEMPERATURA</t>
  </si>
  <si>
    <t>540661/C</t>
  </si>
  <si>
    <t>200F023RC CONTROLLO E RIPRISTINO FUNZIONALITA PORTATA</t>
  </si>
  <si>
    <t>534413/C</t>
  </si>
  <si>
    <t>200AL352RC RIFACIMENTO STAFFAGGIO SU STRUMENTO</t>
  </si>
  <si>
    <t>537644/C</t>
  </si>
  <si>
    <t>200T003RC FONDO T101 CONTROLLO E RIPRISTINO TEMPERATURA</t>
  </si>
  <si>
    <t>537506/C</t>
  </si>
  <si>
    <t>900 - F011RC (CARICA A T103)CONTROLLO E RIPRISTINO FUNZIONALITA PORTATA</t>
  </si>
  <si>
    <t>536445/C</t>
  </si>
  <si>
    <t>400 - T700/T703R CONTROLLO TEMPERATURE ED ALLINEAMENTO CON SALA CONTROLLO</t>
  </si>
  <si>
    <t>529745/C</t>
  </si>
  <si>
    <t>300 - T011I (TREAT GAS A F101)RIPRISTINO FUNZIONALITA TEMPERATURA</t>
  </si>
  <si>
    <t>NESSUNA LAVORAZIONE, DA FARE</t>
  </si>
  <si>
    <t>535720/C</t>
  </si>
  <si>
    <t>100 - P103B CONTROLLO DI TARATURA 01T268BHA 01T269BSH ALLARME E BLOCCO ALTA TEMPERATURA OLIO LUBE</t>
  </si>
  <si>
    <t>ESERCIZIO ALLA FINE NON HA VOLUTO IL CONTROLL0</t>
  </si>
  <si>
    <t>535807/C</t>
  </si>
  <si>
    <t>100 - F039CV (BENZINA AD E102A/B)CONTROLLO E RIPRISTINO FUNZIONALITA VALVOLA</t>
  </si>
  <si>
    <t>536439/C</t>
  </si>
  <si>
    <t>100 - K651A RIMONTAGGIO E MESSA IN SERVIZIO SONDA DI VIBRAZIONE 01VBMABI(LATO SR)</t>
  </si>
  <si>
    <t>ESEGUITA SOSTITUZIONE SONDA CONNETTORE RIMANE IN FAULT PER PROBLEMA SCHEDA DI ACQUISIZIONE SCHEDA</t>
  </si>
  <si>
    <t>SPINALI/PARTESANO</t>
  </si>
  <si>
    <t>536778/C</t>
  </si>
  <si>
    <t>300 - 300P103A SMONTAGGIO STRUMENTAZIONE SU BARILOTTI TENUTA POMPE</t>
  </si>
  <si>
    <t>538036/C</t>
  </si>
  <si>
    <t>200 - T019HA(USCITA PASSO 2 F102)CONTROLLO E RIPRISTINO TEMPERATURA</t>
  </si>
  <si>
    <t>540210/C</t>
  </si>
  <si>
    <t>900P031SH (T101) CONTROLLO E RIPRISTINO FUNZIONALITA PRESSOSTATO(METTERE IL MOS PRIMA DI INIZIARE ATTIVITA)</t>
  </si>
  <si>
    <t>539641/C</t>
  </si>
  <si>
    <t>200 - T010HA(USCITA PASSO 1 F101)CONTROLLO LOOP DI TEMPERATURA E ALLINEAMENTO CON SALA CONTROLLO</t>
  </si>
  <si>
    <t>541863/C</t>
  </si>
  <si>
    <t>01F035RC(VAPORE STRIPP. T103)CONTROLLO LOOP DI REGOLAZIONE PER MISURA SOTTOSTIMATA</t>
  </si>
  <si>
    <t>TROVATO CONVERTITORE I/P IN DISPERSIONE. DA SOSTITUIRE.
SOSTITUITO CONVERTITORE ED ALLINEATA REGOLATRICE</t>
  </si>
  <si>
    <t>TARASCIO/PARTESANO/GARRO</t>
  </si>
  <si>
    <t>542381/C</t>
  </si>
  <si>
    <t>100F101 ASSISTENZA STRUMENTALE CON APERTURA CASSETTE ADF PER SISTEMA SOFFIATURA</t>
  </si>
  <si>
    <t>542194/C</t>
  </si>
  <si>
    <t>400T165RC INGRESSO E164 CONTROLLO E RIPRISTINO MISURA DI TEMPERATURA</t>
  </si>
  <si>
    <t>542198/C</t>
  </si>
  <si>
    <t>300T009RC FONDO STRIPPER E108 CONTROLLO MISURA DI TEMPERATURA E ALLINEAMENTO CON SALA CONTROLLO</t>
  </si>
  <si>
    <t>ATTESA MODIFICA PONTEGGIO PER POTER ISPEZIONARE IL TERMOELEMENTO</t>
  </si>
  <si>
    <t>542834/C</t>
  </si>
  <si>
    <t>544276/C</t>
  </si>
  <si>
    <t>400C401 RIMONTAGGIO SONDE DI TEMPERATURA E REGOLAZIONE SENSORE  ABBASSAMENTO ASTA</t>
  </si>
  <si>
    <t>544814/C</t>
  </si>
  <si>
    <t>400L325CV( Scarico acqua a unit 1400 da 400-D158 )CONTROLLO E RIPRISTINO VALVOLA SE NECESSITA SI PREVEDE SMONTAGGIO/MONTAGGIO PER REVISIONE</t>
  </si>
  <si>
    <t>544809/C</t>
  </si>
  <si>
    <t>200AF457RC (RIFLUSSO T301) CONTROLLO ED ELIMINAZIONE PERDITA SU STRUMENTO DI PORTATA</t>
  </si>
  <si>
    <t>545191/C</t>
  </si>
  <si>
    <t>200AL351IC(SEPARATORE CALDO D301) 200AL352IC(SEPARATORE FREDDO D302)CONTROLLO E RIPRISTINO FUNZIONALITA LIVELLI</t>
  </si>
  <si>
    <t>545172/C</t>
  </si>
  <si>
    <t>100F354R (CARICA A STR 301) CONTROLLO DI TARATURA STRUMENTO DI PORTATA</t>
  </si>
  <si>
    <t>545175/C</t>
  </si>
  <si>
    <t>100F031RC (GOL A STOCCAGGIO) CONTROLLO DI TARATURA STRUMENTO DI PORTATA</t>
  </si>
  <si>
    <t>545499/C</t>
  </si>
  <si>
    <t>400L011IC LIVELLO T102 CONTROLLO LOOP DI REGOLAZIONE PARTENDO DALLA VALVOLA</t>
  </si>
  <si>
    <t>LA VALVOLA REGOLATRICE AVEVA IL LINK DEL POSIZIONATORE STACCATO. RIPRISTINATO, LOOP IN REGOLAZIONE.</t>
  </si>
  <si>
    <t>545173/C</t>
  </si>
  <si>
    <t>200AF390RC (CARICA LIQUIDA A FORNO) CONTROLLO DI TARATURA STRUMENTO DI PORTATA(METTERE MOS PRIMA DI INIZIARE ATTIVITA)</t>
  </si>
  <si>
    <t>545174/C</t>
  </si>
  <si>
    <t>200AF379RC (CARICA LIQUIDA A FORNO) CONTROLLO DI TARATURA STRUMENTO DI PORTATA(METTERE MOS PRIMA DI INIZIARE ATTIVITA)</t>
  </si>
  <si>
    <t>544999/C</t>
  </si>
  <si>
    <t>200F152BR (VAPORE LS DA IMPIANTO) CONTROLLO E RIPRISTINO FUNZIONALITA PORTATA CON INTERVENTO SU PRESE DI RADICE FLANGIA TARATA</t>
  </si>
  <si>
    <t>VERIFICA PRESE, RIEMPIMENTO CON H20, AZZERAMENTO STRUMENTO ( STRUMENTO IN COMUNE CON 200F152R BIDIREZIONALE )</t>
  </si>
  <si>
    <t>547118/C</t>
  </si>
  <si>
    <t>400-T102 RIMONTAGGIO SU PALINA ACCESSORI VALVOLE L 011CV- L020BV</t>
  </si>
  <si>
    <t>547126/C</t>
  </si>
  <si>
    <t>10228065     100 FRC 026 controllo e ripristino</t>
  </si>
  <si>
    <t>550231/C</t>
  </si>
  <si>
    <t>100P102C CONTROLLO ALLARME CUMILATIVO BASSA PRESSIONE OLIO DI LUBRIFICAZIONE</t>
  </si>
  <si>
    <t>550162/C</t>
  </si>
  <si>
    <t>900P004CV(TESTA T102)CONTROLLO E RIPRISTINO FUNZIONALITA VALVOLA(SI MUOVE SCATTI)</t>
  </si>
  <si>
    <t>545495/C</t>
  </si>
  <si>
    <t>100F022RC VAPORE STRIPPAGGIO FONDO T101 CONTROLLO E RIPRISTINO FUNZIONALITA PORTATA</t>
  </si>
  <si>
    <t>SOSTITUITO STRUMENTO, SOSTITUITA BARRIERA. LA MISURA CONTINUA AD ESSERE NEGATIVA, BISOGNA TROVARE IL GUASTO.</t>
  </si>
  <si>
    <t>550767/C</t>
  </si>
  <si>
    <t>100P317LA(ASP.D1)   100P334LA(ASP. D3) CONTROLLO E TARATURA PRESSOSTATI</t>
  </si>
  <si>
    <t>551957/C</t>
  </si>
  <si>
    <t>300P007CV CONTROLLO E RIPRISTINO VALVOLA E LOOP DI REGOLAZIONE LOCALE</t>
  </si>
  <si>
    <t>551099/C</t>
  </si>
  <si>
    <t>400T213I (C101B CUSCINETTI) CONTROLLO E RIPRISTINO LOOP DI TEMPERATURA</t>
  </si>
  <si>
    <t>TERMORESISTENZA NON TROVATA SULL'APPARECCHIATURA, ATTIVITÀ PROGRAMMATA PER DOMANI 18 SETTEMBRE</t>
  </si>
  <si>
    <t>552663/C</t>
  </si>
  <si>
    <t>100K651A PASSAGGIO E POSA CAVI CON  CABLAGGIO IN CASSETTA PER RIPRISTINO SISTEMA DI VIBRAZIONI</t>
  </si>
  <si>
    <t>552781/C</t>
  </si>
  <si>
    <t>552707/C</t>
  </si>
  <si>
    <t xml:space="preserve">FERMATA U400 SCOLLEGAMENTO E SUCCESSIV0 RICOLEGGAMENTO ED EVENTUALI PROVE DI FUNZIONALITA 04F604A/B/C 04F607A/B/C CARICA GASOILIO PASSO 1 E 2 </t>
  </si>
  <si>
    <t>SCOLLEGATE ELETTRICAMENTE LE PORTATE COME DA ELENCO.</t>
  </si>
  <si>
    <t>552712/C</t>
  </si>
  <si>
    <t>FERMATA U400 SCOLLEGAMENTO ELETTROPNEUMATICO E SUCCESSIV0 RICOLEGGAMENTO CON ALLINEAMENTO CON SALA CONTROLLO VALVOLE F604CV  F607CV PER REVISIONE.CARICO E SCARICO VALVOLE A BORDO STRADA IMPIANTO</t>
  </si>
  <si>
    <t>552715/C</t>
  </si>
  <si>
    <t>FERMATA U400 SCOLLEGAMENTO E SUCCESSIVO RICOLLEGAMENTO TERMOCOPPIE PER DECOKING SU F101</t>
  </si>
  <si>
    <t>SCOLLEGATE N°4 TC, 04T698R DA RIPRISTINARE CAVO AMMALORATO, 04T701R, 04T605I, 04T606I. DA RICOLLEGARE</t>
  </si>
  <si>
    <t>553019/C</t>
  </si>
  <si>
    <t>900F031RC(H2O A E-112A/B)RIPRISTINO MISURA DI PORTATA</t>
  </si>
  <si>
    <t>TROVATO INTERCETTATO, TUTTO TAPPATO. NECESSITA PONTEGGIO PER INTERCETTARE RADICI E PROSEGUIRE IL CONTROLLO.</t>
  </si>
  <si>
    <t>552918/C</t>
  </si>
  <si>
    <t>200F008R(FUEL GAS F101)  200F033R(FUEL GAS F102)CONTROLLO  E TARATURA STRUMENTI DI PORTATA</t>
  </si>
  <si>
    <t>CONTROLLO DI TARATURA, ALLINEAMENTO IN SALA CONTROLLO. NESSUNA ANOMALIA DA SEGNALARE</t>
  </si>
  <si>
    <t>554775/C</t>
  </si>
  <si>
    <t>400F604A/B/C/RC (CARICA PASSO 1) 400F607A/B/C RC(CARICO PASSO 2 ) CONTROLLO E ALLINEAMENTO MISURE ,METTERE I MOS PRIMA DI INIZIARE ATTIVITA</t>
  </si>
  <si>
    <t>F604A 607A ALLINEATI CON F604B/C E F607B/C</t>
  </si>
  <si>
    <t>554648/C</t>
  </si>
  <si>
    <t>100F101 01D001CS  01D002CS (SERRANDE FORNO) LASCIANDO IL SISTEMA SOTTO VERICELLO NECESSITA RIPRISTINARE LA CENTRALINA OLEODINAMICA</t>
  </si>
  <si>
    <t>PREPARAZIONE STAFFE PER BLOCCO MECCANICO SERRANDE FUMI F101</t>
  </si>
  <si>
    <t>GARRO/SPINALI</t>
  </si>
  <si>
    <t>555391/C</t>
  </si>
  <si>
    <t>200F150R (VAPORE LIMITEBATTERIA CONTROLLO )CONTROLLO DI TARATURA E FUNZIONALITA STRUMENTO</t>
  </si>
  <si>
    <t>555194/C</t>
  </si>
  <si>
    <t>200F033R (FUEL GAS F102) controllo strumento di portata in prossimita della flangia tarata</t>
  </si>
  <si>
    <t>555190/C</t>
  </si>
  <si>
    <t>200F163R(FUEL GAS L. B)CONTROLLO STRUMENTO DI PORTATA IN PROSSIMITA DELLA FLANGIA TARATA</t>
  </si>
  <si>
    <t>556377/C</t>
  </si>
  <si>
    <t>100F054I (INDICATORE DI PORTATA LOCALE  DISTILLATO A D102)CONTROLLO E RIPRISTINO FUNZIONALITA</t>
  </si>
  <si>
    <t>DA SOSTITUIRE STUMENTO DA LOCALE A ELETTRONICO</t>
  </si>
  <si>
    <t>ATTIVITA' ELETTRICA SIG. ROSSITTO</t>
  </si>
  <si>
    <t>555184/C</t>
  </si>
  <si>
    <t>100F101 01D001CS  01D002CS (SERRANDE FORNO) PROVA DI FUNZIONALITA PISTONI DISACCOPPIATI DALLE SERRANDE LE QUALI SARANNO MECCANICAMENTE BLOCCATE IN APERTURA.QUINDI MOMENTANEAMENTE TOGLIERE DA VERRICELLO LA FUNZIONALITA DELLE STESSE</t>
  </si>
  <si>
    <t>COSTRUITE STAFFE PER ANCORAGGIO SERRANDE IN POSIZIONE DI APERTURA. DISACCOPPIATO PISTONE IDRAULICO PER PROVE FUNZIONALI CENTRALINA. SI RISCONTRA CHE LA CENTRALINA NON FUNZIONA.</t>
  </si>
  <si>
    <t>554802/C</t>
  </si>
  <si>
    <t>U400 RILIEVI DI PRESSIONE COME DA INDICAZIONE ESERCIZIO</t>
  </si>
  <si>
    <t>ESEGUITI RILIEVI DI PRESSIONE COME DA INDICAZIONI ESERCIZIO</t>
  </si>
  <si>
    <t>554510/C</t>
  </si>
  <si>
    <t>200T101 SMONTAGGIO/RIMONTAGGIO STAFFAGGIO CONDUIT SU PIANO DI CALPESTIO PER LAVORI DI INSERIMENTO NUOVO BYPASS E106A/B</t>
  </si>
  <si>
    <t>SMONTATI CONDUIT</t>
  </si>
  <si>
    <t>554321/C</t>
  </si>
  <si>
    <t>200AF381R (FUEL GAS A F301)CONTROLLO E TARATURA STRUMENTO DI PORTATA</t>
  </si>
  <si>
    <t>CONTROLLO DI TARATURA, NULLA DA SEGNALARE</t>
  </si>
  <si>
    <t>554435/C</t>
  </si>
  <si>
    <t>400P628CV RIPRISTINO FUNZIONALITA VALVOLA SE NECESSARIO METTERLA IN BYPASS PERIMA DI INIZIARE ATTIVITA</t>
  </si>
  <si>
    <t>PER LAVORARE SULLA VALVOLA, OCCORE METTERLA IN BYPASS, ESSENDO UN POSIZIONATORE INTELLIGENTE NON SI PUO' MODIFICARE UN SOLO PARAMERO. IL CONTROLLO VIENE RIMANDATO A CURA ESE.</t>
  </si>
  <si>
    <t>553729/C</t>
  </si>
  <si>
    <t>200F033R (FUEL GAS F102) SOSTITUZIONE GRUPPO BYPASS STRUMENTO DI PORTATA E PROVE DI FUNZIONALITA</t>
  </si>
  <si>
    <t>COSTRUITO NUOVO GRUPPO BYPASS, MONTATO E MESSO IN SERVIZIO TRASMETTITORE. LAVORO TERMINATO.</t>
  </si>
  <si>
    <t>DE LUCA/ TEDESCO</t>
  </si>
  <si>
    <t>554259/C</t>
  </si>
  <si>
    <t>100F16OR(FG LIMITE BATTERIA) 100F020R(FG A F101)CONTROLLO DI TARATURA STRUMENTI DI PORTATA</t>
  </si>
  <si>
    <t>NULLA DA SEGNALARE, STRUMENTI FUNZIONANTI, MODIFICATO RANGE DI TARATURA COME FOGLIO DI CALCOLO SU 100F160.</t>
  </si>
  <si>
    <t>549263/C</t>
  </si>
  <si>
    <t>400F027R(GASOLIO DA STOCCAGGIO)CONTROLLO E TARATURA STRUMENTO DI PORTATA</t>
  </si>
  <si>
    <t>547978/C</t>
  </si>
  <si>
    <t>100F354R (CARICA 200A)CONTROLLO E TARATURA STRUMENTO DI PORTATA</t>
  </si>
  <si>
    <t>Sostituito strumento guasto, prese parzialmente intasate, da programmare intervento in fermata impianto.</t>
  </si>
  <si>
    <t>545834/C</t>
  </si>
  <si>
    <t>200F163(F,G. LIMITE BATTERIA) 200F033R(F.G. A F102) 200F008R (F.G. A F101)CONTROLLO DI TARATURA SU PORTATE</t>
  </si>
  <si>
    <t>200F033R SOSTITUITO PERCHE' GUASTO. OK
200F008R AZZERATO ED ALLINEATO CON SALA CONTROLLO.
200F163R Azzerato ed allineato con sala controllo</t>
  </si>
  <si>
    <t>LOMBARDO SPINALI</t>
  </si>
  <si>
    <t>547930/C</t>
  </si>
  <si>
    <t>900F013I I RIFLUSSO T103 CONTROLLO E RIPRISTINO PORTATA</t>
  </si>
  <si>
    <t>LE VALVOLE DI RADICE SONO BLOCCATE APERTE. LO STRUMENTO NON SI PUO' CONTROLLARE.</t>
  </si>
  <si>
    <t>547498/C</t>
  </si>
  <si>
    <t>300F151RA(VAPORE USCITA DSH-102)CONTROLLO E RIPRISTINO FUNZIONALITA PORTATA</t>
  </si>
  <si>
    <t>SERVE PONTEGGIO PER CONTROLLARE I BARILOTTI, POSITIVA TAPPATA. STRUMENTO OK</t>
  </si>
  <si>
    <t>546378/C</t>
  </si>
  <si>
    <t>10228176 200 P011CV CONTROLLO E RIPRISTINO FUNZIONALE</t>
  </si>
  <si>
    <t>LA VALVOLA NON FA TENUTA, DEVE ANDARE A REVISIONE</t>
  </si>
  <si>
    <t>545327/C</t>
  </si>
  <si>
    <t>U200A RIPRISTINI DI FUNZIONALITA STRUMENTI DI PROCESSO  E VALVOLE DI REGOLAZIONE  PER AVVIAMENTO IMPIANTO</t>
  </si>
  <si>
    <t>539640/C</t>
  </si>
  <si>
    <t>200 - F211R(C.W AD E107A/B)CONTROLLO DI FUNZIONALITA E TARATURA  STRUMENTO DI PORTATA</t>
  </si>
  <si>
    <t>STRUMENTO TROVATO INTERCETTATO DALLE VALVOLE DI RADICE. PER POTERVI ACCEDERE SERVE PONTEGGIO DI CIRCA 10MT. SITUATO NEI PRESSI DI FCV016.</t>
  </si>
  <si>
    <t>539639/C</t>
  </si>
  <si>
    <t>200 - L013DIC (D103 LIVELLO) CONTROLLO DI  FUNZIONALITA LIVELLO CON RELATIVI ALLARMI L013DL E L013DH(BASSO E ALTO)</t>
  </si>
  <si>
    <t>CONTROLLO EFFETTUATO SU TX DI LIVELLO. NULLA DA SEGNALARE, INTERVENGONO REGOLARMENTE GLI ALL. DI BASSO E ALTO LIVELLO. ATTUALMENTE VUOTO, E QUINDI IN BASSO LIVELLO.</t>
  </si>
  <si>
    <t>535627/C</t>
  </si>
  <si>
    <t>04T700R  04T703R (F101) CONTROLLO TEMPERATURE  E ALLINEAMENTO CON SALA CONTROLLO</t>
  </si>
  <si>
    <t>ALLINEATE E CONTROLLATE TEMPERATURE DA J.BOX. NULLA DA SEGNALARE. IL TCL VORREBBE FARE IL CONTROLLO DA TERMOELEMENTO(SKINPOINT), MA SERVE PONTEGGIO</t>
  </si>
  <si>
    <t>535412/C</t>
  </si>
  <si>
    <t>200 - T406HA( EFFLUENTE REATTORE A D 301)CONTROLLO E RIPRISTINO MISURA TEMPERATURA</t>
  </si>
  <si>
    <t>LA TEMPERATURA IN CAMPO NON ESISTE</t>
  </si>
  <si>
    <t>533917/C</t>
  </si>
  <si>
    <t>200A - L357SL BLOCCO BASSO LIVELLO D302 CONTROLLO E RIPRISTINO FUNZIONALITA LIVELLOSTATO(ATTUARE AZIONI PER NON CHIUDERE B352V)</t>
  </si>
  <si>
    <t>VALVOLA DI RADICE POSITIVA CON STELO ROTTO, IMPOSSIBILE DA INTERCETTARE</t>
  </si>
  <si>
    <t>532688/C</t>
  </si>
  <si>
    <t>100 - 01F026RC VAPORE A T105 CONTROLLO  LOOP DI REGOLAZIONE PARTENDO DALLA MISURA DI PORTATA</t>
  </si>
  <si>
    <t>PRESA POSITIVA TAPPATA, LASCIATO CON BYPASS IN CORSO. SERVE PIANO DI LAVORO PER ARRIVARE NEI BARILOTTI</t>
  </si>
  <si>
    <t>529218/C</t>
  </si>
  <si>
    <t>400 - L612AR (D403) RIPRISTINO MISURA DI LIVELLO METTERE I MOS PRIMA DI INIZIARE ATTIVITA</t>
  </si>
  <si>
    <t>527046/C</t>
  </si>
  <si>
    <t>100 - 100F593RC (GAS DA D505 A F101)RIPRISTINO MISURA PORTATA (PIANO RIPRISTINI ALLARMI ATTIVI)</t>
  </si>
  <si>
    <t>TROVATO INTERCETTATO, BARRIERA SPENTA. DA PREVEDERE UN RIFACIMENTO TOTALE DOPO OK DEL TCL.</t>
  </si>
  <si>
    <t>522595/C</t>
  </si>
  <si>
    <t>200A F353R(GAS SPORCO DA D302 A T301)RIPRISTINO MISURA PORTATA IN BAD</t>
  </si>
  <si>
    <t>SOSTITUITA BARRIERA DA REALIZZARE PONTEGGIO PER CONTROLLO STRUMENTO.</t>
  </si>
  <si>
    <t>520325/C</t>
  </si>
  <si>
    <t>200F211R CONTROLLO DI TARATURA E RIPRISTINO FUNZIONALITA'</t>
  </si>
  <si>
    <t>PRIMARI BUCATI E VALVOLA DI RADICE CHIUSA. NECESSITA PONTEGGIO (STRUM. NEI PRESSI DI FCV016). DA VERIFICARE BARRIERA.</t>
  </si>
  <si>
    <t>553020/C</t>
  </si>
  <si>
    <t>100T014I( GREZZO USCITA D101B)CONTROLLO E ALLINEAMENTO LOOP DI TEMPERATURA</t>
  </si>
  <si>
    <t>SERVE PONTEGGIO PER CONTROLLARE IL TERMOELEMENTO. UBICATO IN TESTA USCITA DISSALATORE D101B.</t>
  </si>
  <si>
    <t>556369/C</t>
  </si>
  <si>
    <t>1000P118RC(USCITA R101A)CONTROLLO E RIPRISTINO MISURA DI PRESSIONE</t>
  </si>
  <si>
    <t>STRUMENTO CON TAPPO BLOCCATO, SOSTITUITO ED ALLINEATO CON SALA CONTROLLO.</t>
  </si>
  <si>
    <t>556187/C</t>
  </si>
  <si>
    <t>600T006I(USCITA E103A-D)CONTROLLO E RIPRISTINO TEMPERATURA</t>
  </si>
  <si>
    <t>SOSTITUITO TERMOELEMENTO GUASTO. ALLINEATO SEGNALE A DCS</t>
  </si>
  <si>
    <t>556189/C</t>
  </si>
  <si>
    <t>600T509i (LETTO 2 T101)CONTROLLO E RIPRISTINO TEMPERATURA</t>
  </si>
  <si>
    <t>SERRATI M ORSETTI SUL TERMOELEMENTO. MISURA ALLINBEATA CON SALA CONTROLLO</t>
  </si>
  <si>
    <t>554010/C</t>
  </si>
  <si>
    <t>Avviso 10231500-Imp.600-Ripristino funzionalita' L501SL (BASSISS.LIV.D301) intervenuto in maniera spuria, causando blocco delle pompe P301A/B. Attualmente inserito MOS.</t>
  </si>
  <si>
    <t>SOSTITUITA BARRIERA, STRUMENTO INSERITO, OK</t>
  </si>
  <si>
    <t>542133/C</t>
  </si>
  <si>
    <t>500L016RC 05L016IC (BENZINA STOCCAGGIO)CONTROLLO DI TARATURA DI ENTRAMBI I LIVELLI PER DISALLINEAMENTO MISURA</t>
  </si>
  <si>
    <t>ESEGUITO ALLINEAMENTO SULLE MISURE DI LIVELLO, CONSEGNATO A ESE.</t>
  </si>
  <si>
    <t>547535/C</t>
  </si>
  <si>
    <t>600P017CVB CONTROLLO E RIPRISTINO FUNZIONALITA VALVOLA DA ATTENZIONARE L'AZIONE SULLA CHIUSURA</t>
  </si>
  <si>
    <t>CONTROLLO VALVOLA ESEGUITO.</t>
  </si>
  <si>
    <t>SAGGIO/OGNISANTI</t>
  </si>
  <si>
    <t>547538/C</t>
  </si>
  <si>
    <t>600F006CV (PASSO DI CARICA)CONTROLLO E RIPRISTINO FUNZIONALITA VALVOLA E ALLINEAMENTO CON SALA CONTROLLO</t>
  </si>
  <si>
    <t>543701/C</t>
  </si>
  <si>
    <t>1000F115CV (RIFLUSSO) CONTROLLO E RIPRISTINO FUNZIONALITA VALVOLA</t>
  </si>
  <si>
    <t>540759/C</t>
  </si>
  <si>
    <t>600F031CV(RESIDUO A QUENCH T101)CONTROLLO E RIPRISTINO FUNZIONALITA VALVOLA</t>
  </si>
  <si>
    <t>538168/C</t>
  </si>
  <si>
    <t>500F031RC(GPL PRODOTTO)CONTROLLO E RIPRISTINO FUNZIONALITA PORTATA</t>
  </si>
  <si>
    <t xml:space="preserve">VALVOLE INTERCETTO DURE NELLA MOVIMENTAZIONE 
VALVOLA BYPASS CON STELO PIEGATO MA FUNZIONANTE </t>
  </si>
  <si>
    <t>RICIPUTO A. / TARASCIO B.</t>
  </si>
  <si>
    <t>540371/C</t>
  </si>
  <si>
    <t>1000C101B SOSTITUZIONE MANOMETRI E TERMOMETRI A CAPILLARE</t>
  </si>
  <si>
    <t>ESEGUITA SOSTITUZIONE</t>
  </si>
  <si>
    <t>540164/C</t>
  </si>
  <si>
    <t>500 T301 CONTROLLO LIVELLI COLONNA 1-L006RC</t>
  </si>
  <si>
    <t>536389/C</t>
  </si>
  <si>
    <t>500C103C CONTROLLO TEMPERATURE STATORE MOTORE</t>
  </si>
  <si>
    <t>538069/C</t>
  </si>
  <si>
    <t>500B301SV RIPRISTINO FUNZIONALITA VALVOLA</t>
  </si>
  <si>
    <t>539037/C</t>
  </si>
  <si>
    <t>1000P122CV SEPARATORE A.P. D104  CONTROLLO E RIPRISTINO FUNZIONALITA VALVOLA</t>
  </si>
  <si>
    <t>539156/C</t>
  </si>
  <si>
    <t>500T019A/BCV CONTROLLO E RIPRISTINO FUNZIONALITA VALVOLE</t>
  </si>
  <si>
    <t>539803/C</t>
  </si>
  <si>
    <t>535285/C</t>
  </si>
  <si>
    <t>1000 - L114RC(D111)CONTROLLO DI FUNZIONALITA MISURA DI LIVELLO</t>
  </si>
  <si>
    <t>IL LIVELLO E' FUNZIONANTE, DRENATO E PROVATO. IL PROBLEMA DERIVAVA DA IMPIANTO BALLERINO, CHE FACEVA SPOSTARE I LIVELLI DA 0 A 100, RISOLTO IN SERATA DA SALVATORE CICCIO, C.T.</t>
  </si>
  <si>
    <t>534889/C</t>
  </si>
  <si>
    <t>500 - F004RC(MANDATA P101)CONTROLLO DI TARATURA STRUMENTO DI PORTATA</t>
  </si>
  <si>
    <t>NESSUNA ANOMALIA.</t>
  </si>
  <si>
    <t>534565/C</t>
  </si>
  <si>
    <t>600 - 600F152R(L.S. DA LIMITE BATTERIA)CONTROLLO E RIPRISTINO FUNZIONALITA PORTATA</t>
  </si>
  <si>
    <t>ESEGUITA CORREZIONE DI ZERO CON RIPRISTINO DELLA FUNZIONALITA'</t>
  </si>
  <si>
    <t>533989/C</t>
  </si>
  <si>
    <t>1000 - L114CV SMONTAGGIO/MONTAGGIO VALVOLA PER REVISIONE (CONTROFLANGIARE AGGIUNGEDO DRIP RING)</t>
  </si>
  <si>
    <t>535631/C</t>
  </si>
  <si>
    <t>500 - F003RC CONTROLLO E RIPRISTINO FUNZIONALITA E MISURA</t>
  </si>
  <si>
    <t>CORRETTO DI ZERO</t>
  </si>
  <si>
    <t>534421/C</t>
  </si>
  <si>
    <t>600 - P020BCV(OLIO DI FLUSSAGGIO) CONTROLLO VALVOLA ED EVENTUALE LOOP LOCALE DI REGOLAZIONE 06P020IC</t>
  </si>
  <si>
    <t>TROVATA VALVOLA MONTATA AL CONTRARIO. SISTEMATA, ALLINEATA OK</t>
  </si>
  <si>
    <t>533766/C</t>
  </si>
  <si>
    <t>500 - P027RC  05P028HA FUEL GAS PILOTA F101/4 CONTROLLO DI TARATURA TRASMETTITORE DI PRESSIONE E PRESSOSTATO DI ALTA PRESSIONE</t>
  </si>
  <si>
    <t>533704/C</t>
  </si>
  <si>
    <t>500 - colonna T103 sostituzione colonna- Sistemazione cavi e passerelle/conduit strumentali propedeutiche per attivita' meccaniche; i segnali al momento non devono essere scollegati, la colonna resta in marcia.</t>
  </si>
  <si>
    <t>526264/C</t>
  </si>
  <si>
    <t>1000 - L102B (D105) RIPRISTINO FUNZIONALITA LIVELLO CON EVENTUALE SPOSTAMENTO MEMBRANE SU ALTRE PRESE DI RADICE INDICATE DA ESERCIZIO</t>
  </si>
  <si>
    <t>LIVELLO TARATO E CONSEGNATO A D ESE</t>
  </si>
  <si>
    <t>525584/C</t>
  </si>
  <si>
    <t>500 - F095R(FUELL GAS A F302)CONTROLLO E RIPRISTINO MISURA PORTATA</t>
  </si>
  <si>
    <t>STASATA RADICE CON PONTEROSSO STRUMENTO IN SERVIZIO</t>
  </si>
  <si>
    <t>533186/C</t>
  </si>
  <si>
    <t>500 - 500F268RC (GPL A IMPIANTO 900) CONTROLLO E RIPRISTINO FUNZIONALITA CON TARATURA STRUMENTO DI PORTATA</t>
  </si>
  <si>
    <t>533160/C</t>
  </si>
  <si>
    <t>500 - F030RC (RIFLUSSO T104) CONTROLLO E TARATURA STRUMENTO DI PORTATA</t>
  </si>
  <si>
    <t>528568/C</t>
  </si>
  <si>
    <t>600 - L005RC (D103) CONTROLLO E RIPRISTINO LIVELLO</t>
  </si>
  <si>
    <t>533324/C</t>
  </si>
  <si>
    <t>1000 - L116RC (D112 ACCUMULATORE TESTA T102) CONTROLLO LOOP DI REGOLAZIONE  INIZIANDO DAL TRASMETTITORE DI LIVELLO</t>
  </si>
  <si>
    <t>RIPRISTINATO BATTENTE SU BARILOTTO, ELIMINATO INDICATORE LOCALE COLLEGATO IN PARALLELO SULL'ALIMENTAZIONE.</t>
  </si>
  <si>
    <t>MILLO/NOCERA</t>
  </si>
  <si>
    <t>533024/C</t>
  </si>
  <si>
    <t>1600A</t>
  </si>
  <si>
    <t>1600A - TCT592HA TAR DA E518 CONTROLLO E RIPRISTINO FUNZIONALITA TEMPERATURA</t>
  </si>
  <si>
    <t>531415/C</t>
  </si>
  <si>
    <t>1000 - L113RC(D110)CONTROLLO E RIPRISTINO  LIVELLO A CAUSA DI OSCILLAZIONI DELLA MISURA DOPO IL 50%</t>
  </si>
  <si>
    <t>531642/C</t>
  </si>
  <si>
    <t>600 - F016CV( VAPORE SESTO  PASSO F101)CONTROLLO E RIPRISTINO FUNZIONALITA VALVOLA</t>
  </si>
  <si>
    <t>LA VALVOLA NON CHIUDEVA OLTRE IL 50%, LUBRIFICATA, NON VA OLTRE IL 15% VERSO LA CHIUSURA. PROVATA CON ARIA DI RETE, NESSUN MIGLIORAMENTO. SE SI VUOLE LA TOTALE CHIUSURA, DEVE ANDARE A REVISIONE.</t>
  </si>
  <si>
    <t>531599/C</t>
  </si>
  <si>
    <t>1000 - L108CV RIPRISTINO FUNZIONALITA VALVOLA</t>
  </si>
  <si>
    <t>530799/C</t>
  </si>
  <si>
    <t>1000 - LDAR 4Q24 ELIMINAZIONE PERDITE CON SERRAGGIO PREMITRECCIA(O EVENTUALE RIBADERNATURA)  SULLE SEGUENTI VALVOLE  HOO1CV-T105CV-FCV114/C -F102CV -L116CV -F123CV</t>
  </si>
  <si>
    <t>LE VALVOLE SONO STATE CONTROLLATE, SI CONSIGLIA LA RIBADERNATURA DI TCV105-FCV114-LCV116.</t>
  </si>
  <si>
    <t>522483/C</t>
  </si>
  <si>
    <t>500 - C103B SOSTITUZIONE MANOMETRI E TERMOMETRI E RIFACIMENTO TUBING OVE NECESSITA</t>
  </si>
  <si>
    <t>530500/C</t>
  </si>
  <si>
    <t xml:space="preserve">500 - F052R - RIPRISTINO TRACCIE DI RAME   PENZOLANTI E SISTEMAZIONE IN PASSARELLA </t>
  </si>
  <si>
    <t>528229/C</t>
  </si>
  <si>
    <t>500 - Realizzazione nuovo primario su P021LA (BASSA PRESSIONE D-110).</t>
  </si>
  <si>
    <t>LAVORO TERMINATO.</t>
  </si>
  <si>
    <t>531227/C</t>
  </si>
  <si>
    <t>600 - 600F001CV   600F006CV  SERRAGGIO PREMITRECCIA PER ELIMINAZIONE PERDITA</t>
  </si>
  <si>
    <t>530491/C</t>
  </si>
  <si>
    <t>500 - L014CV SOSTITUZIONE TRASDUTTORE DI SEGNALE TARATURA VALVOLA  E ALLINEAMENTO  CON SALA CONTROLLO</t>
  </si>
  <si>
    <t>529018/C</t>
  </si>
  <si>
    <t>1000 - R109BV RIPRISTINO FINE CORSA DI APERTURA</t>
  </si>
  <si>
    <t>PER ESE LE VALVOLE NON SI POSSONO MOVIMENTARE</t>
  </si>
  <si>
    <t>529017/C</t>
  </si>
  <si>
    <t>1000 - R111BV RIPRISTINO FINE CORSA DI APERTURA</t>
  </si>
  <si>
    <t>528142/C</t>
  </si>
  <si>
    <t>IMPIANTO 600 RIPRISTINO/SOSTITUZIONE  PASSARELLA PASSACAVI C/O D102(HOUSE KEEPING)</t>
  </si>
  <si>
    <t>RIPRISTINATA PASSARELLA E FASCETTATURA DOPPINI ( MT10 )</t>
  </si>
  <si>
    <t>527408/C</t>
  </si>
  <si>
    <t>600 - manutenzione skid dosaggio antincrostante acqua CW sostituzione tubing</t>
  </si>
  <si>
    <t>DE LUCA/DI BLASI</t>
  </si>
  <si>
    <t>526937/C</t>
  </si>
  <si>
    <t>600 - L012I (D112 VENT GAS) RIPRISTINO MISURA DI LIVELLO PREVEDERE IL RIEMPIMENTO PRIMARIO</t>
  </si>
  <si>
    <t>TROVATO CON BYPASS LEGGERMENTE SPUNTATO, E CON MANICHETTA SU PRESA POSITIVA. RIPRISTINATO BATTENTE, CONTROLLO FUNZIONALE, ALLINEATO CON SALA CONTROLLO.</t>
  </si>
  <si>
    <t>526855/C</t>
  </si>
  <si>
    <t>SI PROSEGUE ATTIVITA' CON NUOVO PERMESSO (527408/C) INSERENDO SCALA A NORMA E TRABATTELLO. IN CORSO RIFACIMENTO ACCIAIO DA 12mm.</t>
  </si>
  <si>
    <t>526939/C</t>
  </si>
  <si>
    <t>600 - L0151HA(D110) CONTROLLO E RIPRISTINO FUNZIONALITA LIVELLOSTATO</t>
  </si>
  <si>
    <t>SOSTITUITA BARRIERA A RETROQUADRO IN COMUNE CON L015HA</t>
  </si>
  <si>
    <t>526938/C</t>
  </si>
  <si>
    <t>600 - L015HA(D107) CONTROLLO E RIPRISTINO FUNZIONALITA LIVELLOSTATO</t>
  </si>
  <si>
    <t>SOSTITUITA BARRIERA A RETROQUADRO IN COMUNE CON L151HA</t>
  </si>
  <si>
    <t>526845/C</t>
  </si>
  <si>
    <t>500 - F095RC RIPRISTINO FUNZIONALITA CON PROVE DI STASAMENTO PRIMARI/RADICE</t>
  </si>
  <si>
    <t>ISPEZIONATE RADICI DOPO LA COSTRUZIONE DI PONTEGGIO DEDICATO, SI NOTA LA RADICE NEGATIVA INTERCETTATA. INSERITA E CONSEGNATO STRUMENTO A ESE OK</t>
  </si>
  <si>
    <t>525899/C</t>
  </si>
  <si>
    <t>1000 - P179CV SERRAGGIO PREMITRECCIA VALVOLA  E CONTROLLO FUNZIONALITA CON ALLINEAMENTO CON SALA CONTROLLO</t>
  </si>
  <si>
    <t>IL PRESSATRECCIA E' TOTALMENTE CORROSO E SOTTILE, SI NOTANO I DADI COMPLETAMENTE ASSOTTIGLIATI. E' NECESSARIO SMONTARE LA VALVOLA PER REVISIONE. ( A CONOSCENZA TCL NASELLI )</t>
  </si>
  <si>
    <t>525259/C</t>
  </si>
  <si>
    <t>500 - C103C RICOLLEGAMENTO E CONTROLLO STRUMENTAZIONE(CILINDRI E SNUBBER) A BORDO MACCHINA  PROVE DI FUNZIONALITA PARZIALIZZAZIONE POST REVISIONE MACCHINA</t>
  </si>
  <si>
    <t>RIFACIMENTO TUBI BUCATI DA PRIMARISTA</t>
  </si>
  <si>
    <t>523947/C</t>
  </si>
  <si>
    <t>1000 - R110BV RIPRISTINO VOLANTINO MANUALE VALVOLA</t>
  </si>
  <si>
    <t>SMONTARE ATTUATORE PER VIA DEL VOLANTINO ROTTO (DA REVISIONARE). DA COORDINARE CON OFFICINA VALVOLE.</t>
  </si>
  <si>
    <t>525050/C</t>
  </si>
  <si>
    <t xml:space="preserve">600 - F004CV (PASSO DI CARICA) SERRAGGIO PREMITRECCIA E PROVA DI FUNZIONALITA </t>
  </si>
  <si>
    <t>522485/C</t>
  </si>
  <si>
    <t>500 - C103C SOSTITUZIONE MANOMETRI E TERMOMETRI E RIFACIMENTO SUPPORTI E STAFFE OVE NECESSITA'</t>
  </si>
  <si>
    <t>SOSTITUITO TUBING E MANOMETRI</t>
  </si>
  <si>
    <t>522916/C</t>
  </si>
  <si>
    <t>1000 - L107CV CONTROLLO VALVOLA EVENTUALMENTE TAPPATA SI PROVVEDE ALLO SMONTAGGIO/MONTAGGIO PER REVISIONE</t>
  </si>
  <si>
    <t>RIPRISTINATO POSIZIONATORE, E SOSTITUITA BARRIERA.</t>
  </si>
  <si>
    <t>523833/C</t>
  </si>
  <si>
    <t>1000 - L113RC L113BT (D110) RIPRISTINO FUNZIONALITA' LIVELLI</t>
  </si>
  <si>
    <t>RIPRISTINATO BATTENTE</t>
  </si>
  <si>
    <t>523446/C</t>
  </si>
  <si>
    <t>1000 - L114RC(D111)CONTROLLO DI TARATURA LIVELLO(CONTROLLO MENSILE GENNAIO)</t>
  </si>
  <si>
    <t>ESEGUITO CONTROLLO</t>
  </si>
  <si>
    <t>523744/C</t>
  </si>
  <si>
    <t>600 - P105B SOSTITUZIONE MANOMETRO</t>
  </si>
  <si>
    <t>MANOMETRO SOSTITUITO</t>
  </si>
  <si>
    <t>522908/C</t>
  </si>
  <si>
    <t>600 - T063IM (SKIN POINT PASSO 8) RIPRISTINO MISURA DI TEMPERATURA NON ATTENDIBILE</t>
  </si>
  <si>
    <t>PRIORITA' ESE: 3</t>
  </si>
  <si>
    <t>522949/C</t>
  </si>
  <si>
    <t>500 - F034CV CONTROLLO LOGICA DI BLOCCO ED EVENTUALE RIPRISTINO  ELETTROVALVOLA DI BLOCCO VALVOLA</t>
  </si>
  <si>
    <t xml:space="preserve">PRIORITA' ESE: 1 </t>
  </si>
  <si>
    <t>522883/C</t>
  </si>
  <si>
    <t>600 - F008CV (PASSO DI CARICA) RIPRISTINO FUNZIONALITA VALVOLA</t>
  </si>
  <si>
    <t>STASATA TRACCIA VAPORE</t>
  </si>
  <si>
    <t>MILLO/MANSERVIGI</t>
  </si>
  <si>
    <t>522913/C</t>
  </si>
  <si>
    <t>600 - P502B SOSTITUZIONE MANOMETRO</t>
  </si>
  <si>
    <t>ESEGUITA SOSTITUZIONE MANOMETRO</t>
  </si>
  <si>
    <t>522910/C</t>
  </si>
  <si>
    <t>600 - P108B SOSTITUZIONE MANOMETRO</t>
  </si>
  <si>
    <t>521513/C</t>
  </si>
  <si>
    <t>1000 - L115RC(FONDO T102) CONTROLLO E RIPRISTINO FUNZIONALITA LIVELLO</t>
  </si>
  <si>
    <t>521023/C</t>
  </si>
  <si>
    <t>1000R152BV RIPRISTINO FINE CORSA DI CHIUSURA</t>
  </si>
  <si>
    <t>520681/C</t>
  </si>
  <si>
    <t>1000 - F124CV RIMONTAGGIO VALVOLA PER REVISIONE</t>
  </si>
  <si>
    <t>OFF. VALVOLE</t>
  </si>
  <si>
    <t>BASSETTA / MILARDO</t>
  </si>
  <si>
    <t>520975/C</t>
  </si>
  <si>
    <t>1000 - L263HCO (D107) SOSTITUZIONE GRUPPO BYPASS E RIEMPIMENTO PRIMARI METTERE MOS PRIMA DI INIZIARE ATTIVITA')</t>
  </si>
  <si>
    <t>SOSTITUITO GRUPPO BYPASS ED ESEGUITO RIEMPIMENTO PRIMARIO CON GLICERINA</t>
  </si>
  <si>
    <t>520974/C</t>
  </si>
  <si>
    <t>1000 - P173CV SMONTAGGIO /MONTAGGIO PER REVISIONE VALVOLA</t>
  </si>
  <si>
    <t>OFF. VALVOLE - PERDITA DALLE TENUTE</t>
  </si>
  <si>
    <t>OFF.VALVOLE</t>
  </si>
  <si>
    <t>517314/C</t>
  </si>
  <si>
    <t>1000 - L114CV SERRAGGIO PREMITRECCIA</t>
  </si>
  <si>
    <t>518012/C</t>
  </si>
  <si>
    <t>600P105B SCOLLEGAMENTO E SUCCESSIVO RICOLLEGAMENTO STRUMENTAZIONE BARILOTTO PERDITE TENUTE</t>
  </si>
  <si>
    <t>517457/C</t>
  </si>
  <si>
    <t>1000RBV115 RIPRISTINO FUNZIONALITA' VALVOLA</t>
  </si>
  <si>
    <t>SOSTITUITO FINECORSA</t>
  </si>
  <si>
    <t>515766/C</t>
  </si>
  <si>
    <t>Ripristino perdita su accoppiamento flangiato livello a capillare L102BT(SEPAR. ALTA PRESS.D104); interfacciarsi con sala controllo prima di iniziare attivita'.</t>
  </si>
  <si>
    <t>NONOSTANTE LA FLANGIA E' STATA LAVORATA AL TORNIO E INSERITA GUARNIZIONE, LA PERDITA NON SI RIESCE A FERMARE.</t>
  </si>
  <si>
    <t>515759/C</t>
  </si>
  <si>
    <t>600F001CV 06F006CV 06F008CV (PASSI DI CARICA)</t>
  </si>
  <si>
    <t>SERRAGGIO PREMITRECCIA, VALVOLE PROVATE CON OPERATORE</t>
  </si>
  <si>
    <t>515738/C</t>
  </si>
  <si>
    <t>600F013RC (M.S. TERZO PASSO)CONTROLLO E RIPRISTINO FUNZIONALITA'</t>
  </si>
  <si>
    <t>TROVATA PRESA NEGATIVA TAPPATA, NON SI RIESCE A STASARLA. NECESSITA PONTEGGIO PER CHIUDERE LE VALVOLE DI RADICE.</t>
  </si>
  <si>
    <t>535630/C</t>
  </si>
  <si>
    <t>500 - F002RC(CARICA TOTALE)CONTROLLO DI TARATURA STRUMENTO DI PORTATA</t>
  </si>
  <si>
    <t>536276/C</t>
  </si>
  <si>
    <t>1000 - F270CV(CARICA DA IMP.500) CONTROLLO DI TARATURA E FUNZIONALITA VALVOLA</t>
  </si>
  <si>
    <t>SAGGIO/GIGLIUTO</t>
  </si>
  <si>
    <t>536113/C</t>
  </si>
  <si>
    <t>500 - COLONNA T101 CONTROLLO F352R, L351RC, L352HA, L353SL</t>
  </si>
  <si>
    <t>LE RADICI NON FANNO TENUTA. ESEGUITO SOLO ALLINEAMENTO CON SALA CONTROLLO.</t>
  </si>
  <si>
    <t>SPINALI/NOCERA</t>
  </si>
  <si>
    <t>536115/C</t>
  </si>
  <si>
    <t>500 - COLONNA T101 CONTROLLO L311I</t>
  </si>
  <si>
    <t>ERA IN FAIL SAFE, RIPRISTINATO</t>
  </si>
  <si>
    <t>536447/C</t>
  </si>
  <si>
    <t>1000 - 1000F114BBT STASATURA PRIMARII E BARILOTTI CON POMPA MANUALE STASALINEE(METTERE MOS PRIMA DI INIZIARE ATTIVITA)</t>
  </si>
  <si>
    <t>536919/C</t>
  </si>
  <si>
    <t>1000 - F119R(FONDO T101)RIPRISTINO MISURA DI PORTATA</t>
  </si>
  <si>
    <t>537253/C</t>
  </si>
  <si>
    <t xml:space="preserve">500 - P046SL (BLOCCO  BASSA PRESSIONE PILOTA GAS)CONTROLLO E RIPRISTINO FUNZIONALITA  </t>
  </si>
  <si>
    <t>537250/C</t>
  </si>
  <si>
    <t>1000 - L105R (LIVELLO SEPARATORE ASP. 1 STADIO D106)CONTROLLO E RIPRISTINO FUNZIONALITA(METTERE I MOS PRIMA DI INIZIARE ATTIVITA)</t>
  </si>
  <si>
    <t>installata Dp</t>
  </si>
  <si>
    <t>537734/C</t>
  </si>
  <si>
    <t>500 - F018RC ANTIPOMPAGGIO C102 MANDATA CONTROLLO E RIPRISTINO FUNZIONALITA</t>
  </si>
  <si>
    <t>PERMESSO CANCELLATO</t>
  </si>
  <si>
    <t>537124/C</t>
  </si>
  <si>
    <t>1000 - Ripristino armadio compressore C101</t>
  </si>
  <si>
    <t>539407/C</t>
  </si>
  <si>
    <t>500F018RC (ANTIPOMPAGGIO C102)CONTROLLO  E RIPRISTINO FUNZIONALITA PORTATA ED EVENTUALE RIFACIMENTO PRIMARI</t>
  </si>
  <si>
    <t>SPINALI/BAUDO</t>
  </si>
  <si>
    <t>537249/C</t>
  </si>
  <si>
    <t>500 - F163R(VAPORE MS a L.B.)CONTROLLO DI TARATURA  E RIPRISTINO FUNZIONALITA</t>
  </si>
  <si>
    <t>AZZERATO STRUMENTO. IL TX E' BIDIREZIONALE CON F161R,. LA MISURA E' NEGATIVA ( mm-50 in riferimento, e mm 50 sul F161R ). CONSEGNATO OK</t>
  </si>
  <si>
    <t>539402/C</t>
  </si>
  <si>
    <t>500T019A/B CV (E109)CONTROLLO E RIPRISTINO FUNZIONALITA VALVOLE</t>
  </si>
  <si>
    <t>540012/C</t>
  </si>
  <si>
    <t>500P017CV (GAS A C102)CONTROLLO DI FUNZIONALITA VALVOLA</t>
  </si>
  <si>
    <t>539313/C</t>
  </si>
  <si>
    <t>600 - F026RC (OLIO LAVAGGIO P. A. PASSO) CONTROLLO E RIPRISTINO FUNZIONALITA PORTATA EVENTUALMENTE CON RIFACIMENTO TRACCIA DI VAPORE  SU STRUMENTO</t>
  </si>
  <si>
    <t>539817/C</t>
  </si>
  <si>
    <t>500C102 SMONTAGGIO/RIMONTAGGIO SONDE DI VIBRAZIONE E STRUMENTAZIONE A CORREDO SU COMPRESSORE</t>
  </si>
  <si>
    <t>540014/C</t>
  </si>
  <si>
    <t>500F011RC RICICLO SODA T103 CONTROLLO LOOP DI REGOLAZIONE (INIZIANDO PRIMA DALLA PORTATA)</t>
  </si>
  <si>
    <t>CONTROLLATA VALVOLA E PORTATA. LA VALVOLA ERA STARATA DEL 60%, MENTRE LA PORTATA AVEVA LA PRESA NEGATIVA TAPPATA. STASATO PRIMARIO IN CANTIERE. RIPRISTINATE ENTRAMBI.</t>
  </si>
  <si>
    <t>541246/C</t>
  </si>
  <si>
    <t>100F005CO 100F056CO CARICA TOTALE F101 CONTROLLO E TARATURA CON RIEMPIMENTO PRIMARI SU STRUMENTI DI PORTATA(METTERE I MOS PRIMA DI INIZIARE ATTIVITA)</t>
  </si>
  <si>
    <t>ESEGUITO RIEMPIEMENTO SUI BARILOTTI. STRUMENTI ALLINEATI CON SALA CONTROLLO</t>
  </si>
  <si>
    <t>541224/C</t>
  </si>
  <si>
    <t>1000L117RC FONDO T103 CONTROLLO LOOP DI REGOLAZIONE E ALLINEAMENTO CON SALA CONTROLLO</t>
  </si>
  <si>
    <t>LA VALVOLA IN AUTOMATICO FA ESCURSIONI DEL 10%, IN MANUALE E' FERMA. SI NOTA DAL KLINGER CHE LE OSCILLAZIONI DI LIVELLO SONO VERITIERE, DAL 65 AL 70%. NULLA DA SEGNALARE</t>
  </si>
  <si>
    <t>541605/C</t>
  </si>
  <si>
    <t>Imp.500-Controllo funzionalita' T018RC, TI164 (SODA TOTALE A D103); se necessario far mettere in manuale il regolatore.</t>
  </si>
  <si>
    <t>T018RC SOSTITUITA BARRIERA_ OK; TI156 NESSUNA ANOMALIA RISCONTRATA; TI157 DOPPINO IN DISPERSIONE, UTILIZZATA CALZA PROVVISORIA PER GARANTIRE UNA MISUNA.</t>
  </si>
  <si>
    <t>SPINALI/LEONE</t>
  </si>
  <si>
    <t>535832/C</t>
  </si>
  <si>
    <t>600 - F026RC OLIO DI LAVAGGIO A T101 CONTROLLO E RIPRISTINO FUNZIONALITA PORTATA</t>
  </si>
  <si>
    <t>NESSUNA ANOMALIA DA SEGNALARE.</t>
  </si>
  <si>
    <t>540507/C</t>
  </si>
  <si>
    <t>500F016ARC 05F018RC SOSTITUZIONE STRUMENTI CON GRUPPO BYPASS E RIFACIMENTO PRIMARI CON INSTALLAZIONE NUOVA TRACCIA DI VAPORE PER RISCALDAMENTO PRIMARI</t>
  </si>
  <si>
    <t>ODC DEDICATO-COSTRUZIONE GRUPPI BYPASS IN CANTIERE PER SUCCESSIVO MONTAGGIO STRUMENTAZIONE IN CAMPO.</t>
  </si>
  <si>
    <t>542331/C</t>
  </si>
  <si>
    <t>IMP.600F030R(fondo vacuum a stoccaggio)CONTROLLO E RIPRISTINO MSURA DI PORTATA</t>
  </si>
  <si>
    <t>DA COIBENTARE PARTE DEI PRIMARI. ESEGUITA STASATURA PRIMARI E REGOLATI FLUSSAGGI.</t>
  </si>
  <si>
    <t>542329/C</t>
  </si>
  <si>
    <t>IMP.600F051R(LVGO AD  U700)CONTROLLO E RIPRISTINO MSURA DI PORTATA</t>
  </si>
  <si>
    <t>543742/C</t>
  </si>
  <si>
    <t>500F022CV(IDROGENO A RIGENERAZIONE)CONTROLLO E RIPRISTINO FUNZIONALITA VALVOLA</t>
  </si>
  <si>
    <t>TROVATA VALVOLA STARATA DEL 15% IN APERTURA, TARATA ED ALLINEATA CON SALA CONTROLLO.</t>
  </si>
  <si>
    <t>544168/C</t>
  </si>
  <si>
    <t>1000R150BV RIPRISTINO E CONTROLLO FINE CORSA DI APERTURA E CHIUSURA</t>
  </si>
  <si>
    <t>GARRO/PARTESANO</t>
  </si>
  <si>
    <t>544209/C</t>
  </si>
  <si>
    <t>500P082RC ( FUEL GAS A F301)CONTROLLO E RIPRISTINO FUNZIONALITA TRASMETTITORE DI PRESSIONE</t>
  </si>
  <si>
    <t>STRUMENTO SOSTITUITO. LOOP ALLINEATO</t>
  </si>
  <si>
    <t>MIILO/SERRA</t>
  </si>
  <si>
    <t>544540/C</t>
  </si>
  <si>
    <t>1000R167BV RIPRISTINO E CONTROLLO FINE CORSA DI APERTURA E CHIUSURA</t>
  </si>
  <si>
    <t>SULL'ATTUATORE DELLA VALVOLA SI E' ROTTA LA GUIDA DEL FINECORSA, PER SISTEMARLO OCCORE SMONTARE L'ATTUATORE.</t>
  </si>
  <si>
    <t>544634/C</t>
  </si>
  <si>
    <t>500P082CV SMONTAGGIO/MONTAGGIO VALVOLA PER STASATURA DELLA STESSA  O EVENTUALE REVISIONE IN OFFICINA</t>
  </si>
  <si>
    <t>VALVOLA REVISIONATA IN CAMPO, TRONCHETTI TAPPATI</t>
  </si>
  <si>
    <t>544848/C</t>
  </si>
  <si>
    <t>1000F170CV (TAGLIO T102 A D103)CONRTOLLO E RIPRISTINO VALVOLA O EVENTUALE LOOP DI REGOLAZIONE</t>
  </si>
  <si>
    <t>544654/C</t>
  </si>
  <si>
    <t>600F014CV CONTROLLO E  RIPRISTINO FUNZIONALITA VALVOLA(EVENTUALMENTE CONTROLLARE LOOP DI REGOLAZIONE)</t>
  </si>
  <si>
    <t>TROVATO LINK DEL POSIZIONATORE SCOLLEGATO DALLE VIBRAZIONI, COLLEGATO E VALVOLA TARATA. CONSEGNATA AD ESE</t>
  </si>
  <si>
    <t>545446/C</t>
  </si>
  <si>
    <t>U1000: MC101A - Montaggio struttura di raffreddamento da montare elettrico</t>
  </si>
  <si>
    <t>COSTRUITO ANELLO DI RAFFREDDAMENTO SUL COMPRESSORE</t>
  </si>
  <si>
    <t>547686/C</t>
  </si>
  <si>
    <t>1000L113RC  ACCUMULATORE TESTA T101 CONTROLLO  E RIPRISTINO MISURA DI LIVELLO</t>
  </si>
  <si>
    <t>ALZATO ULTERIORMENTE DAMPING STRUMENTO ( 15 SEC) PER LE VARIAZIONI IN SALA C.</t>
  </si>
  <si>
    <t>547741/C</t>
  </si>
  <si>
    <t>600F157R (MAKE UP ACQUA MARE )CONTROLLO E RIPRISTINO MISURA DI PORTATA</t>
  </si>
  <si>
    <t>RIPRISTINATA MISURA DOPO SPURGAGGIO TUBO DI PITOT.</t>
  </si>
  <si>
    <t>548724/C</t>
  </si>
  <si>
    <t>1000R115BV CONTROLLO E RIPRISTINO FUNZIONALITA DI ENTRAMBI I FINE CORSA</t>
  </si>
  <si>
    <t>SOSTITUITO FINE CORSA</t>
  </si>
  <si>
    <t>548725/C</t>
  </si>
  <si>
    <t>1000RF123RC (FONDO T102)CONTROLLO DI TARATURA PORTATA(A VALVOLA CHIUSA DA PORTATA)</t>
  </si>
  <si>
    <t>548969/C</t>
  </si>
  <si>
    <t>1000L107RC(ACQUA D102)  1000L108RC (SODA D102) CONTROLLO E TARATURA LIVELLI</t>
  </si>
  <si>
    <t>CORRETTO L108RC. L107RC OTTIMO.</t>
  </si>
  <si>
    <t>549477/C</t>
  </si>
  <si>
    <t>500F164R(VAPORE LS DA L.B.)RIPRISTINO FUNZIONALITA PORTATA</t>
  </si>
  <si>
    <t>ESEGUITA STASATURA BARILOTTO NEGATIVA, VALVOLA DI INTERCETTO NEGATIVA BLOCCATA APERTA</t>
  </si>
  <si>
    <t>549544/C</t>
  </si>
  <si>
    <t>500P161R (VAPORE MS)CONTROLLO E TARATURA STRUMENTO DI PRESSIONE</t>
  </si>
  <si>
    <t>TX OK, PRIMARIO PARZ.TAPPATO VALVOLE D'INTERCETTO BLOCCATE APERTE</t>
  </si>
  <si>
    <t>549549/C</t>
  </si>
  <si>
    <t>1000P501LA (OLIO LUBRIFICANTE P102A)CONTROLLO E TARATURA PRESSOSTATO</t>
  </si>
  <si>
    <t>ALLARME RIENTRATO</t>
  </si>
  <si>
    <t>549872/C</t>
  </si>
  <si>
    <t>1000L116RC(D112)CONTROLLO E RIPRISTINO LIVELLO ED EVENTUALMENTE LOOP DI REGOLAZIONE</t>
  </si>
  <si>
    <t>549766/C</t>
  </si>
  <si>
    <t>1000R167BV MONTAGGIO ATTUATORE DOPO REVISIONE</t>
  </si>
  <si>
    <t>550283/C</t>
  </si>
  <si>
    <t>500C103A RIPRISTINO PARZIALIZZAZIONE STRUMENTALE IN SALA TECNICA</t>
  </si>
  <si>
    <t>551284/C</t>
  </si>
  <si>
    <t>600F023I (MANDATA P104 CONDENSATO)CONTROLLO E TARATURA STRUMENTO DI PORTATA</t>
  </si>
  <si>
    <t xml:space="preserve">EFFETTUATA TARATURA E STASATI PRIMARI PARZIALMENTE TAPPATI </t>
  </si>
  <si>
    <t>551219/C</t>
  </si>
  <si>
    <t>600L005DIC(H2O D103)  600L006IC(HC D103) CONTROLLO E TARATURA LIVELLI</t>
  </si>
  <si>
    <t xml:space="preserve">EFFETTUATA TARATURA E PULITA GABBIA. </t>
  </si>
  <si>
    <t>551330/C</t>
  </si>
  <si>
    <t>1000F201I(CONDENSA D126)CONTROLLO TARATURA E RIPRISTINO MISURA DI PORTATA</t>
  </si>
  <si>
    <t xml:space="preserve">EFFETTUATA TARATURA CON ESITO POSITIVO. </t>
  </si>
  <si>
    <t>551655/C</t>
  </si>
  <si>
    <t>1000P179CV RIBADERNATURA IN CAMPO E RIPRISTINO LANTERNA PREMISTOPPA VALVOLA(METTERE VALVOLA IN BYPASS INTERCETTATA E DEPRESSATA)</t>
  </si>
  <si>
    <t>COSTRUZIONE PRESSATRECCIA CON 2 SEMISFERE IN ACCIAIO ( PROVVISORIE IN ATTESA CHE LA VALVOLA VADA A REVISIONE ), PROVATA E MESSA IN ESERCIZIO A 12 KG SENZA PERDITA DAL PREMITRECCIA.</t>
  </si>
  <si>
    <t>551773/C</t>
  </si>
  <si>
    <t>500F022CV RIPRISTINO TUBICINO VALVOLA  ARIA STRUMENTI E CONTROLLO FUNZIONALITA</t>
  </si>
  <si>
    <t xml:space="preserve">SOSTITUITO POSIZIONATORE ED EFFETTUATE PROVE FUNZIONALI CON ESITO POSITIVO. </t>
  </si>
  <si>
    <t>551725/C</t>
  </si>
  <si>
    <t>1000 TESTA T101 10P180SH SOSTITUZIONE PRESSOSTATO DI BLOCCO PER CAMBIO SET DI INTERVENTO ,10P180HA TARATURA PRESSOSTATO DI ALLARME PER CAMBIO SET DI INTERVENTO(INSERIRE MOS PRIMA DI INIZIARE L'ATTIVITA)</t>
  </si>
  <si>
    <t xml:space="preserve">10P189SH SOSTITUZIONE PRESSOSTATO DI BLOCCO PER CAMBIO SET DI INTERVENTO ,10P180HA TARATURA PRESSOSTATO DI ALLARME PER CAMBIO SET DI INTERVENTO. </t>
  </si>
  <si>
    <t>552003/C</t>
  </si>
  <si>
    <t>500F161R (VAPORE MS DA L.B.)CONTROLLO DI TARATURA ED EVENTUALE RIPRISTINO FUNZIONALITA</t>
  </si>
  <si>
    <t>SUL TRASMETTITORE NON SI EVIDENZIANO PROBLEMI. LO STRUMENTO MESSO A PROCESSO SI NOTANO DELLE PENDOLAZIONI DELLA MISURA NOTEVOLI, LE STESSE CHE SI NOTANO SULLA PORTATA F163R CHE HA COME SERVIZIO MS DA LIMITE BATTERIA. ENTRAMBI UTILIZZANO LA STESSA FLANGIA TARATA CON 4 PRIMARI E  BARILOTTI DIVERSI.</t>
  </si>
  <si>
    <t>552005/C</t>
  </si>
  <si>
    <t>1000F131R (VAPORE MS  L.B.)CONTROLLO DI TARATURA ED EVENTUALE RIPRISTINO FUNZIONALITA</t>
  </si>
  <si>
    <t xml:space="preserve">TROVATA PRESA POSITIVA PARZIALMENTE TAPPATA.
EFFETTUATA STASATURA CON ESITO POSITIVO. </t>
  </si>
  <si>
    <t>552966/C</t>
  </si>
  <si>
    <t>1000L115RC (FONDO T102)CONTOLLO E RIPRISTINO MISURA DI LIVELLO</t>
  </si>
  <si>
    <t>CONTROLLATO LIVELLO A DISLOCAMENTO CON TESTINA ELETTRONICA FISCHER 12400. DOPO AVER CHIUSO LE DOPPIE VALVOLE SI NOTA UNA COPIOSA PERDITA DALLA RADICE SUPERIORE. IL LIVELLO E' STATO SCARICATO, VERIFICATO DI 0, ED ALLINEATO CON SALA CONTROLLO IN PRESENZA DI TCL NASELLI. INSERITO VA OLTRE IL FONDO SCALA, REALMENTE PIENO.</t>
  </si>
  <si>
    <t>553010/C</t>
  </si>
  <si>
    <t>1000F170CV SERRAGGIO PREMITRECCIA PER ELIMINAZIONE PERDITA SU VALVOLA</t>
  </si>
  <si>
    <t>SERRAGGIO PREMITRECCIA, ELIMINATA PERDITA.</t>
  </si>
  <si>
    <t>553937/C</t>
  </si>
  <si>
    <t>600F004R RIPRISTINO TRACCIA DI VAPORE SU STRUMENTO DI PORTATA</t>
  </si>
  <si>
    <t>SOSTITUITO TERMINALE BUCATO SU TRACCIATURA STRUMENTO. INSERITA TRACCIATURA, OK</t>
  </si>
  <si>
    <t>554644/C</t>
  </si>
  <si>
    <t>600F157R (H20 LIMITE BATTERIA)RIPRISTINO FUNZIONALITA STRUMENTO DI PORTATA</t>
  </si>
  <si>
    <t>VALVOLA NEGATIVA DI INTERCETTO NON TIENE, PRIMARIO POSITIVO TAPPATO E STASATO CON POMPA ALTA PRESSIONE. LAVORO TERMINATO CON ESITO POSITIVO.</t>
  </si>
  <si>
    <t>556543/C</t>
  </si>
  <si>
    <t>600F016RC (VAPORE PASSO 6)600F14RC(PASSO 4)600F013RC(PASSO 3)CONTROLLO E RIPRISTINO FUNZIONALITA STRUMENTI DI PORTATA</t>
  </si>
  <si>
    <t>556678/C</t>
  </si>
  <si>
    <t>1000l114rc controllo e taratura livello</t>
  </si>
  <si>
    <t>548570/C</t>
  </si>
  <si>
    <t>1000 assistenza strumentale impianto</t>
  </si>
  <si>
    <t>548415/C</t>
  </si>
  <si>
    <t>1000L114RC (D111) CONTROLLO E RIPRISTINO MISURA  DI LIVELLO</t>
  </si>
  <si>
    <t>546213/C</t>
  </si>
  <si>
    <t>10228111 - IMP. 600 Si richiede taratura strumenti di pressione per monitoraggio letto di lavaggio: taratura P510R/P521R/P119I/DP513I</t>
  </si>
  <si>
    <t>545957/C</t>
  </si>
  <si>
    <t>600- P108A/B SMONTAGGIO FLUSSIMETRO DA P108B PER REVISIONE E SUCCESSIVO RIMONTAGGIO NELLA P108A</t>
  </si>
  <si>
    <t>ESEGUITO SMONTAGGIO E CONTROFLANGIATURA.</t>
  </si>
  <si>
    <t>545646/C</t>
  </si>
  <si>
    <t>1000VBCB2I  VBCB3I (C101B ) SOSTITUZIONE SONDE DI VIBRAZIONE PRIMO E SECONDO STADIO(METTERE I MOS PRIMA DI INIZIARE ATTIVITA)</t>
  </si>
  <si>
    <t>544165/C</t>
  </si>
  <si>
    <t>1000C101B RIPRISTINO PERDITA TUBO ACCIAIO PRESA MANOMETRICA ASPIRAZIONE PRIMO STADIO</t>
  </si>
  <si>
    <t>543532/C</t>
  </si>
  <si>
    <t>10226915 controllo funzionale del livello L114RC imp.1000 D111</t>
  </si>
  <si>
    <t>NESSUNA ANOMALIA SUL LIVELLO.</t>
  </si>
  <si>
    <t>540512/C</t>
  </si>
  <si>
    <t>500F012I SPURGO SODA T103 CONTROLLO E RIPRISTINO FUNZIONALITA PORTAT</t>
  </si>
  <si>
    <t>536759/C</t>
  </si>
  <si>
    <t>1000 - Controllo strumentazione pro lavaggio colonna T101,10L121HA (alto livello interfase D121).interfacciarsi con sala controllo prima di iniziare  attivita'.</t>
  </si>
  <si>
    <t>534310/C</t>
  </si>
  <si>
    <t>500 - P006IC REGOLAZIONE LOCALE CONTROLLO E TARAURA SIA DEL REGOLATORE DI PRESSIONE E SIA DELLA VALVOLA(CONDIZIONE NECESSARIA PER  EFFETTUARE L'ATTIVITA E METTERE IN BYPASS LA VALVOLA)</t>
  </si>
  <si>
    <t>534308/C</t>
  </si>
  <si>
    <t>500 - P005IC REGOLAZIONE LOCALE CONTROLLO E TARAURA SIA DEL REGOLATORE DI PRESSIONE E SIA DELLA VALVOLA(CONDIZIONE NECESSARIA PER  EFFETTUARE L'ATTIVITA E METTERE IN BYPASS LA VALVOLA)</t>
  </si>
  <si>
    <t>533171/C</t>
  </si>
  <si>
    <t>500 - F031RC (GPL PRODOTTO) CONTROLLO E TARATURA STRUMENTO DI PORTATA</t>
  </si>
  <si>
    <t>536116/C</t>
  </si>
  <si>
    <t>1000 - COLONNA T101 CONTROLLO L121HA</t>
  </si>
  <si>
    <t>PRIORITARIO</t>
  </si>
  <si>
    <t>536335/C</t>
  </si>
  <si>
    <t>500 - T103 sostituzione colonna- Scolleg/smtg strumentazione e revisione in cantiere e rimozione  cavi e passerelle/conduit strumentali per rimozione colonna e successivi rmtg/ricollegamenti dopo posa nuova colonna.</t>
  </si>
  <si>
    <t>539501/C</t>
  </si>
  <si>
    <t>539413/C</t>
  </si>
  <si>
    <t>500 - P009B CV SMONTAGGIO/MONTAGGIO VALVOLA PER REVISIONE</t>
  </si>
  <si>
    <t>VALVOLA SMONTATA, IN REVISIONE</t>
  </si>
  <si>
    <t>CIANCHINO/BAUDO</t>
  </si>
  <si>
    <t>540194/C</t>
  </si>
  <si>
    <t>500F018CV (ANTIPOMPAGGIO C 102) CONTROLLO E RIPRISTINO VALVOLA</t>
  </si>
  <si>
    <t>SCOLLEGATA PNEUMATICAMENTE PER SMONTAGGIO (MECCANICI) E SUCCESSIVA REVISIONE IN OFF.VALVOLE</t>
  </si>
  <si>
    <t>540242/C</t>
  </si>
  <si>
    <t>CONTROLLO LIVELLI T103 IMPIANTO 500 ( L006RC, L301RC, L302RC )</t>
  </si>
  <si>
    <t>537255/C</t>
  </si>
  <si>
    <t>1000 - P137RC (PRESSIONE SEPARATORE ASP.2 STADIO)CONTROLLO LOOP DI REGOLAZIONE A CAUSA OSCILLAZIONE DELLA MISURA PARTENDO DALLA VALVOLA</t>
  </si>
  <si>
    <t>542332/C</t>
  </si>
  <si>
    <t>IMP.600F141RC(RICICLO REDIDUO VACUUM)CONTROLLO E RIPRISTINO MSURA DI PORTATA</t>
  </si>
  <si>
    <t>542740/C</t>
  </si>
  <si>
    <t>600P108A SOSTITUZIONE FLUSSIMETRO CON PRIMARI ANNESSI (GASOLIO DI FLUSSAGGIO ANELLI DI USURA P108A)</t>
  </si>
  <si>
    <t>543599/C</t>
  </si>
  <si>
    <t>10226912   1000: 10F119R controllo funzionale</t>
  </si>
  <si>
    <t>IL LAVORO VERRA' FATTO IN FERMATA PERCHE' LE RADICI SONO TAPPATE E SERVE PONTEROSSO</t>
  </si>
  <si>
    <t>543775/C</t>
  </si>
  <si>
    <t>500P206SH(VALVOLA DEL.ATTIVATA C103B)05P504SH(VALVOLA DEL. ATTIVATA C101)CONTROLLO ED EVENTUALE RIPRISTINO PRESSOSTATI</t>
  </si>
  <si>
    <t>543712/C</t>
  </si>
  <si>
    <t>10226764   600-ripristino regolatore di pressione nella linea di azoto della pompetta di additivazione antincrostante</t>
  </si>
  <si>
    <t>546017/C</t>
  </si>
  <si>
    <t>600- F004CV SMONTAGGIO/RIMONTAGGIO VALVOLA PER REVISIONE</t>
  </si>
  <si>
    <t>546280/C</t>
  </si>
  <si>
    <t>600- F006CV SMONTAGGIO/RIMONTAGGIO VALVOLA PER REVISIONE</t>
  </si>
  <si>
    <t>546584/C</t>
  </si>
  <si>
    <t>600- F002CV SMONTAGGIO/RIMONTAGGIO VALVOLA PER REVISIONE</t>
  </si>
  <si>
    <t>547093/C</t>
  </si>
  <si>
    <t>600- F001CV SMONTAGGIO/RIMONTAGGIO VALVOLA PER REVISIONE</t>
  </si>
  <si>
    <t>VALVOLA SMONTATA E PORTATA A REVISIONE IN OFFICINA.</t>
  </si>
  <si>
    <t>SAGGIO</t>
  </si>
  <si>
    <t>548414/C</t>
  </si>
  <si>
    <t>500F171R CONTROLLO E RIPRISTINO PORTATA</t>
  </si>
  <si>
    <t>548544/C</t>
  </si>
  <si>
    <t>500F301/302 RILIEVI E MISURAZIONI SU FORNO CON ANALIZZATORE PORTATILE DI OSSIGENO(SU TRE PUNTI INDICATI DA ESERCIZIO)</t>
  </si>
  <si>
    <t>549468/C</t>
  </si>
  <si>
    <t>1000R167BV SMONTAGGIO ATTUATORE PER REVISIONE E RIPRISTINO SALDATURA  SERVOMOTORE(LA VALVOLA RIMARRA CHIUSA)</t>
  </si>
  <si>
    <t>553838/C</t>
  </si>
  <si>
    <t>1000P119R (USCITA R-101A/B)CONTROLLO E TARATURA STRUMENTO DI PRESSIONE</t>
  </si>
  <si>
    <t>IL TX DI PRESSIONE E' ALLINEATO AL MANOMETRO (56 BAR 9. ESEGUITO CONTROLLO FUNZIONALE. NULLA DA SEGNALARE.</t>
  </si>
  <si>
    <t>MILLO/GARRO S.</t>
  </si>
  <si>
    <t>553008/C</t>
  </si>
  <si>
    <t>500L017RC(D116)CONTROLLO E TARATURA STRUMENTO DI LIVELLO</t>
  </si>
  <si>
    <t>554842/C</t>
  </si>
  <si>
    <t>1000P110BCV RIMONTAGGIO VALVOLA E ALLINEAMENTO CON SALA CONTROLLO</t>
  </si>
  <si>
    <t>554771/C</t>
  </si>
  <si>
    <t>500 ACCUMULATORE  D131 CONTROLLO E RIPRISTINO DEI SEGUENTI STRUMENTI 05L407SH ,05L406HA ,05L405SH ,05L404SL.</t>
  </si>
  <si>
    <t>05L407SH NECESSITA PONTEGGIO, 05L405SH E 05406HA PROVATA FUNZIONALITA', PRIMARI LIBERI, OK. 05L404SL MANCA IL LIVELLOSTATO DALLA FERMATA 2020.</t>
  </si>
  <si>
    <t>555954/C</t>
  </si>
  <si>
    <t>1000R115BV RIPRISTINO FUNZIONALITA FINE CORSA DI CHIUSURA</t>
  </si>
  <si>
    <t>555956/C</t>
  </si>
  <si>
    <t>500F023CV (AZOTO A RIGENERAZIONE)CONTROLLO FUNZIONALITA  VALVOLA IN QUANTO PARE NON FACCIA TENUTA</t>
  </si>
  <si>
    <t>555961/C</t>
  </si>
  <si>
    <t>500F029R (GAS DA D114 A RETE FG )CONTROLLO E TARATURA STRUMENTO DI PORTATA</t>
  </si>
  <si>
    <t>553014/C</t>
  </si>
  <si>
    <t>1000T124R(R 101B)CONTROLLO E ALLINEAMENTO LOOP DI TEMPERATURA</t>
  </si>
  <si>
    <t>IL TERMOELEMENTO E' FUNZIONANTE. IL PROBLEMA E' IL DOPPINO CHE VA DALLA SALA TECNICA ALLA SALA CONTROLLO, CHE E' IN DISPERSIONE. ALTRE COPPIE SPARE SONO IN DISPERSIONE. LA TEMPERATURA NON E' ATTENDIBILE.</t>
  </si>
  <si>
    <t>548967/C</t>
  </si>
  <si>
    <t>500L151HA (D121)CONTROLLO E RIPRISTINO LIVELLOSTATO</t>
  </si>
  <si>
    <t>MANCANZA VALVOLA DI SPURGO IMPOSSIBILE DRENARE ED ESEGUIRE IL CONTROLLO REALE</t>
  </si>
  <si>
    <t>548410/C</t>
  </si>
  <si>
    <t>500F164R (LS LIMITE BATTERIA)CONTROLLO E RIPRISTINO MISURA PORTATA</t>
  </si>
  <si>
    <t>NECESSITA PONTEGGIO PER CONTROLLO STRUMENTO</t>
  </si>
  <si>
    <t>547740/C</t>
  </si>
  <si>
    <t>600T225I(INCONDENSABILI USCITA D103)CONTROLLO E RIPRISTINO TEMPERATURA CON ALLINEAMENTO CON SALA CONTROLLO</t>
  </si>
  <si>
    <t>controllata temperatura da jbox a sala controllo, ok.  PER IL TERMOELEMENTO NECESSITA PONTEGGIO</t>
  </si>
  <si>
    <t>547685/C</t>
  </si>
  <si>
    <t>1000F114BRC(PASSO 2 F102)CONTROLLO E RIPRISTINO MISURA DI PORTATA METTERE I MOS PRIMA DI INIZIARE L'ATTIVITA</t>
  </si>
  <si>
    <t>STRUMENTO OK, SERVE PONTEGGIO PER STASATURA PRESA NEGATIVA</t>
  </si>
  <si>
    <t>544812/C</t>
  </si>
  <si>
    <t>500P020RC Mandata c104 a/b CONTROLLO E RIPRISTINO FUNZIONALITA VALVOLA</t>
  </si>
  <si>
    <t>LA VALVOLA E' UN DOPPIO SEGGIO, ESSENDO A.C. ANCHE AUMENTANDO IL SEGNALE DELL'ARIA NON VA IN TOTALE CHIUSURA E NON FA TENUTA. SI CONSIGLIA LA REVISIONE.</t>
  </si>
  <si>
    <t>542327/C</t>
  </si>
  <si>
    <t>IMP.600F033R(CARICA DA STOCCAGGIO)CONTROLLO E RIPRISTINO MSURA DI PORTATA</t>
  </si>
  <si>
    <t>SI RISCONTRA VALVOLE DI RADICE E INTERCETTO DP CHIUSI, PROBABILE PERDITA DI PROCESSO SU PRIMARI, NECESSITA PONTEGGIO PER ISPEZIONARE PRIMARI, DA SOSTITUIRE BARRIERA</t>
  </si>
  <si>
    <t>537248/C</t>
  </si>
  <si>
    <t>500 - F161R(VAPORE MS da L.B.)CONTROLLO DI TARATURA  E RIPRISTINO FUNZIONALITA</t>
  </si>
  <si>
    <t>PERDITA SU FLANGIA TARATA, NECESSITA PONTEGGIO PER APPROFONDIMENTO</t>
  </si>
  <si>
    <t>536032/C</t>
  </si>
  <si>
    <t>500 - 500F016RC (MANDATA GAS DI RIGENERAZIONE C102)CONTROLLO E RIPRISTINO FUNZIONALITA  PORTATA</t>
  </si>
  <si>
    <t>STRUMENTO CON RADICI TAPPATI, DA PROGRAMMARE IN FERMATA</t>
  </si>
  <si>
    <t>536114/C</t>
  </si>
  <si>
    <t>500 - COLONNA T101 CONTROLLO F351CO</t>
  </si>
  <si>
    <t>VALVOLA DI SCARICO ROTTA, TROVATO E LASCIATO INTERCETTATO COME RICHIESTO DA ESE</t>
  </si>
  <si>
    <t>535536/C</t>
  </si>
  <si>
    <t>1000 - F114ARC F114BRC (CARICA PASSO 1 F102)CONTROLLO  E RIPRISTINO FUNZIONALITA (INSERIRE MOS PRIMA DI INIZIARE ATTIVITA</t>
  </si>
  <si>
    <t>STRUMENTI DI PORTATA TROVATI PARZIALMENTE TAPPATI, PROVA DI STASATURA CON POMPA ALTA PRESSIONE. SERVE PONTEGGIO PER ARRIVARE SULLE RADICI.( IN ATTESA DI COSTRUZIONE SAIT)</t>
  </si>
  <si>
    <t>534887/C</t>
  </si>
  <si>
    <t>500 - F003RC(CARICA A E-101))CONTROLLO DI TARATURA STRUMENTO DI PORTATA</t>
  </si>
  <si>
    <t>VALVOLE DOPPIE D'INTERCETTO NON FANNO TENUTA. LEGGERA PERDITA DI PRODOTTO SU PREMITRECCIA VALVOLA NEGATIVA. NECESSITA PONTEGGIO PER SOSTITUZIONE GRUPPO BYPASS E PRIMARI.</t>
  </si>
  <si>
    <t>534885/C</t>
  </si>
  <si>
    <t>534561/C</t>
  </si>
  <si>
    <t>600 - 600F021RC (L.S. STRIPP.T101)CONTROLLO E RIPRISTINO FUNZIONALITA PORTATA</t>
  </si>
  <si>
    <t>PROVATA STASATURA CON ESITO NEGATIVO, VALVOLA DI RADICE BLOCCATA APERTA.</t>
  </si>
  <si>
    <t>535091/C</t>
  </si>
  <si>
    <t>1000 - C101A CONTROLLO E RIPRISTINO VIBROSTATO HVS70A  A PANNELLO LOCALE</t>
  </si>
  <si>
    <t>PROBLEMA SU PANNELLO LOCALE, DA VERIFICARE CON NASELLI E PREZZAVENTO</t>
  </si>
  <si>
    <t>PARTESANO</t>
  </si>
  <si>
    <t>527373/C</t>
  </si>
  <si>
    <t>600 - RIPRISTINO PERDITA TRACCIA DI RAME C/O 06F007RC</t>
  </si>
  <si>
    <t>LA PERDITA DI VAPORE E' SULLO SCARICO DEL FLUSSAGGIO DI RAME DEL TX DI PORTATA, DA MONTARE UN CONDENSINO.</t>
  </si>
  <si>
    <t>527371/C</t>
  </si>
  <si>
    <t>600 - RIPRISTINO PASSARELLA PASSACAVI C/O D102</t>
  </si>
  <si>
    <t>PER POTER LAVORARE OCCORRE PONTEGGIO, A CONOSCENZA TCL.</t>
  </si>
  <si>
    <t>526397/C</t>
  </si>
  <si>
    <t>1000 - T197BR RIPRISTINO TEMPERATURA</t>
  </si>
  <si>
    <t>PT 100 DA CONTROLLARE IN TESTINA ( ARRIVA APERTA, IN TESTA ALLA T103), ESEGUITO ALLINEAMENTO DA JBOX A SALA CONTROLLO, OK</t>
  </si>
  <si>
    <t>525903/C</t>
  </si>
  <si>
    <t>500 - L014RC (E114) E CONTROLLO FUNZIONALITA E TARATURA LIVELLO CON ALLINEAMENTO  SALA CONTROLLO</t>
  </si>
  <si>
    <t>SERVE PONTEGGIO PER ACCEDERE ALLA TESTINA DI LIVELLO ( CIRCA 3MT)</t>
  </si>
  <si>
    <t>MILLO/TARASCIO</t>
  </si>
  <si>
    <t>523951/C</t>
  </si>
  <si>
    <t>600 - T002R(ZONA FLASH T101)CONTROLLO E RIPRISTINO TEMPERATURA</t>
  </si>
  <si>
    <t>DOPPINO O TERMOELEMENTO IN CORSO. SI NECESSITA PONTEGGIO CIRCA 20 MT PER TERMOELEMENTO.</t>
  </si>
  <si>
    <t>549160/C</t>
  </si>
  <si>
    <t>1000R167BV CONTROLLO E RIPRISTINO FUNZIONALITA VALVOLA (NON VA OLTRE IL 30%)</t>
  </si>
  <si>
    <t>DA SMONTARE VALVOLA PER REVISIONE</t>
  </si>
  <si>
    <t>549546/C</t>
  </si>
  <si>
    <t>1000L252HA (D119) CONTROLLO E RIPRISTINO LIVELLOSTATO</t>
  </si>
  <si>
    <t>NECESSITA PONTEGGIO PER INTERCETTARE RADICI</t>
  </si>
  <si>
    <t>556238/C</t>
  </si>
  <si>
    <t>1200/1 FCV304 CONTROLLO E RIPRISTINO FUNZIONALE</t>
  </si>
  <si>
    <t>DISACCOPPIATO ATTUATORE DAL CORPO VALVOLA, RIPRISTINATA FUNZIONALITA' POSIZIONATORE. TROVATA CONDENSA DENTRO POSIZIONATORE, SPURGATA E VALVOLA ALLINEATA CON SALA CONTROLLO.</t>
  </si>
  <si>
    <t>555700/C</t>
  </si>
  <si>
    <t>800 T115A RIPRISTINO FUNZIONALE VALVOLA</t>
  </si>
  <si>
    <t>SOSTITUITA E.V. GUASTA. LA PNEUMATICA NON ANDAVA IN CHIUSURA. ALLINEATA CON SALA CONTROLLO.</t>
  </si>
  <si>
    <t>551435/C</t>
  </si>
  <si>
    <t xml:space="preserve">10230468   1200/3:  PER RIPRISTINO funzionale LCV401 </t>
  </si>
  <si>
    <t>SOSTITUITO FILTRO RIDUTTORE E IP-CONVERTER PERCHE' GUASTI. VALVOLA ALLINEATA ED INSERITA IN REGOLAZIONE CON ESE.</t>
  </si>
  <si>
    <t>546730/C</t>
  </si>
  <si>
    <t>1800-P102C-ASSISTENZA STRUMENTALE A MACCHINE RIMONTAGGIO STRUMENTAZIONE</t>
  </si>
  <si>
    <t>RIMONTAGGIO SONDE</t>
  </si>
  <si>
    <t>547729/C</t>
  </si>
  <si>
    <t>10227289 P102A RIMONTAGGIO FR IN MANDATA POMPA</t>
  </si>
  <si>
    <t>RIMONTAGGIO STRUMENTI DOPO RIFACIMENTO PIPING A CURA MECCANICI</t>
  </si>
  <si>
    <t>LOMBARDO/SERRA</t>
  </si>
  <si>
    <t>548050/C</t>
  </si>
  <si>
    <t>10229081  700: SERRAGGIO PRESSATRECCIA PCV323A</t>
  </si>
  <si>
    <t>SERRATO PRESSATRECCIA, PROVA MOVIMENTAZIONE VALVOLA, OK. LA PERDITA E' STATA ELIMINATA.</t>
  </si>
  <si>
    <t>547592/C</t>
  </si>
  <si>
    <t>1200  Z3 F302 1200  Z3 F306 controllo e ripristino</t>
  </si>
  <si>
    <t>REGOLATI I FLUSSAGGI ED AZZERAMENTO STRUMENTI.</t>
  </si>
  <si>
    <t>547491/C</t>
  </si>
  <si>
    <t>10228738   800: PCV122 ripristino PIC locale</t>
  </si>
  <si>
    <t>TROVATO TUBO ALIMENTAZIONE REGOLATORE SPEZZATO, SOSTITUITI MT 3 TUBO RAME 6mm, FILTRO RIDUTTORE E CONTROLLO DI TARATUTA VALVOLA/REGOLATORE. LOOP OK</t>
  </si>
  <si>
    <t>546433/C</t>
  </si>
  <si>
    <t>10228192 1100 LCV016- controllo e ripristino funzionale valvola</t>
  </si>
  <si>
    <t>VALVOLA DA REVISIONARE PERCHE' IN PESSIME CONDIZIONI.</t>
  </si>
  <si>
    <t>539521/C</t>
  </si>
  <si>
    <t xml:space="preserve"> 1200/3 - F302RC RIPRISTINO PRIMARIO</t>
  </si>
  <si>
    <t>RIPRISTINATO PRIMARIO SU F302R</t>
  </si>
  <si>
    <t>538116/C</t>
  </si>
  <si>
    <t xml:space="preserve"> 10222780 800 - L109CV CONTROLLO LOOP DI REGOLAZIONE ED EVENTUALE SMONTAGGIO PER REVISIONE VALVOLA</t>
  </si>
  <si>
    <t>VALVOLA RIMONTATA IN CAMPO</t>
  </si>
  <si>
    <t>533445/C</t>
  </si>
  <si>
    <t xml:space="preserve"> 1200/0 F901/A RIPRISTINO FUNZIONALITA ACCENDITORE E PROVE  DI ACCENSIONE CON SALA CONTROLLO</t>
  </si>
  <si>
    <t>533488/C</t>
  </si>
  <si>
    <t xml:space="preserve"> ZO BM901B SOFFIANTE RIPRISTINO TEMPERATURA ZOT934I</t>
  </si>
  <si>
    <t>533804/C</t>
  </si>
  <si>
    <t xml:space="preserve"> 18000153620    2200 C201S Scollegamento sonde per rimozione compressore</t>
  </si>
  <si>
    <t>537305/C</t>
  </si>
  <si>
    <t xml:space="preserve"> 1200/2  assistenza accensione ed eventuale scollegamento/ricollegamento pilota per revisione</t>
  </si>
  <si>
    <t>537662/C</t>
  </si>
  <si>
    <t xml:space="preserve"> 1200/1 P10SL CONTROLLO E RIPRISTINO</t>
  </si>
  <si>
    <t>539114/C</t>
  </si>
  <si>
    <t xml:space="preserve"> 1200/1 F306 sostituzione trasmettitore di portata</t>
  </si>
  <si>
    <t>539322/C</t>
  </si>
  <si>
    <t xml:space="preserve"> 700 - F101N: ASSISTENZA PER RIPRISTINO BRUCIATORE D</t>
  </si>
  <si>
    <t>532170/C</t>
  </si>
  <si>
    <t xml:space="preserve"> 10215992 1200/M - ZMF716R.PV (Vapore bassa maxi)  controllo funzionale</t>
  </si>
  <si>
    <t>STASATA T DEL BARILOTTO. INSERITO, OK.</t>
  </si>
  <si>
    <t>537470/C</t>
  </si>
  <si>
    <t xml:space="preserve"> 1400 - F201R CONTROLLO FUNZIONALE</t>
  </si>
  <si>
    <t>CORETTO DI ZERO, RIPRISTINATA LA FUNZIONALITA'</t>
  </si>
  <si>
    <t>536849/C</t>
  </si>
  <si>
    <t xml:space="preserve"> 1400 - D105 CONTROLLO LIVELLI ACCUMULATORE</t>
  </si>
  <si>
    <t>ESEGUITA SOSTITUZIONE STRUMENTO (L006R)</t>
  </si>
  <si>
    <t>536522/C</t>
  </si>
  <si>
    <t xml:space="preserve"> 10213685 1200/3 - B204V SMONTAGGIO/RIMONTAGGIO VALVOLA E RIDUTTORE PER REVISIONE  SMONTAGGIO E SOSTITUZIONE TUBI AMMOLORATIE SOSTITUZIONE VS DI INTERCETTO</t>
  </si>
  <si>
    <t>ESEGUITO RIMONTAGGIO IN CAMPO.</t>
  </si>
  <si>
    <t>537401/C</t>
  </si>
  <si>
    <t xml:space="preserve"> 1400 - F009R D-106/7 GAS A RECUPERO CONTROLLO E RIPRISTINO FUNZIONALITA PORTATA</t>
  </si>
  <si>
    <t>RIPRISTINATA FUNZIONALITA'.</t>
  </si>
  <si>
    <t>537396/C</t>
  </si>
  <si>
    <t xml:space="preserve"> 1400 - L008R SERRAGGIO RACCORDERIA IN ACCIAIO LINEA FLUSSAGGIO LIVELLO D106</t>
  </si>
  <si>
    <t>ESEGUITO SERRAGGIO</t>
  </si>
  <si>
    <t>528162/C</t>
  </si>
  <si>
    <t xml:space="preserve"> 1200/3 - T405CV SCOLLEGAMENTO/RICOLLEGAMENTO ELETTROPNEUMATICO VALVOLA  PER REVISIONE E PROVE FUNZIONALI</t>
  </si>
  <si>
    <t>532022/C</t>
  </si>
  <si>
    <t xml:space="preserve"> 1200/3 - SMONTAGGIO N4 STAZIONCINE MANUALI f101/102 ed adattamento e modifiche di adattamento nuovi PIC locali</t>
  </si>
  <si>
    <t>RIMONTATI PIC TARATI</t>
  </si>
  <si>
    <t>528641/C</t>
  </si>
  <si>
    <t xml:space="preserve"> 1400 - RIPRISTINO TRACCIATURA DI VAPORE  SU TUTTI I TRAMETTITORI OVE LA TRACCIATURA  AMMALORATA</t>
  </si>
  <si>
    <t>524456/C</t>
  </si>
  <si>
    <t xml:space="preserve"> 1400 - 14F009RC  2)Ripristino traccia vapore dello strumento e  ripristino funzionalit</t>
  </si>
  <si>
    <t>RICOLLEGARE TRACCIATURA E FARE COIBENTAZIONE (CAVALLI)</t>
  </si>
  <si>
    <t>528547/C</t>
  </si>
  <si>
    <t xml:space="preserve"> 1400 - 14 F009RC  CONTROLLO E VERIFICA PRIMARI GAS AD U1200</t>
  </si>
  <si>
    <t>529540/C</t>
  </si>
  <si>
    <t xml:space="preserve"> 1400 - 14F016  PDL A CALDO SMOTAGGIO/RIMONTAGGI PER REVISIONE TAGLIO TIRANTI SPILLAGGI DA D106A D105B</t>
  </si>
  <si>
    <t>528553/C</t>
  </si>
  <si>
    <t xml:space="preserve"> 1400 - 14 L008RC  CONTROLLO E VERIFICA PRIMARI LIVELLO D106</t>
  </si>
  <si>
    <t>528556/C</t>
  </si>
  <si>
    <t xml:space="preserve"> 1400 - 14 L007RC  CONTROLLO E VERIFICA PRIMARI LIVELLO T103</t>
  </si>
  <si>
    <t>528545/C</t>
  </si>
  <si>
    <t xml:space="preserve"> 1400 - 14F016 CONTROLLO E VERIFICA PROMARI SPILLAGGI DAD106A D105B</t>
  </si>
  <si>
    <t>NON ESISTE IN CAMPO E AL DCS</t>
  </si>
  <si>
    <t>528552/C</t>
  </si>
  <si>
    <t xml:space="preserve"> 1400 - 14 F008RC  CONTROLLO E VERIFICA PRIMARI VAPORE</t>
  </si>
  <si>
    <t>528558/C</t>
  </si>
  <si>
    <t xml:space="preserve"> 1400 - 14 F201RC-L201RC  CONTROLLO E VERIFICA PRIMARI STRUMENTAZIONE E203</t>
  </si>
  <si>
    <t>535528/C</t>
  </si>
  <si>
    <t xml:space="preserve"> 1200/3 - SCOLLEGAMENTO/RICOLLEGAMENTO  TERMOCOPPIE E PIROMETRI OTTICI ED EVENTUALE SOSTITUZIONE DEI TERMOELEMENTI E PROVE DI ALLINEAMENTO CON SALA CONTROLLO</t>
  </si>
  <si>
    <t>DA SOSTITUIRE BARRIERA T401B</t>
  </si>
  <si>
    <t>536170/C</t>
  </si>
  <si>
    <t xml:space="preserve"> 10223575 1200/1: RIPRISTINO FOTOCELLULA F101 Z1B401U2</t>
  </si>
  <si>
    <t>IL TCL CALDARELLA HA RITENUTO OPPORTUNO SCOLLEGARE IL FILO DI SCHERMO ED IL SEGNALE DELLA FOTOCELLULA E' ANDATO A FONDO SCALA</t>
  </si>
  <si>
    <t>535768/C</t>
  </si>
  <si>
    <t xml:space="preserve"> 2200 - D302 CONTROLLO E RIPRISTINO STRUMENTAZIONE L310I - L310AL - P310AL</t>
  </si>
  <si>
    <t>PERDITA DI BATTENTE, RIPRISTINATA FUNZIONALITA'</t>
  </si>
  <si>
    <t>535313/C</t>
  </si>
  <si>
    <t xml:space="preserve"> 10222781 1100 - L201R CONTROLLO</t>
  </si>
  <si>
    <t>ESEGUITA SOSTITUZIONE BARRIERA L201HCO CON RIPRISTINO DELLA FUNZIONALITA'</t>
  </si>
  <si>
    <t>SPINALI/ALLEGRETTI</t>
  </si>
  <si>
    <t>534689/C</t>
  </si>
  <si>
    <t xml:space="preserve"> 1200/1 -  F101 SOSTITUZIONE E MODIFICHE PER ADATTAMENTO NUOVA FOTOCELLULA CON POSA CAVI E CONDUIT</t>
  </si>
  <si>
    <t>ADATTATA NUOVA FOTOCELLULA F101 1200/1</t>
  </si>
  <si>
    <t>CAVALIERE</t>
  </si>
  <si>
    <t>528549/C</t>
  </si>
  <si>
    <t xml:space="preserve"> 1400 -  L006RC  CONTROLLO E VERIFICA PRIMARI LIVELLO ACCUMULATORE DI CARICA</t>
  </si>
  <si>
    <t>L006R - RIPRISTINATO
L006RC - REVISIONATO IN CANTIERE E RIMONTATO</t>
  </si>
  <si>
    <t>535029/C</t>
  </si>
  <si>
    <t xml:space="preserve"> 10223031 1200/2 - CONTROLLO Z2F301RC controllo funzionale</t>
  </si>
  <si>
    <t>535081/C</t>
  </si>
  <si>
    <t xml:space="preserve"> 2200 - L522R CONTROLLO FUNZIONALE</t>
  </si>
  <si>
    <t>ESEGUITO SPURGO CON RIPRISTINO DELLA FUNZIONALITA'</t>
  </si>
  <si>
    <t>534564/C</t>
  </si>
  <si>
    <t xml:space="preserve"> 10222781 1200/1 - CONTROLLO FOTOCELLULA F101</t>
  </si>
  <si>
    <t>SI PROSEGUE CON IL MONTAGGIO DI NUOVA FOTOCELLULA DURAG A CURA CAVALIERI</t>
  </si>
  <si>
    <t>534534/C</t>
  </si>
  <si>
    <t xml:space="preserve"> 10222780 800 - RIPRISTINO LCV109 loop di regolazione</t>
  </si>
  <si>
    <t>RIPRISTINATO LOOP, VALVOLA OK</t>
  </si>
  <si>
    <t>GIGLIUTO/OGNISANTI</t>
  </si>
  <si>
    <t>528848/C</t>
  </si>
  <si>
    <t xml:space="preserve"> 10219418 1800 - VERIFICA FCV451</t>
  </si>
  <si>
    <t>INTERCETTI VALVOLA DA REVISIONARE, LA PNEUMATICA E' OK</t>
  </si>
  <si>
    <t>534438/C</t>
  </si>
  <si>
    <t xml:space="preserve"> 1800 - TARATURA 18FR003RC (VAPORE AD E102) CONTROLLO LOOP DI REGOLAZIONE</t>
  </si>
  <si>
    <t>STARATO DI ZERO, CORRETTO E RIPRISTINATA LA FUNZIONALITA'</t>
  </si>
  <si>
    <t>529828/C</t>
  </si>
  <si>
    <t xml:space="preserve"> 10218699 700 - FCV189 controllo funzionale valvola</t>
  </si>
  <si>
    <t>533929/C</t>
  </si>
  <si>
    <t xml:space="preserve"> 1200/1 - P402R  CONTROLLO FUNZIONALE</t>
  </si>
  <si>
    <t>CASSETTA JB PIENA D'ACQUA, ASCIUGATA CON RIPRISTINO DELLA FUNZINALITA'</t>
  </si>
  <si>
    <t>522335/C</t>
  </si>
  <si>
    <t xml:space="preserve"> 1200/0 - H967BIC -sblocco  valvola carica F901/B </t>
  </si>
  <si>
    <t>532166/C</t>
  </si>
  <si>
    <t xml:space="preserve"> 10215242 700A - 07P210RC taratura</t>
  </si>
  <si>
    <t>STASATO CON RIPRISTINO DELLA FUNZIONALITA'</t>
  </si>
  <si>
    <t>532249/C</t>
  </si>
  <si>
    <t xml:space="preserve"> 10215992 1200/M - Misuratori pressione In/OUT R201 ZMP781R/ZMP780R/ZMP708DI  controllo funzionale</t>
  </si>
  <si>
    <t>CAMBIARE RANGE A DCS</t>
  </si>
  <si>
    <t>532875/C</t>
  </si>
  <si>
    <t xml:space="preserve"> 800 - PCV121 RIPRISTINO FUNZIONALE VALVOLA</t>
  </si>
  <si>
    <t>SOSTITUITO FILTRO RIDUTTORE E POSIZIONATORE</t>
  </si>
  <si>
    <t>532368/C</t>
  </si>
  <si>
    <t xml:space="preserve"> 1200/M - F201 RIPRISTINO FOTOCELLULA ZM717SL</t>
  </si>
  <si>
    <t>532254/C</t>
  </si>
  <si>
    <t xml:space="preserve"> 10221627 700 - L011I (Livello HC D104)   controllo e ripristino</t>
  </si>
  <si>
    <t>TARATO LIVELLO LOCALE</t>
  </si>
  <si>
    <t>532194/C</t>
  </si>
  <si>
    <t xml:space="preserve"> 700A - 7T20018I.PV: temperatura del taglio laterale    7T20018I.PV: temperatura gofinato stabilizzato in mandata P201.</t>
  </si>
  <si>
    <t>SI CONTINUA CON 532857 PER ATTIVITA' ELETTRICA</t>
  </si>
  <si>
    <t>526764/C</t>
  </si>
  <si>
    <t xml:space="preserve"> 10218174 1200/1 - TARATURA FIC204 controllo LOOP di regolazione</t>
  </si>
  <si>
    <t>531044/C</t>
  </si>
  <si>
    <t xml:space="preserve"> 700 - L204RC.PV: livello piatto di estrazione del taglio laterale</t>
  </si>
  <si>
    <t>REVISIONATO IN CANTIERE, SOSTITUITA TESTINA DA PNEUMATICA A ELETTRONICA</t>
  </si>
  <si>
    <t>528622/C</t>
  </si>
  <si>
    <t xml:space="preserve"> 10219227 2400 - VERIFICA E TARATURA 24F603R</t>
  </si>
  <si>
    <t>ATTIVITA' SEGUITA DA SARIND</t>
  </si>
  <si>
    <t>528949/C</t>
  </si>
  <si>
    <t xml:space="preserve"> 1200/1 - Z1L501IS   /  Z1L502IS     CONTROLLO FUNZIONALE</t>
  </si>
  <si>
    <t>LIVELLI ENTRAMBI TAPPATI. STASATI</t>
  </si>
  <si>
    <t>529503/C</t>
  </si>
  <si>
    <t xml:space="preserve"> 1200/4 - (linee degasaggio)-Controllo funzionalita' F901T(Port vap eiet CLAUS L 4),F902T('Port SW gas da CLAUS L4),X901V(Valvola CLAUS L4); interfacciarsi con sala controllo prima della taratura</t>
  </si>
  <si>
    <t>531724/C</t>
  </si>
  <si>
    <t xml:space="preserve"> 10221383 1200/1 - AVVISO PR1- SOSTITUZIONE PRIMARIO FT301</t>
  </si>
  <si>
    <t>530585/C</t>
  </si>
  <si>
    <t xml:space="preserve"> 1200/1 - F302RC CONTROLLO FUNZIONALE</t>
  </si>
  <si>
    <t>INSERITO A PROCESSO IL DP FLUSSATO DI AZOTO.</t>
  </si>
  <si>
    <t>530884/C</t>
  </si>
  <si>
    <t xml:space="preserve"> 800 C101B - verifica funzionalit parzializzazione</t>
  </si>
  <si>
    <t>530254/C</t>
  </si>
  <si>
    <t xml:space="preserve"> 10220524 1800 - FCV025 eliminazione perde dal premi treccia E VERIFICA FUNZIONALITA'</t>
  </si>
  <si>
    <t>530250/C</t>
  </si>
  <si>
    <t xml:space="preserve"> 10220499 1200/M - RIPR FOTOCELLULA F201 MAXI-</t>
  </si>
  <si>
    <t>525783/C</t>
  </si>
  <si>
    <t xml:space="preserve"> 1200/M - ZM-F718R verifica loop e controllo funzionale</t>
  </si>
  <si>
    <t>528997/C</t>
  </si>
  <si>
    <t xml:space="preserve"> 1200/1 - L401RC CONTROLLO E RIPRISTINO STRUMENTAZIONE</t>
  </si>
  <si>
    <t>IL PROBLEMA E' SULLA VALVOLA</t>
  </si>
  <si>
    <t>528945/C</t>
  </si>
  <si>
    <t xml:space="preserve"> 1200/1 - P405R CONTROLLO FUNZIONALE</t>
  </si>
  <si>
    <t>528954/C</t>
  </si>
  <si>
    <t xml:space="preserve"> 1200/1 - Z1t406A(camera MEA)   Z1t406B( camera MEA)   Z1t407A (camera SWS)</t>
  </si>
  <si>
    <t>528801/C</t>
  </si>
  <si>
    <t xml:space="preserve"> 1100 - F160R  FUNZIONALE CON SALE CONTROLLO</t>
  </si>
  <si>
    <t>528799/C</t>
  </si>
  <si>
    <t xml:space="preserve"> 700A - FCV201 SERRAGGIO PREMITRECCIA E PROVE FUNZIONALE CON SALE CONTROLLO</t>
  </si>
  <si>
    <t>528867/C</t>
  </si>
  <si>
    <t xml:space="preserve"> 1200/1 F204IC CONTROLLO FUNZIONALE CONTROLLO LOOP DI REGOLAZIONE</t>
  </si>
  <si>
    <t>TROVATA ACQUA NEL PROCESSO, DRENATA, MISURA OK, RIPRISTINATA.</t>
  </si>
  <si>
    <t>TARASCIO/NOCERA</t>
  </si>
  <si>
    <t>523487/C</t>
  </si>
  <si>
    <t xml:space="preserve">  Z3F401R.PV(LS linea 3 )  controllo funzionale</t>
  </si>
  <si>
    <t>IL TX VERRA' CONTROLLATO IN FERMATA ( INIZIA DOMANI )</t>
  </si>
  <si>
    <t>TARASCIO/GARRO S.</t>
  </si>
  <si>
    <t>528080/C</t>
  </si>
  <si>
    <t xml:space="preserve"> Z1F301RC (carica MEA)  302 (Carica SWS)  303 (Aria MEA)  304 (Aria SWS)  305 (Aria secondaria)</t>
  </si>
  <si>
    <t>F303/304/305 NECESSITA PONTEGGIO PER IL CONTROLLO. F301,302 AZZERATI OK</t>
  </si>
  <si>
    <t>527945/C</t>
  </si>
  <si>
    <t xml:space="preserve"> 1200/1: ELIMINAZIONE PERDITA VAPORE DA TRACCIA E SOSTITUZIONE CONDENSINO D101</t>
  </si>
  <si>
    <t>ELIMINATA PERDITA</t>
  </si>
  <si>
    <t>527701/C</t>
  </si>
  <si>
    <t xml:space="preserve"> 1200/1 L502 ripristino funzionale livello vasca</t>
  </si>
  <si>
    <t>SI E' PROVATO A STASARE CON POMPA ALTA PRESSIONE, ESITO NEGATIVO. LE PRESE RIMANGONO INTASATE. TX FUORI SERVIZIO.</t>
  </si>
  <si>
    <t>526911/C</t>
  </si>
  <si>
    <t xml:space="preserve"> 10218262 700 - attivit di ripristino allarmi e controllo funzionale su F026RC - T3_5R - T036I - XS101 (ALLARME GUASTO ALIMENTATORE)</t>
  </si>
  <si>
    <t>FR 026 CORRETTO DI 0, IN ALL. DI BASSA PORTATA PERCHE' COMPRESSORE FERMO, T036I CAVO INTERROTTTO DA TC A JBOX T2, T3_5 RIPRISTINATO CAVO AMMALORATO. ALLARME ALIMENTATORE A CURA DI ELETTROSTRUM.</t>
  </si>
  <si>
    <t>525748/C</t>
  </si>
  <si>
    <t xml:space="preserve"> 1200/1 - Z1F301RC Z2F302RC Z1F306RC CONTROLLO E TARATURA CON ALLINEAMENTO CON SALA CONTROLLO</t>
  </si>
  <si>
    <t>F301RC E' LA DIFFERENZA TRA F301T E F306T.</t>
  </si>
  <si>
    <t>519473/C</t>
  </si>
  <si>
    <t xml:space="preserve"> 2400 - L606RCV smontaggio/rimontaggio per revisione valvola</t>
  </si>
  <si>
    <t>L'ATTIVITA' E' SOSPESA IN ATTESA CHE ESE POSSA CONSEGNARE A MAN LA VALVOLA.</t>
  </si>
  <si>
    <t>527149/C</t>
  </si>
  <si>
    <t xml:space="preserve"> 1800 - TCV016 controllo funzionale LOOP DI REGOLAZIONE</t>
  </si>
  <si>
    <t>SOSTITUZIONE POSIZIONATORE GUASTO PERCHE' PIENO DI H20. ALLINEATA VALVOLA CON SALA CONTROLLO.</t>
  </si>
  <si>
    <t>GARRO L/ GARRO S.</t>
  </si>
  <si>
    <t>524001/C</t>
  </si>
  <si>
    <t xml:space="preserve"> 700 - F224R  RIFACIMENTO PRIMARI E CONTROLLO E RIPRISTINO MISURATORE DI PORTATA</t>
  </si>
  <si>
    <t>ESEGUITA RILOCAZIONE NUOVO STRUMENTO CON RIFACIMENTO PRIMARI (ESEGUIRE SMONTAGGIO PRIMARI VECCHI) SI PROSEGUE CON PDL 525806/C</t>
  </si>
  <si>
    <t>525806/C</t>
  </si>
  <si>
    <t xml:space="preserve"> 700A - F224R recupero primari ammalorati ed abbandonati</t>
  </si>
  <si>
    <t>CREATO PDL A CALDO PER SMONTAGGIO PRIMARI VECCHI</t>
  </si>
  <si>
    <t>525509/C</t>
  </si>
  <si>
    <t xml:space="preserve"> 10217394 1800 - VERIFICA 18T403AHH</t>
  </si>
  <si>
    <t>525784/C</t>
  </si>
  <si>
    <t xml:space="preserve"> 1200/1 - T502R  controllo funzionale</t>
  </si>
  <si>
    <t>CONTROLLO ESEGUITO NON SI RISCONTRA NESSUNA NOAMLIA</t>
  </si>
  <si>
    <t>518171/C</t>
  </si>
  <si>
    <t xml:space="preserve"> 10200944   11P211I.PV  controllo funzionale</t>
  </si>
  <si>
    <t>PRIMARIO SFLANGIATO A CIRCA 6 mt DI ALTEZZA PER TRONCHETTO (PRESA) DA FARE (RIF.CAVALLI)</t>
  </si>
  <si>
    <t>RICIPUTO/MARINO</t>
  </si>
  <si>
    <t>518172/C</t>
  </si>
  <si>
    <t xml:space="preserve"> 10200945  11T253I.PV + 11T254I.PV   controllo funzionale</t>
  </si>
  <si>
    <t>TEMPERATURE FUORI DA GUAINA TERMOMETRICA (ASSENZA POZZETTO TERMOMETRICO RIF.CAVALLI)</t>
  </si>
  <si>
    <t>522091/C</t>
  </si>
  <si>
    <t xml:space="preserve"> 1200/3 - controllo funzionale FR401</t>
  </si>
  <si>
    <t>513705/C</t>
  </si>
  <si>
    <t xml:space="preserve"> POMPA P110 - RIPRSTINO SISTEMA FLUSSAGGIO TENUTE CON AZOTO </t>
  </si>
  <si>
    <t>SISTEMA DI TENUTA APPARTIENE AI NUOVI INVESTIMENTI, NON SI HANNO RISCONTRI DI RICAMBISTICA</t>
  </si>
  <si>
    <t>513706/C</t>
  </si>
  <si>
    <t xml:space="preserve"> POMPA P111 - RIPRSTINO SISTEMA FLUSSAGGIO TENUTE CON AZOTO </t>
  </si>
  <si>
    <t>524476/C</t>
  </si>
  <si>
    <t xml:space="preserve"> 700A - F221RC Ripristino traccia vapore dello strumento e  ripristino funzionali </t>
  </si>
  <si>
    <t>SI RISCONTRA TRACCIATURA FREDDA POICHE' INTERCETTATA E MANCA PARTE PER RICOLLEGARLA. PONTEGGIO REALIZZATO. ATTIVITA' DA CHIUDERE RIPRISTINANDO PARTE MANCANTE.</t>
  </si>
  <si>
    <t>525451/C</t>
  </si>
  <si>
    <t xml:space="preserve"> 10217184 1400 - L004IC controllo LOOP DI REGOLAZIONE</t>
  </si>
  <si>
    <t>IL LIVELLO RISULTA FUNZIONANTE DA ESE, INTERROTTA RICHIESTA INTERVENTO COEMI</t>
  </si>
  <si>
    <t>525663/C</t>
  </si>
  <si>
    <t xml:space="preserve"> 1800 - L003RC (D102)CONTROLLO TARATURA E RIPRISTINO FUNZIONALITA</t>
  </si>
  <si>
    <t>PERDITA DI BATTENTE SU NEGATIVA. RIEMPITO CON GLICERINA RIPRISTINANDO LA FUNZIONALITA'</t>
  </si>
  <si>
    <t>525282/C</t>
  </si>
  <si>
    <t xml:space="preserve"> 700 - RIPRISTINO BV617</t>
  </si>
  <si>
    <t>LA VALVOLA NON PRESENTA ANOMALIE, SI RISCONTRANO SENSORI CO DA CONTROLLARE</t>
  </si>
  <si>
    <t>GARRO L./GARRO S.</t>
  </si>
  <si>
    <t>524632/C</t>
  </si>
  <si>
    <t xml:space="preserve"> 10224040 1800 - T016RC CONTROLLO E RIPRISTINO LOOP DI REGOLAZIONE</t>
  </si>
  <si>
    <t>SOSTITUITO POSIZIONATORE CON RIPRISTINO DELLA FUNZIONALITA'.</t>
  </si>
  <si>
    <t>522471/C</t>
  </si>
  <si>
    <t xml:space="preserve"> 800 - verifica dei misuratore 08F160R (VAPORE BP DA L.B.)</t>
  </si>
  <si>
    <t>ESEGUITO CONTROLLO.</t>
  </si>
  <si>
    <t>522469/C</t>
  </si>
  <si>
    <t xml:space="preserve"> 800 - verifica dei misuratore 08F162R (VAP.MED.PRESS. LIM.BATT.)</t>
  </si>
  <si>
    <t>522466/C</t>
  </si>
  <si>
    <t xml:space="preserve"> 800 - verifica dei misuratore 08F158BR (VAP.ALT.PRESS. DA L.B.)</t>
  </si>
  <si>
    <t>521569/C</t>
  </si>
  <si>
    <t xml:space="preserve"> 700: L006LA (livello locale T02) ripristino livello e loop di regolazione</t>
  </si>
  <si>
    <t>CONTROLLO ESEGUITO, SI RISCONTRAVA SPORCIZIA ALL'INTERNO.</t>
  </si>
  <si>
    <t>520840/C</t>
  </si>
  <si>
    <t xml:space="preserve"> 800 - F166I (SCARICO A BD) VERIFICA FUNZIONAMENTO</t>
  </si>
  <si>
    <t>PER ESEGUIRE IL CONTROLLO SI NECESSITA DEL PONTEGGIO. LO STRUMENTO E' UNA TURBINETTA, DA SMONTARE E PULIRE/CONTROLLARE IN OFFICINA</t>
  </si>
  <si>
    <t>523504/C</t>
  </si>
  <si>
    <t xml:space="preserve"> Z0F905BI (VAPORE PRODOTTO MAXI)  controllo funzionale</t>
  </si>
  <si>
    <t>CONTROLLATO TRASMETTITORE, AZZERAMENTO, CONTOLLO TARAT. LOOP_ NESSUNA ANOMALIA</t>
  </si>
  <si>
    <t>523502/C</t>
  </si>
  <si>
    <t xml:space="preserve"> Z0F905AI(VAPORE PRODOTTO MAXI)  controllo funzionale</t>
  </si>
  <si>
    <t>TX CORRETTO DI ZERO, ALLINEATO CON SALA CONTROLLO.</t>
  </si>
  <si>
    <t>524347/C</t>
  </si>
  <si>
    <t xml:space="preserve"> 1200/1 - Z1-F301RC  Z1-F302RC  Z1-F306RC CONTROLLO FUNZIONALE</t>
  </si>
  <si>
    <t>512354/C</t>
  </si>
  <si>
    <t xml:space="preserve"> F221RC -TARATURA </t>
  </si>
  <si>
    <t>Necessita piano lavoro per il controllo del trasmettitore.</t>
  </si>
  <si>
    <t>522702/C</t>
  </si>
  <si>
    <t xml:space="preserve"> 1200/M - OFF-SIDE RIPRISTINO PASSERELLE E FASCETTATURA CAVI ZONA KV HIC</t>
  </si>
  <si>
    <t>DA CHIUDERE (CAVALLI)</t>
  </si>
  <si>
    <t>523805/C</t>
  </si>
  <si>
    <t xml:space="preserve"> 1800 - LCV029B controllo funzionale</t>
  </si>
  <si>
    <t>ACQUA NEL POSIZIONATORE, RIPRISTINATA LA FUNZIONALITA'</t>
  </si>
  <si>
    <t>520841/C</t>
  </si>
  <si>
    <t xml:space="preserve"> 700 - MONSANTO: MTZ TCV031 VERIFICA FUNZIONAMENTO </t>
  </si>
  <si>
    <t>523440/C</t>
  </si>
  <si>
    <t xml:space="preserve"> 1800 - P021CV SMONTAGGIO/RIMONTAGGIO PER REVISIONE</t>
  </si>
  <si>
    <t>522677/C</t>
  </si>
  <si>
    <t xml:space="preserve"> 10215413.   18-F003RC CONDENSA DA 1800_E102</t>
  </si>
  <si>
    <t>ESEGUITO ZERO.</t>
  </si>
  <si>
    <t>522550/C</t>
  </si>
  <si>
    <t xml:space="preserve"> 700AF221RC MANDATA P201A-B-C</t>
  </si>
  <si>
    <t>SI RISCONTRA TRACCIATURA FREDDA POICHE' INTERCETTATA E MANCA PARTE PER RICOLLEGARLA.</t>
  </si>
  <si>
    <t>521031/C</t>
  </si>
  <si>
    <t xml:space="preserve"> 10213946   07F224R  CONTROLLO E RIPRISTINO</t>
  </si>
  <si>
    <t>PRIMARI INCEMENTATI E BUCATI, DA RIFARE EXNOVO (DA FARE SOPRALLUOGO CON CAVALLI PER RIPRISTINARE LA FUNZIONALITA') QUANDO SI COMPLETERANNO I PONTEGGI SI PROSEGUIRA' CON PDL 524001/C</t>
  </si>
  <si>
    <t>523448/C</t>
  </si>
  <si>
    <t xml:space="preserve"> 1400 - F004R(SWS A U1200 da T105/T101/T102) controllo funzionale</t>
  </si>
  <si>
    <t>CONTROLLO ESEGUITO</t>
  </si>
  <si>
    <t>523625/C</t>
  </si>
  <si>
    <t xml:space="preserve"> 700 - T614I CONTROLLO FUNZIONALE</t>
  </si>
  <si>
    <t>SKIPOINT GUASTA ALL'INTERNO DEL FORNO, DA SOSTITUIRE IN FERMATA.</t>
  </si>
  <si>
    <t>521249/C</t>
  </si>
  <si>
    <t xml:space="preserve"> 1400: 14F008RC controllo funzionale</t>
  </si>
  <si>
    <t>521576/C</t>
  </si>
  <si>
    <t xml:space="preserve"> 1800 - C102A Smontaggio strumenti compressore scollegamento HYDROCOMM SOLO TUBICINI DI COLLEGAMENTO OLIODINAMICO</t>
  </si>
  <si>
    <t>522395/C</t>
  </si>
  <si>
    <t xml:space="preserve"> 1200/4 - Controllo e ripristino funzionalita' F302RC(GAS SWS A B103)</t>
  </si>
  <si>
    <t>FLUSSATI CON AZOTO E PULITI, RIPRISTINATA FUNZIONALITA'</t>
  </si>
  <si>
    <t>523257/C</t>
  </si>
  <si>
    <t xml:space="preserve"> 2200 - F203I CONTROLLO FUNZIONALE</t>
  </si>
  <si>
    <t>VALV.RADICE POSITIVA CHIUSA: APERTA E RIPRISTINATA FUNZIONALITA'.</t>
  </si>
  <si>
    <t>522864/C</t>
  </si>
  <si>
    <t xml:space="preserve"> 1400 - PRC 003 della T105 CONTROLLO LOOP DI REGOLAZIONE</t>
  </si>
  <si>
    <t>PRESSACAVO PCV003 MALANDATO.</t>
  </si>
  <si>
    <t>522863/C</t>
  </si>
  <si>
    <t xml:space="preserve"> 1400 - PRC 001 della T103 CONTROLLO LOOP DI REGOLAZIONE</t>
  </si>
  <si>
    <t>PRIMARIO TAPPATO QUINDI STASATO E RIPRISTINATA LA FUNZIONALITA'</t>
  </si>
  <si>
    <t>522090/C</t>
  </si>
  <si>
    <t xml:space="preserve"> 1200/4 - controllo funzionale FRC 302/306</t>
  </si>
  <si>
    <t>ESEGUITA REGOLAZIONE FLUSSAGGI ED INSERITI A PROCESSO.</t>
  </si>
  <si>
    <t>PARTESANO/TARASCIO</t>
  </si>
  <si>
    <t>522539/C</t>
  </si>
  <si>
    <t xml:space="preserve"> 1200/2 f102 assistenza accensione ed eventuale smontaggio/rimontaggio per revisione pilota</t>
  </si>
  <si>
    <t>519184/C</t>
  </si>
  <si>
    <t xml:space="preserve"> Z4F401R-(Vapore prodotto da linea 4), controllo funzionale</t>
  </si>
  <si>
    <t>NEGATIVA TAPPATA: STASATA</t>
  </si>
  <si>
    <t>521118/C</t>
  </si>
  <si>
    <t xml:space="preserve"> 1800 - D111 - L042R CONTROLLO E RIPRISTINO LIVELLO</t>
  </si>
  <si>
    <t>VERIFICARE ANDAMENTO P&amp;I</t>
  </si>
  <si>
    <t>SPINALI /MILLO</t>
  </si>
  <si>
    <t>519097/C</t>
  </si>
  <si>
    <t xml:space="preserve"> 2200-D301 CONTROLLO E RIPRITINO CON EVENTUALE SMONTAGGIO LIVELLI  L 301/302/303 /305</t>
  </si>
  <si>
    <t>SU L303T ( Lato idrocarburi ) E' STATO INSERITO DP: ANDAMENTO P&amp;I NELLA NORMA
SU L305T ( Lato H2O ) E' STATO INSERITO DP: ANDAMENTO P&amp;I NELLA NORMA</t>
  </si>
  <si>
    <t>520837/C</t>
  </si>
  <si>
    <t xml:space="preserve"> 800 - LR115 (LIVELLO T102)  VERIFICA FUNZIONAMENTO </t>
  </si>
  <si>
    <t>FATTO RIEMPIMENTO ED INSERITO A PROCESSO</t>
  </si>
  <si>
    <t>SPINALI D.</t>
  </si>
  <si>
    <t>519187/C</t>
  </si>
  <si>
    <t xml:space="preserve"> Zmf728I(azoto off-site)controllo funzionale</t>
  </si>
  <si>
    <t>STRUMENTO IN PESSIME CONDIZIONI CON CAVO BRUCIATO E GRUPPO BYPASS DA RIFARE EXNOVO.  PONTEGGIO REALIZZATO</t>
  </si>
  <si>
    <t>522103/C</t>
  </si>
  <si>
    <t xml:space="preserve"> 100 - L162CV  smontaggio /rimontaggio per revisione</t>
  </si>
  <si>
    <t>VALVOLA SBLOCCATA IN CAMPO.</t>
  </si>
  <si>
    <t>CIANCHINO</t>
  </si>
  <si>
    <t>521609/C</t>
  </si>
  <si>
    <t xml:space="preserve"> 10214536    1200: Linea 1 F101 inserimento termocoppia sacrificio</t>
  </si>
  <si>
    <t>519496/C</t>
  </si>
  <si>
    <t xml:space="preserve"> Vapore ai crossover: -Controllo funzionale 07F207RC- 07F208RC- 07F209RC- 07F210RC</t>
  </si>
  <si>
    <t>F210R: VALVOLE DI DRENO BLOCCATE CHIUSE, PRIMARI LIBERI E IN DISCO CALIBRO MANCA TARGHETTA.
F209R: VALVOLE D'INTERCETTO POSITIVA NON FA' TENUTA E PARZIALMENTE TAPPATA (VALVOLA DI RADICE). SPURGANDO I BARILOTTI ESCE PROCESSO.
F207R: VALVOLA DI RADICE NEGATIVA INTERCETTATA (OPERATORE A CONOSCENZA PER APRIRLA). DA FARE IN FERMATA TA2026</t>
  </si>
  <si>
    <t>520694/C</t>
  </si>
  <si>
    <t xml:space="preserve"> 1800 E110B verifica funzionale vibrostato</t>
  </si>
  <si>
    <t>519489/C</t>
  </si>
  <si>
    <t xml:space="preserve"> 700A Controllo  Passi di carica: - 07F202RC- 07F203RC- 07F204RC- 07F205RC</t>
  </si>
  <si>
    <t>IN DATA 08/01/2025 CI E' STATO RIFERITO CHE PER LE ALTE TEMPERATURE E PRESSIONI, QUESTO LAVORO VERRA' SPOSTATO IN FERMATA. ( A CONOSCENZA SIG. TRINGALI ENZO C.T. E TCL CALDARELLA)</t>
  </si>
  <si>
    <t>TARASCIO/PARTESANO/SPINALI/MILLO</t>
  </si>
  <si>
    <t>521427/C</t>
  </si>
  <si>
    <t xml:space="preserve">  700 - MONSANTO: Smontaggio/rimontaggio MTZ TCV031 e prove funzionali dopo il rimontaggio</t>
  </si>
  <si>
    <t xml:space="preserve">PASSATA AD OFF.VALVOLE REVISIONE IN OFFICINA </t>
  </si>
  <si>
    <t>520290/C</t>
  </si>
  <si>
    <t xml:space="preserve"> 1100-P150B: RIPRISTINO STRUMENTAZIONE MACCHINA   11V667I -11T653I-11T655I-11L617LA</t>
  </si>
  <si>
    <t>TUTTA LA STRUMENTAZIONE IN ELENCO E' STATA RIPRISTINATA.</t>
  </si>
  <si>
    <t>RICIPUTO/TARASCIO</t>
  </si>
  <si>
    <t>521244/C</t>
  </si>
  <si>
    <t xml:space="preserve"> 1200/3 - TCV405</t>
  </si>
  <si>
    <t>520287/C</t>
  </si>
  <si>
    <t xml:space="preserve"> 1400: VERIFICA E TARATURA- 14F202BRC </t>
  </si>
  <si>
    <t>CONTROLLO TARATURA, PROVATE PRESE (OK). SI NOTA CHE GENERANDO UN SEGNALE 3.99 mA il valore letto è -80, generando invece 4 mA il valore letto è 80 kg/h, su un F.S. di 13.000</t>
  </si>
  <si>
    <t>520286/C</t>
  </si>
  <si>
    <t xml:space="preserve"> 1400: VERIFICA E TARATURA- 14P202I </t>
  </si>
  <si>
    <t>CONTROLLO DI TARATURA, SI NOTA CHE IL F.S. AL DCS ERA INCONGRUENTE CON IL TX. SISTEMATA LA TARATURA</t>
  </si>
  <si>
    <t>SPINALI/AMARA</t>
  </si>
  <si>
    <t>520285/C</t>
  </si>
  <si>
    <t xml:space="preserve"> 1400 - VERIFICA E TARATURA - 14P201I </t>
  </si>
  <si>
    <t>520834/C</t>
  </si>
  <si>
    <t xml:space="preserve"> 2200 - VERIFICA FUNZIONAMENTO L541SH</t>
  </si>
  <si>
    <t>TROVATO INTERCETTATO DALLA RADICE, INSERITO E FUNZIONANTE.</t>
  </si>
  <si>
    <t>520578/C</t>
  </si>
  <si>
    <t xml:space="preserve"> 1800: 18L034R controllo funzionale</t>
  </si>
  <si>
    <t>521030/C</t>
  </si>
  <si>
    <t xml:space="preserve"> 1200/3 F301/303/305RC CONTROLLO E RIPRISTINO</t>
  </si>
  <si>
    <t>CORRETTI DI ZERO</t>
  </si>
  <si>
    <t>520563/C</t>
  </si>
  <si>
    <t xml:space="preserve"> 1400: TARATURA 14F150R</t>
  </si>
  <si>
    <t>517303/C</t>
  </si>
  <si>
    <t xml:space="preserve"> 1200/4 F305CV (MTZ 21/11) SMONTAGGIO/RIMONTAGGIO PER REVISIONE VALVOLA</t>
  </si>
  <si>
    <t>NON ARRIVA TENSIONE ALL'ELETTROVALVOLA.
VIENE BYPASSATA IN ATTESA DI RICERCA GUASTO STRUMENTALE. (NON APERTO DA CAPOTURNO L'11/12 PERCHE' PENSAVA CHE SI DOVESSE SMONTARE LA VALVOLA)</t>
  </si>
  <si>
    <t>520508/C</t>
  </si>
  <si>
    <t xml:space="preserve"> 1200/1 L301SH RIPRISTINO FUNZIONALITA'</t>
  </si>
  <si>
    <t>NECESSITA PONTEGGIO (REALIZZATO PONTEGGIO)</t>
  </si>
  <si>
    <t>519722/C</t>
  </si>
  <si>
    <t xml:space="preserve"> 1800 - VERIFICA E TARATURA 18F003RC (CONDENSA DA E102)</t>
  </si>
  <si>
    <t>EFFETTUATO ZERO, RIPRISTINATA FUNZIONALITA'</t>
  </si>
  <si>
    <t>520843/C</t>
  </si>
  <si>
    <t xml:space="preserve"> 800-1-P112CV controllo LOOP di regolazione locale</t>
  </si>
  <si>
    <t>515580/C</t>
  </si>
  <si>
    <t xml:space="preserve"> F160R VERIFICA MISURATORE PORTATA VAPORE MS 11F160R</t>
  </si>
  <si>
    <t xml:space="preserve">NESSUNA ANOMALIA SUL TRASMETTITORE. NESSUNA PERDITA DI VAPORE VICINO AL DISCO CALIBRATO. </t>
  </si>
  <si>
    <t>520569/C</t>
  </si>
  <si>
    <t xml:space="preserve"> F046V SMONTAGGIO/RIMONTAGGIO PER REVISIONE</t>
  </si>
  <si>
    <t>VALVOLA SMONTATA E PORTATA IN OFFICINA ESTERNA COEMI IL 20/12/24</t>
  </si>
  <si>
    <t>520496/C</t>
  </si>
  <si>
    <t xml:space="preserve"> 700-1-APH100-F101N smontaggio/rimontaggio pilota D per revisione e prove di accensione</t>
  </si>
  <si>
    <t>519526/C</t>
  </si>
  <si>
    <t xml:space="preserve"> 700A  PCV212 che  rimasta bloccata aperta (da quadro risulta chiusa). controllo LOOP DI REGOLAZIONE</t>
  </si>
  <si>
    <t>POSIZIONATORE GUASTO. SOSTITUITO</t>
  </si>
  <si>
    <t>519471/C</t>
  </si>
  <si>
    <t xml:space="preserve"> 800 - VERIFICA FUNZIONAMENTO VALVOLE PARZIALIZZATRICI C101A</t>
  </si>
  <si>
    <t>519294/C</t>
  </si>
  <si>
    <t xml:space="preserve"> 700- PCV323A SERRAGGIO PREMITRECCIA</t>
  </si>
  <si>
    <t>520358/C</t>
  </si>
  <si>
    <t xml:space="preserve"> Ripristino funzionalita' 08T116I (Ingresso R-103) Imp. 800</t>
  </si>
  <si>
    <t>520495/C</t>
  </si>
  <si>
    <t xml:space="preserve"> 1800 - FCV046 VERIFUCA PERFETTA CHIUSURA E PROVE FUNZIONALI</t>
  </si>
  <si>
    <t>LA VALVOLA NON FA TENUTA E SE NE CONSIGLIA LA REVISIONE</t>
  </si>
  <si>
    <t>518100/C</t>
  </si>
  <si>
    <t xml:space="preserve"> 10206926 - 1200: Z0T960 ripristino funzionalit</t>
  </si>
  <si>
    <t>STRUMENTO FUNZIONANTE.</t>
  </si>
  <si>
    <t>520054/C</t>
  </si>
  <si>
    <t xml:space="preserve"> 1200/4 Spilling MEA  F306RC CONTROLLO FUNZIONALE</t>
  </si>
  <si>
    <t>REGOLATI FLUSSAGGI.</t>
  </si>
  <si>
    <t>520329/C</t>
  </si>
  <si>
    <t xml:space="preserve"> 08L106SL (blocco basso livello D103 attualmente attivo)., da ripristinare</t>
  </si>
  <si>
    <t>SOSTITUITO EQUIPAGGIO MOBILE E FLESSIBILE.</t>
  </si>
  <si>
    <t>520331/C</t>
  </si>
  <si>
    <t xml:space="preserve"> 800: PCV102 (F.G. ai piloti) si muove a scatti. </t>
  </si>
  <si>
    <t>TARATO REGOLATORE E CONSEGNATO AD ESERCIZIO</t>
  </si>
  <si>
    <t>520289/C</t>
  </si>
  <si>
    <t xml:space="preserve"> 1800: VERIFICA 18PD600I</t>
  </si>
  <si>
    <t>517463/C</t>
  </si>
  <si>
    <t>ATTIVITA' CHE SI PROSEGUE CON PDL 520358/C (ALLEGATO PONTEGGIO)</t>
  </si>
  <si>
    <t>520155/C</t>
  </si>
  <si>
    <t xml:space="preserve"> 1200/2 - F101 CONTROLLO FUNZIONALE  FOTOCELLULA </t>
  </si>
  <si>
    <t>519589/C</t>
  </si>
  <si>
    <t xml:space="preserve"> 1800: controllo termocoppie flussaggio compressore (18T436A e 18T436B). C101</t>
  </si>
  <si>
    <t>520058/C</t>
  </si>
  <si>
    <t xml:space="preserve"> 1200-1-F101 CONTROLLO FUNZIONALE  FOTOCELLULA e Z1L301SH risulta essere in allarme.</t>
  </si>
  <si>
    <t>SI PROSEGUE ATTIVITA' CON PDL SPECIFICI: 520152/C E 520153/C</t>
  </si>
  <si>
    <t>518096/C</t>
  </si>
  <si>
    <t xml:space="preserve"> 10210892  - 1200: Z4B301SV ripr. Finecorsa.</t>
  </si>
  <si>
    <t>518166/C</t>
  </si>
  <si>
    <t xml:space="preserve"> 10212202    Ripristino FR carica SWS L3 Z3F302RC</t>
  </si>
  <si>
    <t>POSITIVA SPORCA, SPURGATA E RIPRISTINATA LA FUNZIONALITA'</t>
  </si>
  <si>
    <t>517954/C</t>
  </si>
  <si>
    <t xml:space="preserve"> 1200/4  Ripristino strumentazione Linea 4  FR 306 spilling</t>
  </si>
  <si>
    <t>517957/C</t>
  </si>
  <si>
    <t xml:space="preserve"> 1200/2  Ripristino strumentazione Linea 2  FR 306 spilling</t>
  </si>
  <si>
    <t>517011/C</t>
  </si>
  <si>
    <t xml:space="preserve"> 2200 MTZ FERMO POMPA P105 controllo start stop</t>
  </si>
  <si>
    <t>518734/C</t>
  </si>
  <si>
    <t xml:space="preserve"> 2400 - L606CV ELIMINAZIONE PERDITA CIRCUITO PNEUMATICO E PROVE FUNZIONALI CON SALA CONTROLLO</t>
  </si>
  <si>
    <t>SI CONTINUA L'ATTIVITA' CON NUOVO PERMESSO: 519473/C PER LA REVISIONE IN OFFICINA.</t>
  </si>
  <si>
    <t>517744/C</t>
  </si>
  <si>
    <t xml:space="preserve"> 700: ripristino PCV211 la pneumatica on off rimane aperta/chiusa</t>
  </si>
  <si>
    <t>NON ARRIVA TENSIONE ALL'ELETTROVALVOLA. SOSTITUITA ELETTROVALVOLA E STAFFATA.</t>
  </si>
  <si>
    <t>517951/C</t>
  </si>
  <si>
    <t xml:space="preserve"> 1100 P008DI CONTROLLO FUNZIONALE</t>
  </si>
  <si>
    <t>POSITIVA TAPPATA, QUINDI STASATA CON ESITO POSITIVO.</t>
  </si>
  <si>
    <t>519128/C</t>
  </si>
  <si>
    <t xml:space="preserve"> 2200 D101A - L522R CONTROLLO LIVELLO RIMANE A FONDO SCALA</t>
  </si>
  <si>
    <t>519123/C</t>
  </si>
  <si>
    <t xml:space="preserve"> 2200 D101A - L518R CONTROLLO INTERVENTO CUT-OFF</t>
  </si>
  <si>
    <t>516584/C</t>
  </si>
  <si>
    <t xml:space="preserve"> CONTROLLI STRUMENTALI PER AVVIAMENTO LINEA -F301RC-F303RC-F305RC-F307RC-F304RC-F306RC-F302RC</t>
  </si>
  <si>
    <t>FATTO CONDENSINO CAVALLI SU F306RC</t>
  </si>
  <si>
    <t>517895/C</t>
  </si>
  <si>
    <t xml:space="preserve"> 1800-D111 L042R CONTROLLO E RIPRISTINO FUNZIONALITA (TRIPLICE MISURA)</t>
  </si>
  <si>
    <t>SOSTITUITO LIVELLO, OK</t>
  </si>
  <si>
    <t>516587/C</t>
  </si>
  <si>
    <t xml:space="preserve"> CONTROLLI STRUMENTALI PER AVVIAMENTO LINEA -T401B-T402A-T402B</t>
  </si>
  <si>
    <t>ESEGUITO CONTROLLO STRUMENTAZIONE.</t>
  </si>
  <si>
    <t>TARASCIO/PARTESANO
MILLO/ALLEGRETTI</t>
  </si>
  <si>
    <t>518163/C</t>
  </si>
  <si>
    <t>1200M</t>
  </si>
  <si>
    <t xml:space="preserve"> 1200M-Necessita il solo ripristino del sistema di flussaggio off-site PSVcon azoto</t>
  </si>
  <si>
    <t>517640/C</t>
  </si>
  <si>
    <t xml:space="preserve"> 10211741 1200/0: VERIFICA FUNZIONAM Z0A960BIC           </t>
  </si>
  <si>
    <t>CONTROLLATI DA STEA, ANNULLATA RICHIESTA INTERVENTO COEMI</t>
  </si>
  <si>
    <t>517641/C</t>
  </si>
  <si>
    <t xml:space="preserve"> 1200/0: VERIFICA FUNZIONAM Z0A960AIC      </t>
  </si>
  <si>
    <t>516583/C</t>
  </si>
  <si>
    <t xml:space="preserve"> CONTROLLI STRUMENTALI PER AVVIAMENTO LINEA Z1L301HA -Z1L301SH -Z1301LA -Z1L303HA -Z1L303SH -Z1L303LA</t>
  </si>
  <si>
    <t>ALLINEAMENTO SEGNALI CON SALA CONTROLLO</t>
  </si>
  <si>
    <t>516391/C</t>
  </si>
  <si>
    <t xml:space="preserve"> VERIFICA ZMP801DI  </t>
  </si>
  <si>
    <t>CAPILLARE SPROVVISTO DI DP_RING.
PRESA POSITIVA TAPPATA.
PROVATA STASATURA CON ESITO NEGATIVO. SI NECESSITA INTERVENTO DA PARTE DI PONTEROSSO.</t>
  </si>
  <si>
    <t>517466/C</t>
  </si>
  <si>
    <t xml:space="preserve"> 07T1_2AI   CASSA COMPRESSORE controllo e ripristino</t>
  </si>
  <si>
    <t>MULTICAVO DA JB A BARRIERA APERTO.</t>
  </si>
  <si>
    <t>511628/C</t>
  </si>
  <si>
    <t xml:space="preserve">  10208986  07T119I.PV Ripristino funzionalit misuratore di temperatura</t>
  </si>
  <si>
    <t>SOSTITUITO TERMOELEMENTO, OK</t>
  </si>
  <si>
    <t>514368/C</t>
  </si>
  <si>
    <t xml:space="preserve"> 700 Ripristino termocoppia 07T040I uscita fondo D102 </t>
  </si>
  <si>
    <t>ESEGUITO SERRAGGIO FILI IN CAMPO.</t>
  </si>
  <si>
    <t>516697/C</t>
  </si>
  <si>
    <t xml:space="preserve"> 1100/D105 (11L013R), controllo e ripristino</t>
  </si>
  <si>
    <t>CONTROLLO FUNZIONE LIVELLO, NESSUNA ANOMALIA. CONTROLLATA VALVOLA (NON SI MUOVE). SOSTITUITO IPCONVERTER E FILTRO RIDUTTORE. ALLINEATA CON S.C.</t>
  </si>
  <si>
    <t>515411/C</t>
  </si>
  <si>
    <t xml:space="preserve"> 800 FR158   TARATURA MISURATORE VAPORE HS</t>
  </si>
  <si>
    <t>CONTROLLATI F158RA E F158BR, NESSUNA ANOMALIA</t>
  </si>
  <si>
    <t>516589/C</t>
  </si>
  <si>
    <t xml:space="preserve"> CONTROLLI STRUMENTALI PER AVVIAMENTO LINEA -T405CV CONTROLLO FUNZIONALITA ED ALLINEAMENTO CON SALA CONTROLLO</t>
  </si>
  <si>
    <t>NON VIENE RISCONTRATA ALCUNA ANOMALIA</t>
  </si>
  <si>
    <t>SAGGIO / GIGLIUTO</t>
  </si>
  <si>
    <t>515365/C</t>
  </si>
  <si>
    <t xml:space="preserve"> Controllo strumenti su compressore C102A dell'impianto monsanto</t>
  </si>
  <si>
    <t>ATTIVITA' DA CHIUDERE</t>
  </si>
  <si>
    <t>515054/C</t>
  </si>
  <si>
    <t xml:space="preserve"> P102B scoll/ricoll strum. supporto cuscinetti</t>
  </si>
  <si>
    <t>515577/C</t>
  </si>
  <si>
    <t xml:space="preserve"> 07F186R Verifica funzionalità</t>
  </si>
  <si>
    <t>TARATO, ED ALLINEATO, OK.</t>
  </si>
  <si>
    <t>515563/C</t>
  </si>
  <si>
    <t xml:space="preserve"> RIPR.GRUPPO MANOM. P102A</t>
  </si>
  <si>
    <t>RIFACIMENTO GRUPPO MANIFOLD, MONTATO MANOMETRO 25 BAR.</t>
  </si>
  <si>
    <t>TARASCIO B.</t>
  </si>
  <si>
    <t>514367/C</t>
  </si>
  <si>
    <t xml:space="preserve"> PCV202 la pneumatica on off rimane aperta/chiusa</t>
  </si>
  <si>
    <t>514731/C</t>
  </si>
  <si>
    <t xml:space="preserve"> 1400 T016I CONTROLLO E RIPRISTINO</t>
  </si>
  <si>
    <t>RIFACIMENTO TESTINA E RIPRISTINATA TEMPERATURA</t>
  </si>
  <si>
    <t>514372/C</t>
  </si>
  <si>
    <t xml:space="preserve"> 18T005I ripristino vapore MS in ingresso 1800/E102</t>
  </si>
  <si>
    <t>CAVO SPEZZATO, RIFATTA TESTINA, OK</t>
  </si>
  <si>
    <t>515582/C</t>
  </si>
  <si>
    <t xml:space="preserve"> MTZ 11FCV001 (MDEA A T101B)</t>
  </si>
  <si>
    <t>VALVOLA STRUMENTALMENTE OK, TUTTA CHIUSA NON FA TENUTA. SI CONSIGLIA LA REVISIONE.</t>
  </si>
  <si>
    <t>515564/C</t>
  </si>
  <si>
    <t xml:space="preserve"> KV805 SMONTAGGIO - RIMONTAGGIO SERVOMOTORE</t>
  </si>
  <si>
    <t>531045/C</t>
  </si>
  <si>
    <t xml:space="preserve"> 700A - 07F216R.PV: portata riflusso del piatto 19 della T201</t>
  </si>
  <si>
    <t>SOSTITUITO STRUMENTO CON RIPRISTINO DELLA FUNZIONALITA'</t>
  </si>
  <si>
    <t>533551/C</t>
  </si>
  <si>
    <t xml:space="preserve"> 10222217 1200/M - ZMF705R  ripristino funzionale</t>
  </si>
  <si>
    <t>EFFETTUATO ALLINEAMENTO CAMPO/SALA CONTROLLO, CAUSA VALVOLE DI  INTERCETTO STRUMENTO INUTILIZZABILI. NECESSITA PONTEGGIO PER CHIUSURA VALVOLE DI RADICE. D'ACCORDO CON TCL CALDARELLA VERRA' FATTO TUTTO NUOVO.</t>
  </si>
  <si>
    <t>536118/C</t>
  </si>
  <si>
    <t xml:space="preserve"> 700A REVISIONE JB TH-6 SOLO SEGNALI DI TEMPERATURA GIA VERIFICATI</t>
  </si>
  <si>
    <t>529829/C</t>
  </si>
  <si>
    <t xml:space="preserve"> 10218011 1100 - controllo funzionale ed eventuale smontaggio/rimontaggio per revisione LCV020. valvola</t>
  </si>
  <si>
    <t>RIMONTATA VALVOLA IN CAMPO</t>
  </si>
  <si>
    <t>535898/C</t>
  </si>
  <si>
    <t>10218265 1800 - Misuratore di portata di vapore allE102 dellU1800, 18F003BI (il misuratore in questione riporta un valore di portata diverso rispetto al misuratore 18F003RC).  Quindi verifichiamo entrambi i trasmettitori</t>
  </si>
  <si>
    <t>ESEGUITA CORREZIONE DI ZERO</t>
  </si>
  <si>
    <t>536150/C</t>
  </si>
  <si>
    <t xml:space="preserve"> 800 - MC101B CONTROLLO RTD 08-T207/208/209/210/211</t>
  </si>
  <si>
    <t>TEMPERATURE RIPRISTINATE</t>
  </si>
  <si>
    <t>536648/C</t>
  </si>
  <si>
    <t>10223752 700A - 07F219RC controllo e ripristino funzionalit</t>
  </si>
  <si>
    <t>536646/C</t>
  </si>
  <si>
    <t>10223751 700A - 07F220AR controllo e ripristino funzionalit</t>
  </si>
  <si>
    <t>536643/C</t>
  </si>
  <si>
    <t>10223749 700A - MTZ CONTROLLO LIVELLOSTATO BLOCCO T201-07L211SH</t>
  </si>
  <si>
    <t>535524/C</t>
  </si>
  <si>
    <t xml:space="preserve"> 1200/3 - SCOLLEGAMENTO/RICOLLEGAMENTO  ELETTRICO LIVELLOSTATI PER REVISIONE E PROVE DI ALLINEAMENTO CON SALA CONTROLLO</t>
  </si>
  <si>
    <t>535517/C</t>
  </si>
  <si>
    <t xml:space="preserve"> 1200/3 - NUOVA ISTALLAZIONE TRASMETTITORI DI LIVELLO SU D101/102 E PROVE FUNZIONALI CON ALLINEAMENTO IN SALA CONTROLLO</t>
  </si>
  <si>
    <t>529962/C</t>
  </si>
  <si>
    <t xml:space="preserve"> 1200/3 - ripristino  batteria quadro locale, compresa sostituzione  pulsante di emergenza, apertura cassette per sostituzione lampade e pulizia, ripristino passerelle e fascettatura cavi con Piastre metalliche, e rifacimento tettoia della stessa.  </t>
  </si>
  <si>
    <t>PITTURATA INTERA STRUTTURA, APERTE CASSETTE PER SOSTITUZIONE LAMPADE E PORTALAMPADE GUASTE</t>
  </si>
  <si>
    <t>GUARINO/CAVAGNACCHI</t>
  </si>
  <si>
    <t>536846/C</t>
  </si>
  <si>
    <t xml:space="preserve"> 1200/1 - costruzione e montaggio tettoie per riparo JB A1-E5-B2</t>
  </si>
  <si>
    <t>533090/C</t>
  </si>
  <si>
    <t>10221653 700A - MTZ P202RC controllo funzionale</t>
  </si>
  <si>
    <t xml:space="preserve">NESSUNA ANOMALIA. SI RISCONTRAVA LINEA INTERCETTATA DURANTE IL CONTROLLO </t>
  </si>
  <si>
    <t>RICIPUTO A. / SERRA G.</t>
  </si>
  <si>
    <t>536796/C</t>
  </si>
  <si>
    <t xml:space="preserve"> 1200/1-F101 assistenza strumentale</t>
  </si>
  <si>
    <t>ASSISTENZA STRUMENTALE A F101</t>
  </si>
  <si>
    <t>535903/C</t>
  </si>
  <si>
    <t xml:space="preserve"> 1200/3 - controllo funzionale in campo delle valvole pneumatiche della linea 3</t>
  </si>
  <si>
    <t>537268/C</t>
  </si>
  <si>
    <t xml:space="preserve"> 1200/3 - SMONTAGGIO/RIMONTAGGIO PILOTI F101/102 PER REVISIONE E VERIFICA FOTOCELLULE</t>
  </si>
  <si>
    <t>RIMONTATE TUTTE LE FOTOCELLULE E PILOTA F101. RIMANE PILOTA F102 E PIROMETRO SU F101</t>
  </si>
  <si>
    <t>538357/C</t>
  </si>
  <si>
    <t xml:space="preserve"> 1200/2 - Z2F303RC controllo funzionale</t>
  </si>
  <si>
    <t>AZZERAMENTO TRASMETTITORE ED ALLINEAMENTO MISURA CON SALA CONTROLLO. N.B.: LA VALVOA , FCV 303 E' ARIA A., SENZA ARIA RIMANE BLOCCATA AL 25% DI APERTURA, NON VA' IN CHIUSURA. SI CONSIGLIA LA REVISIONE.</t>
  </si>
  <si>
    <t>TARASCIO/PARTESANO/OGNISANTI</t>
  </si>
  <si>
    <t>538358/C</t>
  </si>
  <si>
    <t xml:space="preserve"> 1200/2 - Z2F304RC controllo funzionale</t>
  </si>
  <si>
    <t>AZZERAMENTO TRASMETTITORE ED ALLINEAMENTO MISURA CON SALA CONTROLLO</t>
  </si>
  <si>
    <t>537766/C</t>
  </si>
  <si>
    <t>10224188 700A - D202   controllo funzionale LIVELLI ACCUMULATORE</t>
  </si>
  <si>
    <t>LIVELLI CONTROLLATI, NULLA DA SEGNALARE.</t>
  </si>
  <si>
    <t>535881/C</t>
  </si>
  <si>
    <t xml:space="preserve"> 1200 - ZMF705R  - ZMF728I  RIFACIMENTO PRIMARI GRUPPO BY_PASS E SOSTITUZIONE STRUMENTI</t>
  </si>
  <si>
    <t xml:space="preserve">ODC DEDICATO: 5400253364 TERMINATE LAVORAZIONI </t>
  </si>
  <si>
    <t>MILLO/DE LUCA</t>
  </si>
  <si>
    <t>538500/C</t>
  </si>
  <si>
    <t xml:space="preserve"> 2200 adeguamento nuova linea di AZOTO PER ANALIZZATORI</t>
  </si>
  <si>
    <t>COSTRUZIONE E POSA MT 20 ACCIAIO DA 12mm</t>
  </si>
  <si>
    <t>DE LUCA/MILLO</t>
  </si>
  <si>
    <t>535902/C</t>
  </si>
  <si>
    <t xml:space="preserve"> 1200/3 - CONTROLLO TRASMETTITORI DI PORTATA E PRESSIONE CON VERIFICA PRIMARI CHE SIANO STASATI Taratura FR di carica (FR 301 - FR 302 - FR 306 - FR 303 - FR 305 - FR 307 - FR304) </t>
  </si>
  <si>
    <t>F301RC stasata da Ponterosso
F302RC - F306RC  provato con tondino da 6mm e martello, positiva non si stasa, è murata ( Riferimento De Luca )</t>
  </si>
  <si>
    <t>538692/C</t>
  </si>
  <si>
    <t xml:space="preserve"> 1200/2 - SCOLLEGAMENTO/RICOLLEGAMENTO ELETTROPNEUMATICO  FCV 302/303</t>
  </si>
  <si>
    <t>535626/C</t>
  </si>
  <si>
    <t>10220464 700 - VERIFICA 07F029R</t>
  </si>
  <si>
    <t>10218060 800 - ripr. Funzionalit LCV150 VALVOLA SPURGHI CONTINUI CALDAIA</t>
  </si>
  <si>
    <t>539543/C</t>
  </si>
  <si>
    <t>10225267 1400 - F010RC- controllo funzionale LOOP DI REGOLAZIONE</t>
  </si>
  <si>
    <t xml:space="preserve">SOSTITUITO STRUMENTO VECCHIO HB CON NUOVO ROSEMOUNT, ALLINEATO CON SALA CONTROLLO. </t>
  </si>
  <si>
    <t>SPINALI/GNOCCO</t>
  </si>
  <si>
    <t>537191/C</t>
  </si>
  <si>
    <t>10224035 1200/2 - Z2F302RC controllo</t>
  </si>
  <si>
    <t>535628/C</t>
  </si>
  <si>
    <t xml:space="preserve">10220465 700 - VERIFICA 07F051R </t>
  </si>
  <si>
    <t>530462/C</t>
  </si>
  <si>
    <t>10220619 1800 - VERIFICA FR VAPORE MS LIMITE BATTERIA 18F203R</t>
  </si>
  <si>
    <t>534045/C</t>
  </si>
  <si>
    <t>10222453 2200 - MTZ MISURATORE DI PORTATA F502IC</t>
  </si>
  <si>
    <t>533552/C</t>
  </si>
  <si>
    <t>10222225 700A - VERIFICA LIVELLI D202</t>
  </si>
  <si>
    <t>523468/C</t>
  </si>
  <si>
    <t>10215991 1100 - P251DI.PV(DP scambiatore carica-fondo E201) controllo funzionale</t>
  </si>
  <si>
    <t>532258/C</t>
  </si>
  <si>
    <t xml:space="preserve">10221625 700 - 07F031 ripristino funzionalit </t>
  </si>
  <si>
    <t>532176/C</t>
  </si>
  <si>
    <t>10215990 1400 - T207I(temperatura ingresso E109 termocoppia non collegata)</t>
  </si>
  <si>
    <t>524769/C</t>
  </si>
  <si>
    <t>10216874 1200/2 - controllo Livellostati D101 e D102 Linea 2</t>
  </si>
  <si>
    <t>522556/C</t>
  </si>
  <si>
    <t>10215297 07P620V controllo funzionale</t>
  </si>
  <si>
    <t>522545/C</t>
  </si>
  <si>
    <t xml:space="preserve"> 700A F201AT/BT CONTROLLO E RIPRISTINO FUNZIONALE</t>
  </si>
  <si>
    <t>521572/C</t>
  </si>
  <si>
    <t xml:space="preserve">10214483 700A - 07F216R riflusso T201 ripristino funzionale. </t>
  </si>
  <si>
    <t>521630/C</t>
  </si>
  <si>
    <t>10214556 700 - P101ASL CONTROLLO PRESSOSTATO</t>
  </si>
  <si>
    <t>522680/C</t>
  </si>
  <si>
    <t xml:space="preserve">10215414 700 - 07-F034AR ripristino misura </t>
  </si>
  <si>
    <t>523491/C</t>
  </si>
  <si>
    <t>10215992 ZMF704RC carica Tail in assorbimento  controllo funzionale</t>
  </si>
  <si>
    <t>523483/C</t>
  </si>
  <si>
    <t>10215992 1200/0 - Z0F150R(VAPORE BASSA PRESSIONE L1-L2-L3)   controllo funzionale</t>
  </si>
  <si>
    <t>523481/C</t>
  </si>
  <si>
    <t>10215992 1200/0 - Z0F157R(FG A L.B U1200) controllo funzionale</t>
  </si>
  <si>
    <t>523480/C</t>
  </si>
  <si>
    <t>10215992 1200/3 - Z3T502R.PV(1 letto catalitico R101 L3)  controllo funzionale</t>
  </si>
  <si>
    <t>523479/C</t>
  </si>
  <si>
    <t>10215992 1200/2 - Z2F201RC.PV(metano a F101 L2)    controllo funzionale</t>
  </si>
  <si>
    <t>523471/C</t>
  </si>
  <si>
    <t>10215991 1100 - P101DR.PV(DP FIL104) controllo funzionale</t>
  </si>
  <si>
    <t>523467/C</t>
  </si>
  <si>
    <t>10215991 1100 - F003R(MDEA DA U700 A D104) controllo funzionale</t>
  </si>
  <si>
    <t>523113/C</t>
  </si>
  <si>
    <t>10215761 700 - 07F320RC - U700A  Verifica funzionalit misuratore di portata riciclo</t>
  </si>
  <si>
    <t>525258/C</t>
  </si>
  <si>
    <t xml:space="preserve">10209347 700 - F300RC -TARATURA </t>
  </si>
  <si>
    <t>525380/C</t>
  </si>
  <si>
    <t xml:space="preserve"> 1100 - D102 controllo allarmi alto e altissimo livello   (11L004SH  11L005HA)</t>
  </si>
  <si>
    <t>528881/C</t>
  </si>
  <si>
    <t xml:space="preserve">10219447 700A - VERIFICA PRC210 </t>
  </si>
  <si>
    <t>528903/C</t>
  </si>
  <si>
    <t>10219474 700 - controllo termocoppie 07T196I -07T195I -07T171R -07T052AI -07T170I -07T301I -07T045I</t>
  </si>
  <si>
    <t>531035/C</t>
  </si>
  <si>
    <t xml:space="preserve"> 700 - 07P101CLA ripristino funzionamento del pressostato</t>
  </si>
  <si>
    <t>531790/C</t>
  </si>
  <si>
    <t>10221416 2200 - RIPRISTINO LIVELLI (SE POSSIBILE PER DOMANI)-22L303I / 22L301I</t>
  </si>
  <si>
    <t>533105/C</t>
  </si>
  <si>
    <t>10222033 1800 - VERIFICA LIVELLO 18L109R</t>
  </si>
  <si>
    <t>533216/C</t>
  </si>
  <si>
    <t xml:space="preserve"> 700A - VERIFICA SEGNALI DI TEMPERATURA DALLA JB TH6 IN SALA CONTROLLO  07TRIS20 T305I T303I T304I</t>
  </si>
  <si>
    <t>534058/C</t>
  </si>
  <si>
    <t>10215887 700A - PCV212 non apre oltre il 20%  ripristino funzionalit LOOP di regolazione</t>
  </si>
  <si>
    <t>ELIMINATA DALLA PROGRAMMAZIONE</t>
  </si>
  <si>
    <t>532174/C</t>
  </si>
  <si>
    <t>10215991 1100 - T007R(TEMPERATURA ME108) controllo funzionale</t>
  </si>
  <si>
    <t>535531/C</t>
  </si>
  <si>
    <t>10215992 1200/M - ZMF728(azoto di flussaggio off-site)controllo funzionale</t>
  </si>
  <si>
    <t>STRUMENTO IN PESSIME CONDIZIONI CON CAVO BRUCIATO E GRUPPO BYPASS DA RIFARE EXNOVO.
PER VALVOLE DI RADICE SI NECESSITA DEL PONTEGGIO.</t>
  </si>
  <si>
    <t>536941/C</t>
  </si>
  <si>
    <t xml:space="preserve"> 700A - F223R CONTROLLO FUNZIONALE</t>
  </si>
  <si>
    <t>538075/C</t>
  </si>
  <si>
    <t>10225931 1200/3 - assistenza strumentale avviamento. controllo liv II vasca e pressostato Z3L501I e Z3P405R</t>
  </si>
  <si>
    <t xml:space="preserve">ESEGUITI CONTROLLI RIPRISTINANDO FUNZIONALITA' SU LIVELLO </t>
  </si>
  <si>
    <t>541557/C</t>
  </si>
  <si>
    <t xml:space="preserve"> Z1B401U1  RIPRISTINO FUNZIONALITA FOTOCELLULA</t>
  </si>
  <si>
    <t>541559/C</t>
  </si>
  <si>
    <t xml:space="preserve"> Z3B401U1  RIPRISTINO FUNZIONALITA FOTOCELLULA</t>
  </si>
  <si>
    <t>542498/C</t>
  </si>
  <si>
    <t>10226491 1200M F705R CONTROLLO FUNZIONALE</t>
  </si>
  <si>
    <t>540025/C</t>
  </si>
  <si>
    <t>10225475 1400: RIPRISTINO LOOP DI REGOLAZIONE LRC-201</t>
  </si>
  <si>
    <t>536404/C</t>
  </si>
  <si>
    <t>10222966 10222966 1200: Z0P902I controllo funzionale</t>
  </si>
  <si>
    <t>PULITO E SCARICATO STRUMENTO DI PRESSIONE, INSERITO E CONSEGNATO A ESE.</t>
  </si>
  <si>
    <t>539634/C</t>
  </si>
  <si>
    <t>10224034 1100 - verifica DP FIL102-F103 (testo esteso).</t>
  </si>
  <si>
    <t>SPURGATI NUOVAMENTE LE PRESE SUL FIL-102.MISURA ATTENDIBILE, CONSEGNATO A ESE.</t>
  </si>
  <si>
    <t>541150/C</t>
  </si>
  <si>
    <t>10225850 1200/4 - Z4F175R (AZOTO DA LIMITE BATTERIA)CONTROLLO E RIPRISTINO FUNZIONALITA PORTATA</t>
  </si>
  <si>
    <t>SOSTITUITO STRUMENTO, TARATO ED ALLINEATO CON SALA CONTROLLO</t>
  </si>
  <si>
    <t>SPINALI/ DE LUCA</t>
  </si>
  <si>
    <t>540947/C</t>
  </si>
  <si>
    <t>10225816 IMP.1200/1 RIPRISTINO PALINA RIPETITORE INDICATO F306RC CON COSTRUZIONE STAFFA MECCANICA</t>
  </si>
  <si>
    <t>SOSTITUITA PALINA E RIPRISTINATO RIPETITORE LOCALE.</t>
  </si>
  <si>
    <t>542718/C</t>
  </si>
  <si>
    <t>10226540  1200/0: mtz Z0T976BBI</t>
  </si>
  <si>
    <t>NUSSUNA ANOMALIA DA SEGNALARE</t>
  </si>
  <si>
    <t>542717/C</t>
  </si>
  <si>
    <t>10226539  1200/0: mtz Z0T976BAI</t>
  </si>
  <si>
    <t>542052/C</t>
  </si>
  <si>
    <t>10226371 1200/2: RIPRISTINO PALINA DI SUPPORTO RIPETITORI DI PORTATA NEI PRESSI DELLA PCV 305 LOCALI</t>
  </si>
  <si>
    <t>RIPRISTINATA PALINA</t>
  </si>
  <si>
    <t>543275/C</t>
  </si>
  <si>
    <t>10226804 Z1f303RC linea 1 (aria primaria a Mea gas).CONTROLLO FUNZIONALE</t>
  </si>
  <si>
    <t>ESEGUITA STASATURA CON ESITO POSITIVO.</t>
  </si>
  <si>
    <t>543808/C</t>
  </si>
  <si>
    <t>10227021  2200: 22L518R ripristino</t>
  </si>
  <si>
    <t>NESSUN INTERVENTO, ANNULLATA RICHIESTA INTERVENTO</t>
  </si>
  <si>
    <t>543685/C</t>
  </si>
  <si>
    <t>10226981  22L301RC controllo funzionale</t>
  </si>
  <si>
    <t>ESEGUITA PULIZIA CANDELIERE CON RIPRISTINO DELLA FUNZIONALITA'. SI CONSIGLIA NUOVA INSTALLAZIONE DP (IN SOSTITUZIONE ONDA GUIDATA).</t>
  </si>
  <si>
    <t>TARASCIO/ALLEGRETTI</t>
  </si>
  <si>
    <t>543287/C</t>
  </si>
  <si>
    <t>10226805- 07T113I.PV: uscita E101 A/B lato gas D154 (strumento in bad)</t>
  </si>
  <si>
    <t>SERRAGGIO MORSETTI, LA MISURA SI E' RIPRISTINATA A DCS.</t>
  </si>
  <si>
    <t>543291/C</t>
  </si>
  <si>
    <t>10226806- 07T114I.PV: uscita E101 C/D lato gas D154 (strumento in bad)</t>
  </si>
  <si>
    <t>10222849 700A - MTZ 07L212RC controllo funzionale E210</t>
  </si>
  <si>
    <t xml:space="preserve">10211871 2200 - 22F301RC controllo funzionale </t>
  </si>
  <si>
    <t>542283/C</t>
  </si>
  <si>
    <t>00000001 1400- D102N L102AT/BT CONTROLLO LIVELLI ACCUMULATORE ED EVENTUALI SMONTAGGI/RIMONTAGGI</t>
  </si>
  <si>
    <t>INSTALLATA NUOVA DP</t>
  </si>
  <si>
    <t>544772/C</t>
  </si>
  <si>
    <t>1400L201RC (LIV.CONDENSATO A E203)CONTROLLO E RIPRISTINO FUNZIONALITA LIVELLO</t>
  </si>
  <si>
    <t>SOSTITUITO STRUMENTO</t>
  </si>
  <si>
    <t>544806/C</t>
  </si>
  <si>
    <t>700P101CSL (BASSA PRESSIONE OLIO LUBE P101C)CONTROLLO E RIPRISTINO FUNZIONALITA PRESSOSTATO</t>
  </si>
  <si>
    <t>545204/C</t>
  </si>
  <si>
    <t>10227611  2400:  VERIFICA E TARATURA 24L606RC</t>
  </si>
  <si>
    <t>NULLA DA SEGNALARE SUL LIVELLO TRASMESSO, FUNZIONANTE ED ALLINEATO AL VISIVO. IL LIVELLOSTATO DI ALTO L-607HA ERA IN ALLARME NON VERITIERO, CONTROLLATO E SISTEMATO.</t>
  </si>
  <si>
    <t>544100/C</t>
  </si>
  <si>
    <t>SD 1200/4 - SOSTITUZIONE TERMOMETRI (0-200c) E MANOMETRI (0-6 BAR) D101-102 E CIRCUITI UTILITIES PRESSO LIMITE BATTERIA. (N3 TERMOMETRI 0-250C)-(N3 MANOMETRI 0-10,n3 0-25, N3 0-60 BAR)</t>
  </si>
  <si>
    <t>544667/C</t>
  </si>
  <si>
    <t>10227342 1800/P102C  18T330I necessita controllo ed eventuale ripristino</t>
  </si>
  <si>
    <t>TROVATO FILO LENTO SULLA TESTINA, RIPRISTINATO E STAFFATA TERMORESISTENZA. ALLINEATA MISURA CON SALA CONTROLLO. IN CAMPO IL TAG E' TI339E.</t>
  </si>
  <si>
    <t>10226982   2400-1-F606R controllo funzionale</t>
  </si>
  <si>
    <t>545796/C</t>
  </si>
  <si>
    <t>10227903  1800: MTZ FCV045 controllo e ripristino funzionalit</t>
  </si>
  <si>
    <t>TIRATO PRESSATRECCIA VALVOLA PER PERDITA PRODOTTO. CONTROLLO FUNZIONALE, OK. VALVOLA CONSEGNATA</t>
  </si>
  <si>
    <t>GARRO/MILLO</t>
  </si>
  <si>
    <t>545703/C</t>
  </si>
  <si>
    <t>18000155950  1800 - P102A Smontaggio/Rimontaggio sonda supporto cuscinetto LOG</t>
  </si>
  <si>
    <t xml:space="preserve">SMONTATE E RIMONTATE SONDE.
</t>
  </si>
  <si>
    <t>GRUPPO BYPASS STRUMENTO CON MANIFOLD SPEZZATO. DA SOSTITUIRE INSIEME A STRUMENTO OBSOLETO.
SOSTITUITO LIVELLO, ESEHUITA TARATURA E CONSEGNATO AD ESE.</t>
  </si>
  <si>
    <t>10227311  imp. 1100 TRC007 IN BAD controllo e ripristino funzionale</t>
  </si>
  <si>
    <t>543499/C</t>
  </si>
  <si>
    <t>10226908 700: Controllo pressostato LUBE P101C   pressostato7P101cSL</t>
  </si>
  <si>
    <t>LINEA TAPPATA. NESSUNA ANOMALIA SU PRESSOSTATO. RIPRISTINATA FUNZIONALITA'</t>
  </si>
  <si>
    <t>542163/C</t>
  </si>
  <si>
    <t xml:space="preserve"> 08-F159R 08-F162R 08 F158BR  CONTROLLO FUNZIONALE</t>
  </si>
  <si>
    <t>547324/C</t>
  </si>
  <si>
    <t>10228612    22L518R   RIPRISTINO   funzionale</t>
  </si>
  <si>
    <t>CONTROLLO FUNZIONE LIVELLO, LAVAGGIO TESTINA CON ACQUA, LAVAGGIO TUBO DI CALMA. INSERITO OK.</t>
  </si>
  <si>
    <t>547325/C</t>
  </si>
  <si>
    <t>10228613    1400: MTZ PRC106   RIPRISTINO   funzionale</t>
  </si>
  <si>
    <t>CONTROLLO FUNZIONALE SULLO STRUMENTO, NULLA DA SEGNALARE.</t>
  </si>
  <si>
    <t>547377/C</t>
  </si>
  <si>
    <t>1200/4 ripristino JB A5 DOPPINI AMMALIRATI</t>
  </si>
  <si>
    <t>LAVORO COMPLETATO. A CURA CAVALIERE E CAVALLO</t>
  </si>
  <si>
    <t>548439/C</t>
  </si>
  <si>
    <t>700- F101N  RIPRISTINO FUNZIONALE FOTOCELLULA BRUCIATORE A</t>
  </si>
  <si>
    <t>547813/C</t>
  </si>
  <si>
    <t>1800 102A RIFACIMENTO TRACCIA DI VAPORE SU STRUMENTAZIONE F058R F059R F060R</t>
  </si>
  <si>
    <t>547316/C</t>
  </si>
  <si>
    <t>1400 L001RB CONTROLLO FUNZIONALE</t>
  </si>
  <si>
    <t>548598/C</t>
  </si>
  <si>
    <t>800-F139R RIFACIMENTO PRIMARI E SUCCESSIVO CONTROLLO FUNZIONALE</t>
  </si>
  <si>
    <t>549321/C</t>
  </si>
  <si>
    <t>10229700   700: AVVISO PR1 RIPR FOTOCELLULA F101N bruciatore C</t>
  </si>
  <si>
    <t>548508/C</t>
  </si>
  <si>
    <t>10229300   1200/1: TARATURA  Z1F201RC</t>
  </si>
  <si>
    <t>548512/C</t>
  </si>
  <si>
    <t>10229301   1200/1: taratura  Z1F204IC</t>
  </si>
  <si>
    <t>549333/C</t>
  </si>
  <si>
    <t>10229710  1100: RIPRISTINO FR012</t>
  </si>
  <si>
    <t>549773/C</t>
  </si>
  <si>
    <t>800-1-F166I  STRUMENTO DI NUOVA GENERAZIONE VERIFICARE INSIEME AL TCL DI REPARTO</t>
  </si>
  <si>
    <t>550105/C</t>
  </si>
  <si>
    <t>1200/2-3 CONTROLLO FOTOCELLULE F102 B501R2-B501R1</t>
  </si>
  <si>
    <t>550546/C</t>
  </si>
  <si>
    <t>1200-2-F102 controllo ed eventuale scrovolatura bocchello fotocellula</t>
  </si>
  <si>
    <t>550538/C</t>
  </si>
  <si>
    <t>10230147  1800: P106A sost manometri  di n 2 manometri (0-40),  sulla mandata pompa (p=16 bar)  sul pannellino (p=24 bar).</t>
  </si>
  <si>
    <t>550671/C</t>
  </si>
  <si>
    <t>700 101N RIPRISTINO FUNZIONALE PILOTA C</t>
  </si>
  <si>
    <t>REVISIONATO IN CANTIERE PILOTA C FORNO F101N. PROVA DI ACCENSIONE, OK</t>
  </si>
  <si>
    <t>550426/C</t>
  </si>
  <si>
    <t>10230089 -10230090 700: mtz 07T640A/B - 700: verifica 07T634A/B  controllo funzionale</t>
  </si>
  <si>
    <t>CONTROLLATE N 4 TEMPERATURE CON CONVERTITORE mV/mA IN CAMPO. SI NOTA CHE LE 3 TEMPERATURE T634A-T634B-T640A SONO DISTANTI CIRCA 50CM E LA T640A DISCORDA DALLE ALTRE 2 DI 20°C. IL CAMPO DELLE TC E' 0-400, MENTRE LA T640A E' SBAGLIATO 0-450°C. VIENE CORRETTO IL CAMPO, ALLINEATE TUTTE LE MISURE A DCS. LAVORO TERMINATO. LA T640B HA UN POZZETTO TERMOMETRICO LONTANO DALLE 3 IN QUESTIONE, QUINDI HA MISURA DIVERSA.</t>
  </si>
  <si>
    <t>550785/C</t>
  </si>
  <si>
    <t xml:space="preserve"> 10230224   2400-L606CV SMONTAGIO/RIMONTAGGIO VALVOLA PER REVISIONE</t>
  </si>
  <si>
    <t>RIMONTAGGIO VALVOLA COLLEGAMENTI PNEUMATICI RIPRISTINATI ALLINEAMENTO CON SALA CONTROLLO E INSERIMENTO DELLA VALVOLA A PROCESSO</t>
  </si>
  <si>
    <t>551430/C</t>
  </si>
  <si>
    <t>10230467  800: RIPRISTINO TUBO ARIA SPAZIO NOCIVO C101A</t>
  </si>
  <si>
    <t xml:space="preserve">TROVATO TUBICINO VALVOLA PARZIALIZZAZIONE SPEZZATO. ESEGUITA SOSTITUZIONE OLIVETTA E RICOLLEGATO CON ESITO POSITIVO. </t>
  </si>
  <si>
    <t>547452/C</t>
  </si>
  <si>
    <t>4200-0-LT017 Controllo funzionale TX di livello ed allineamento con sala controllo (D107)</t>
  </si>
  <si>
    <t>ESEGUITO RIEMPIMENTO DEI PRIMARI CON ACQUA RIPRISTINANDO LA FUNZIONALITÀ.</t>
  </si>
  <si>
    <t>ALLEGRETTI</t>
  </si>
  <si>
    <t>552926/C</t>
  </si>
  <si>
    <t>10231166  RIPR 22L515HA E 22L515HH</t>
  </si>
  <si>
    <t>TROVATO LIVELLO PNEUMATICO CON IL FLAPPER BLOCCATO E SENZA USCITA PNEUMATICA. PULITO E LUBRIFICATO. GLI ALLARMI SONO RIENTRATI.</t>
  </si>
  <si>
    <t>553112/C</t>
  </si>
  <si>
    <t>1200/2 scollegamento elettropneumatico valvole F302/303 CV</t>
  </si>
  <si>
    <t>SCOLLEGATE LE 2 VALVOLE.</t>
  </si>
  <si>
    <t>552855/C</t>
  </si>
  <si>
    <t>10231088  700: RIPRISTINO CHIUSURA STAGNA CASSETTA STRUMENTALE</t>
  </si>
  <si>
    <t xml:space="preserve">RIPRISTINATI N 2 FORI CASSETTA SENZA FILETTO. </t>
  </si>
  <si>
    <t>552461/C</t>
  </si>
  <si>
    <t>10230879 700 F035RC CONTROLLO FUNZIONALE</t>
  </si>
  <si>
    <t>CONTROLLO DI TARATURA, AZZERAMENTO ED ALLINEAMENTO CON SALA CONTROLLO. NULLA DA SEGNALARE.</t>
  </si>
  <si>
    <t>549852/C</t>
  </si>
  <si>
    <t>10229855  1200: Z0H967BIC controllo e ripristino</t>
  </si>
  <si>
    <t>SMONTAGGIO ATTUATORE TERMINATO, A CURA ZINGARI.</t>
  </si>
  <si>
    <t>555309/C</t>
  </si>
  <si>
    <t>10232241   700: VERIFICA T006HA</t>
  </si>
  <si>
    <t>SERVE PIANO DI SERVIZIO PER ISPEZIONARE TERMOELEMENTO, LAVORO TERMINATO CON ESITO POSITIVO. A CONOSCENZA TCL CALDARELLA</t>
  </si>
  <si>
    <t>556624/C</t>
  </si>
  <si>
    <t>10226805  07T118I 07T113I 07T114I controllo funzionale termocoppie</t>
  </si>
  <si>
    <t>556269/C</t>
  </si>
  <si>
    <t>556395/C</t>
  </si>
  <si>
    <t>1200/1 - HIC 744 SMONTAGGIO / RIMONTAGGIO SERVOMOTORE</t>
  </si>
  <si>
    <t>554430/C</t>
  </si>
  <si>
    <t>10231797 - 1400: MTZ 14L007HA CONTROLLO FUNZIONALE</t>
  </si>
  <si>
    <t>549706/C</t>
  </si>
  <si>
    <t xml:space="preserve"> 1200-MAX  E OFF SITE CONTROLLO  RIPRISTINO E MOVIMENTAZIONE  KV e HIC.  (autocestello)</t>
  </si>
  <si>
    <t>546734/C</t>
  </si>
  <si>
    <t>10228362   700: MTZ PRC001-controllo e ripristino funzionale</t>
  </si>
  <si>
    <t>546738/C</t>
  </si>
  <si>
    <t>10228364  700A-1-F225R-controllo e ripristino funzionale</t>
  </si>
  <si>
    <t>541705/C</t>
  </si>
  <si>
    <t xml:space="preserve"> IMP.1200MAXI F201 RIPRISTINO FUNZIONALITA FOTOCELLULA  DOPO  STASATURA DEL CANOTTO OTTICO</t>
  </si>
  <si>
    <t>539160/C</t>
  </si>
  <si>
    <t>10217843 Ripristino sistema degasaggio linee zolfo-Imp.1200/M-Controllo e ripristino funzionalita' misuratore di portata F902T ('Port Sweep gas da MXSULF)</t>
  </si>
  <si>
    <t>539034/C</t>
  </si>
  <si>
    <t xml:space="preserve"> 1200/1 - L501SLcontrollo e ripristino livello vasca 2</t>
  </si>
  <si>
    <t>537399/C</t>
  </si>
  <si>
    <t xml:space="preserve"> 1400 - T016I FONDO T103 DA E115 CONTROLLO  E  RIPRISTINO FUNZIONALITA TEMPERATURA</t>
  </si>
  <si>
    <t>529824/C</t>
  </si>
  <si>
    <t>10218020 1800 - P101B ripristino cavi. e faccettatura (CAVALLI)</t>
  </si>
  <si>
    <t>529831/C</t>
  </si>
  <si>
    <t>10218012 1100 - ripristino passerella porta cavi fascettatura (CAVALLI)</t>
  </si>
  <si>
    <t>537193/C</t>
  </si>
  <si>
    <t>10224036 1200/2 - Z2F304RC controllo</t>
  </si>
  <si>
    <t>528146/C</t>
  </si>
  <si>
    <t xml:space="preserve"> 1200/3 - SCOLLEGAMENTO/RICOLLEGAMENTO  ELETTROPNEUMATICO PER SOSTITUZIONE HIC 746 CON LA HIC 742 E PROVE FUNZIONALI CON SALA CONTROLLO</t>
  </si>
  <si>
    <t>HIC741 - CONTROLLO FINECORSA DI APERTURA IN CORSO</t>
  </si>
  <si>
    <t>538117/C</t>
  </si>
  <si>
    <t>102224348 700 - SMONTAGGIO/RIMONTAGGIO PER SOSTITUZIONE O REVISIONE VALVOLA SISTEMA AI F101 B-617B</t>
  </si>
  <si>
    <t>535904/C</t>
  </si>
  <si>
    <t xml:space="preserve"> 1200/M - E OFF SITE CONTROLLO  RIPRISTINO E MOVIMENTAZIONE  KV e HIC. </t>
  </si>
  <si>
    <t>CONTROLLO GIORNALIERO</t>
  </si>
  <si>
    <t>541221/C</t>
  </si>
  <si>
    <t xml:space="preserve"> 1200L1 F302SV RIPRISTINO FINE CORSA DI CHIUSURA SU VALVOLA</t>
  </si>
  <si>
    <t>RIPRISTINATO FINECORSA DI PROSSIMITA'</t>
  </si>
  <si>
    <t>541779/C</t>
  </si>
  <si>
    <t xml:space="preserve"> 1800C102B SMONTAGGIO/RIMONTAGGIO STRUMENTAZIONE PER REVISIONE PARTE POMPANTE</t>
  </si>
  <si>
    <t>544236/C</t>
  </si>
  <si>
    <t>SD 1200/4 - controllo ed eventuale stasatura di FT303 (ARIA A B106) - FT304 (ARIA SWS) - FT305 (ARIA FINE A B106)</t>
  </si>
  <si>
    <t>FERMATA 1200/4</t>
  </si>
  <si>
    <t>544103/C</t>
  </si>
  <si>
    <t>SD 1200/4 - Assistenza Strumentale per avviamento impianto</t>
  </si>
  <si>
    <t>544409/C</t>
  </si>
  <si>
    <t>SD imp.1200/4-Controllo strumentazione e successive verifiche matrice C&amp;E blocchi impianto, come da schemi allegati. Interfacciarsi con sala controllo per verificare la fattibilit dei singoli controlli.</t>
  </si>
  <si>
    <t>544010/C</t>
  </si>
  <si>
    <t>1800-C102B SOSTITUZIONE SENZORE VOLANO</t>
  </si>
  <si>
    <t>IN ATTESA RICAMBIO</t>
  </si>
  <si>
    <t>00000002 700A - RIPRISTINO JB TH6 CON SCOLLEGAMENTO MULTICAVO E DOPPINI PER RICERCA GUASTO CAVO AMMALORATO,E REVISIONE CASSETTA E MORSETTI CABUR</t>
  </si>
  <si>
    <t>544278/C</t>
  </si>
  <si>
    <t>1200/4 - SMONTAGGIO/RIMONTAGGIO PILOTA F101 PER REVISIONE E VERIFICA FOTOCELLULE</t>
  </si>
  <si>
    <t>ESEGUITO SMONTAGGIO</t>
  </si>
  <si>
    <t>MILLO/SPINALI</t>
  </si>
  <si>
    <t>545715/C</t>
  </si>
  <si>
    <t>10227873  1200/0: VERIFICA FUNZIONAMENTO AUTOMATICO VALVOLE ARIA  Z0F966BDIC e Z0F967BIC</t>
  </si>
  <si>
    <t>546897/C</t>
  </si>
  <si>
    <t>1200/4 - B203SV / BV205V1 / P202CV SMONTAGGIO/RIMONTAGGIO VALVOLE PER REVISIONE</t>
  </si>
  <si>
    <t>10227344  1200 controllo strumentale FR di vapore LS   ZF1401R.pv - Z3F401R.pv - Z0F152 (acqua BW alle caldaie)</t>
  </si>
  <si>
    <t>547396/C</t>
  </si>
  <si>
    <t>10228704  800: PCV112 controllo e ripristino valvola</t>
  </si>
  <si>
    <t>SOSTITUITO IPCONVERTER</t>
  </si>
  <si>
    <t>547948/C</t>
  </si>
  <si>
    <t>700-1-APH100-F101N ripristino fotocellula bruciatore B</t>
  </si>
  <si>
    <t>547945/C</t>
  </si>
  <si>
    <t>1200M F201 RIPRISTINO FUNZIIONALE FOTOCELLULA</t>
  </si>
  <si>
    <t>547949/C</t>
  </si>
  <si>
    <t>1200-0-B901C  ripristino sonde di temperatura e vibrazione e strumentazione varia a bordo macchina</t>
  </si>
  <si>
    <t>547508/C</t>
  </si>
  <si>
    <t xml:space="preserve">10228743  - 1400-T105- 14F202ARC-14F202BRC - CONTROLLO FUNZIONALE - rilievo bandierina disco e modifica dei FS dei misuratori </t>
  </si>
  <si>
    <t>548156/C</t>
  </si>
  <si>
    <t>1400 F005I RIFACIMENTO PRIMARI + FLUSSAGGI</t>
  </si>
  <si>
    <t>547808/C</t>
  </si>
  <si>
    <t>1200MAXI (F201)RIPRISTINO FUNZIONALITA FOTOCELLULA</t>
  </si>
  <si>
    <t>Controllo effettuato, stasatura canale con azoto.</t>
  </si>
  <si>
    <t>549123/C</t>
  </si>
  <si>
    <t>10229568  700: RIPR TUBO ARIA STRUMENTI A PNEUMATICA DILUVIO F101N  B617V</t>
  </si>
  <si>
    <t>549324/C</t>
  </si>
  <si>
    <t>10229705   800: RIPRISTINO SONDA VIBRAZIONI COMPRESSORE C101B</t>
  </si>
  <si>
    <t>549121/C</t>
  </si>
  <si>
    <t>10229589  22L201RC controllo funzionale</t>
  </si>
  <si>
    <t>549480/C</t>
  </si>
  <si>
    <t>Controllo combustione F101 L1 e termocoppie Z1T402  "zona SWS della L1 Z1T402 A e Z1 T402B "</t>
  </si>
  <si>
    <t>544235/C</t>
  </si>
  <si>
    <t>SD 1200/4 - controllo ed eventuale stasatura di FT301 (CARICA MEA) - FT302 (CARICA SWS A F101) - FT306 (SPILL. MEA A F101) - FT307 (SPILL MEA GAS B103)</t>
  </si>
  <si>
    <t>549322/C</t>
  </si>
  <si>
    <t>10229698  2200BD L514LA - L514HA CONTROLLO E RIPRISTINO</t>
  </si>
  <si>
    <t>548695/C</t>
  </si>
  <si>
    <t>1400 F005I costruzione flussaggi e prove funzionali</t>
  </si>
  <si>
    <t>NECESSITA INTERVENTO PONTEROSSO PER RADICI TAPPATE, PONTEGGIO ESISTENTE</t>
  </si>
  <si>
    <t>548304/C</t>
  </si>
  <si>
    <t xml:space="preserve"> 1200/3:  RILIEVI DI PRESSIONE come indicati da ESE</t>
  </si>
  <si>
    <t>543964/C</t>
  </si>
  <si>
    <t xml:space="preserve"> 1200-MAX  E OFF SITE CONTROLLO  RIPRISTINO E MOVIMENTAZIONE  KV e HIC. </t>
  </si>
  <si>
    <t>KV 757 A.C. LA VALVOLA NONOSTANTE LA STRUMENTAZIONE FUNZIONI PERFETTAMENTE NON VA IN CHIUSURA. BLOCCATA.
K.V. 756 A.A. VALVOLA BLOCCATA CHIUSA IN VOLANTINO, NON E' POSSIBILE PROVARLA.</t>
  </si>
  <si>
    <t>550417/C</t>
  </si>
  <si>
    <t>700-1-F101 N  CONTROLLO FUNZIONALE PILOTA BRUC A F101N</t>
  </si>
  <si>
    <t>549850/C</t>
  </si>
  <si>
    <t>700 F101N TCV639COTROLLO ZT DI RITORNO POSIZIONE VALVOLA</t>
  </si>
  <si>
    <t>IN ATTESA DI INTERVENTO PREZZAVENTO</t>
  </si>
  <si>
    <t>550411/C</t>
  </si>
  <si>
    <t>10230078   PRIORITA' 1- 1200/1: RIPR Z1B401U1</t>
  </si>
  <si>
    <t>550679/C</t>
  </si>
  <si>
    <t>2400-1-L606RCV serraggio premi treccia</t>
  </si>
  <si>
    <t>IL PREMI TRECCIA NON E' STATO POSSIBILE SERRARLO, PERCHE' I TIRANTI SONO CORROSI. SI CONSIGLIA LA REVISIONE DELLA VALVOLA</t>
  </si>
  <si>
    <t>551074/C</t>
  </si>
  <si>
    <t>1400 F004/005I CONTROLLO E RIPRISTINO FUNZIONALE</t>
  </si>
  <si>
    <t>551042/C</t>
  </si>
  <si>
    <t>URGENTE!: ORDINE PULIZIA IMPIANTI AREA 3</t>
  </si>
  <si>
    <t>550255/C</t>
  </si>
  <si>
    <t>800 FCV120 CONTROLLO FUNZIONALE ED EVENTUALE SMONTAGGIO/RIMONTAGGIO PER REVISIONE</t>
  </si>
  <si>
    <t>VALVOLA IN REVISIONE IN OFFICINA VALVOLE</t>
  </si>
  <si>
    <t>551104/C</t>
  </si>
  <si>
    <t xml:space="preserve">10230332 SMONTAGGIO/RIMONTAGGIO PER  Revisione FCV303- </t>
  </si>
  <si>
    <t>551109/C</t>
  </si>
  <si>
    <t>10230340 1200/2 HIC740 controllo funzionale ed eventuale smontaggio servomotore per revisione  valvola completa</t>
  </si>
  <si>
    <t>551114/C</t>
  </si>
  <si>
    <t>10230341 1200/2 HIC744 controllo funzionale ed eventuale smontaggio servomotore per revisione  valvola completa</t>
  </si>
  <si>
    <t>550854/C</t>
  </si>
  <si>
    <t>10230257   700A: VERIFICA 07L208SC+ AUTOMATISMO POMPA P205-P204B</t>
  </si>
  <si>
    <t>CONTROLLATI TUTTI GLI STRUMENTI INERENTI AL DP202, CHE DOVREBBERO FARE START/STOP POMPE P205-P204B. GLI STRUMENTI IN QUESTIONE SONO: LI208A, TX DI LIVELLO IN COMUNE CON LI208B. LE MISURE ARRIVANO CORRETTAMENTE IN SALA CONTROLLO. CONTROLLATO ANCHE L208SC, LIVELLOSTATO, IL QUALE ARRIVA IN SALA CONTROLLO, MA NON FA NESSUN AUTOMATISMO. CONTROLLATO ANCHE L007RC, CHE FA MISURA E REGOLAZIONE MA NON START/STOP POMPE. DAI LOOP NON SI CAPISCE CHI TRA TUTTI SIA IL MASTER DELLO START/STOP. INTERESSATO IL SIG. PREZZAVENTO, CHE IN QUESTI GG. CI DARA' RISPOSTE SU UN SISTEMA CHE NON FUNZIONA DA PIU' DI 20 ANNI.( IN AUTOMATICO)</t>
  </si>
  <si>
    <t>551711/C</t>
  </si>
  <si>
    <t>area cantieri sud ripristino funzionale autoclave acqua cantieri MESSA IN SICUREZZA A CURA ESECUTORE</t>
  </si>
  <si>
    <t>SOSTITUITO GALLEGGIANTE SUL SERBATOIO. COLLEGAMENTO ELETTRICO A CURA DEL SIG. ROSSITTO.</t>
  </si>
  <si>
    <t>551101/C</t>
  </si>
  <si>
    <t xml:space="preserve">(AVVISO 10230331) REVISIONE VALVOLA FCV302 IMP. 1200/2 ( SWS GAS A B-103 ) </t>
  </si>
  <si>
    <t>551981/C</t>
  </si>
  <si>
    <t>10230720   2200: MTZ 22L534R (D101B) ripristino funzionale</t>
  </si>
  <si>
    <t>PULITI PRIMARI,RIEMPITO BARILOTTO CON H2O E REGOLATI FLUSSAGGI.</t>
  </si>
  <si>
    <t>552932/C</t>
  </si>
  <si>
    <t xml:space="preserve">10231165. 07F220BR  ripristino del misuratore di portata Testa Splitter + Taglio laterale  </t>
  </si>
  <si>
    <t>552464/C</t>
  </si>
  <si>
    <t>10230880 700 P018RC CONTROLLO FUNZIONALE</t>
  </si>
  <si>
    <t>553316/C</t>
  </si>
  <si>
    <t>1200/2 - smontaggio/rimontaggio valvola F303CV e successivo trasporto in officina esterna</t>
  </si>
  <si>
    <t>553117/C</t>
  </si>
  <si>
    <t>1200/2 smontaggio fotocellule e piloti su F101/102</t>
  </si>
  <si>
    <t>552275/C</t>
  </si>
  <si>
    <t>700A ripristino segnali JBTH6 CON SOSTITUZIONE CAVI E PASSERELLE</t>
  </si>
  <si>
    <t>553993/C</t>
  </si>
  <si>
    <t>10231640-1400- VERIFICA 14L006-</t>
  </si>
  <si>
    <t>RIPRISTINATO BATTENTE SU PRESA NEGATIVA. LIVELLO INSERITO A DCS.</t>
  </si>
  <si>
    <t>553790/C</t>
  </si>
  <si>
    <t>2200D102- 22L514HA RIPRISTINO LIVELLOSTATO</t>
  </si>
  <si>
    <t>IL TX DI LIVELLO PNEUMATICO HA UNA GROOSA CRAVATTA SULLA PRESA INFERIORE, E NON E' INTERCETTABILE. CONTROLLO NON ESEGUITO. SOSTITUITO RELE' PNEUMATICO GUASTO E RIPRISTINATA LA MISURA. ALLARME RIENTRATO. ESERCIZIO SI RIFIUTA DI SCARICARE IL LIVELLO PER IL DRENAGGIO</t>
  </si>
  <si>
    <t>553811/C</t>
  </si>
  <si>
    <t xml:space="preserve">10231541  VERIFICA FRC201 </t>
  </si>
  <si>
    <t>NON SI PUO' LAVORARE PER INTERFERENZA CON RIPRISTINO CIMINIERA.</t>
  </si>
  <si>
    <t>551108/C</t>
  </si>
  <si>
    <t>10230333 5.Verifica misuratori di portata aria-gas-MEA GAS-SWS GAS F301/302/306RC</t>
  </si>
  <si>
    <t>553807/C</t>
  </si>
  <si>
    <t>10231539-22L534R   ripristino funzionale</t>
  </si>
  <si>
    <t>RIEMPITO CANNA PER MANCANZA BATTENTE, LIVELLO RIPRISTINATO.</t>
  </si>
  <si>
    <t>554747/C</t>
  </si>
  <si>
    <t>10231952    1200/1-F103 smontaggio/rimontaggio accenditore pilota per revisione</t>
  </si>
  <si>
    <t xml:space="preserve">SMONTATO E REVISIONATO ACCENDITORE IN OFFICINA. ( IL VECCHIO E' STATO DISTRUTTO MESSO NUOVO )
</t>
  </si>
  <si>
    <t>555603/C</t>
  </si>
  <si>
    <t>556045/C</t>
  </si>
  <si>
    <t>10227342   1800: 18T033I ripristino</t>
  </si>
  <si>
    <t>556049/C</t>
  </si>
  <si>
    <t>550408/C</t>
  </si>
  <si>
    <t>556068/C</t>
  </si>
  <si>
    <t>10226908   700: 07P101CSL controllo pressostato  controllo funzionale</t>
  </si>
  <si>
    <t>556070/C</t>
  </si>
  <si>
    <t>10228179     1100: MTZ 11T005RC   controllo funzionale</t>
  </si>
  <si>
    <t>549502/C</t>
  </si>
  <si>
    <t>10229300  1200/1: TARATURA  Z1F201RC -  Z1F204IC</t>
  </si>
  <si>
    <t>556053/C</t>
  </si>
  <si>
    <t>10228178   1100: MTZ 11F016R</t>
  </si>
  <si>
    <t>PER EFFETTUARE IL CONTROLLO SERVE PONTEGGIO. DA SOSTITUIRE GRUPPO BYPASS MECCANICO GUASTO.</t>
  </si>
  <si>
    <t>556055/C</t>
  </si>
  <si>
    <t>10228364   700A-1-F225R  controllo funzionale</t>
  </si>
  <si>
    <t>NON E' POSSIBILE EFFETTUARE IL CONTROLLO PERCHE' IL TRASMETTITORE E' SOTTO LA CIMINIERA DEL 700/A CHE PER INTERFERENZA E' CHIUSA CON IL NASTRO VEDO.</t>
  </si>
  <si>
    <t>549771/C</t>
  </si>
  <si>
    <t>10229802 - 700: RIPR 07T160I controllo funzionale</t>
  </si>
  <si>
    <t>CONTROLLATA TEMPERATURA, NESSUNA ANOMALIA</t>
  </si>
  <si>
    <t>556058/C</t>
  </si>
  <si>
    <t>10229802  700: RIPR 07T160I controllo funzionale</t>
  </si>
  <si>
    <t xml:space="preserve">PERMESSO DOPPIONE CON 549771/C </t>
  </si>
  <si>
    <t>555303/C</t>
  </si>
  <si>
    <t>10232242   1200/M: VERIFICA ZMT802AR</t>
  </si>
  <si>
    <t>TROVATO FILO LENTO A RETRO QUADRO, SERRATO. ALLINEATA MISURA CON SALA CONTROLLO ( 0-400°C )PER ISPEZIONARE IL TERMOELEMENTO NECESSITA PONTEGGIO</t>
  </si>
  <si>
    <t>554412/C</t>
  </si>
  <si>
    <t>2400-F603R CONTROLLO FUNZIONALE</t>
  </si>
  <si>
    <t>SOSTITUITO FONDO SCALA COME DA COMUNICAZIONE TCL CALDARELLA DA 2500 mm A 625 mm</t>
  </si>
  <si>
    <t>554851/C</t>
  </si>
  <si>
    <t>10232048  07-F002RC controllo funzionale</t>
  </si>
  <si>
    <t>NULLA DA SEGNALARE, ALLINEATO SEGNALE CON SALA CONTROLLO.</t>
  </si>
  <si>
    <t>553796/C</t>
  </si>
  <si>
    <t>10231535-22L518R ripristino funzionale</t>
  </si>
  <si>
    <t>IL LVELLO A ONDA GIUDATA SCARICATO E DEPRESSATO, LAVATO TUBO DI CALMA, PORTATO A ZERO. I ROTAMETRI SONO TAPPATI, DA SOSTITUIRE.</t>
  </si>
  <si>
    <t>553805/C</t>
  </si>
  <si>
    <t>10231538-22L530R ripristino funzionale</t>
  </si>
  <si>
    <t>NULLA DA SEGNALARE</t>
  </si>
  <si>
    <t>553808/C</t>
  </si>
  <si>
    <t>10231540-22L532R  ripristino funzionale</t>
  </si>
  <si>
    <t>RIEMPITO CANNA PER MANCANZA BATTENTE, LIVELLO RIPRISTINATO. FLUSSAGGI SONO TAPPATI, DA SOSTITUIRE.</t>
  </si>
  <si>
    <t>553828/C</t>
  </si>
  <si>
    <t>1200/1 assistenza strumentale avviamento</t>
  </si>
  <si>
    <t>546791/C</t>
  </si>
  <si>
    <t>10228396  1800: 18F007RC ripristino funzionalit</t>
  </si>
  <si>
    <t>NECESSITA PONTEGGIO PER IL CONTROLLO.</t>
  </si>
  <si>
    <t>550722/C</t>
  </si>
  <si>
    <t>10230202   700: MTZ 07L018HA controllo funzionale</t>
  </si>
  <si>
    <t>IMPOSSIBILE DA INTERCETTARE E SCARICARE IN QUANTO LE VALVOLE RISULTANO BLOCCATE. PROVATO SOLO ELETTRICAMENTE</t>
  </si>
  <si>
    <t>550723/C</t>
  </si>
  <si>
    <t>10230203   700: MTZ 07L002HA controllo funzionale</t>
  </si>
  <si>
    <t>548303/C</t>
  </si>
  <si>
    <t>10229177-10229176 -  1100- misuratori di portata 11F011-11F012</t>
  </si>
  <si>
    <t>EFFETTUATA ASSISTENZA PONTEROSSO PER SCOVOLATURA PRESE DI RADICI F012 EFFETTUATA PRESA VISIONE PONTEGGIO F011.</t>
  </si>
  <si>
    <t>551179/C</t>
  </si>
  <si>
    <t>1200/3 controllo livelli caldaia F101 L401RC - L402SL</t>
  </si>
  <si>
    <t xml:space="preserve">L402SL NESSUNA ANOMALIA RISCONTRATA. L401RC ABBIAMO RISCONTRATO UNA PERDITA SUL NIPLES DEL BARILOTTO NECESSITA INTERVENTO CARPENTIERE CANTIERE SUD,PER ELIMINAZIONE PERDITA. </t>
  </si>
  <si>
    <t>550531/C</t>
  </si>
  <si>
    <t>10230145  1200: Z3L301 controllo funzionale</t>
  </si>
  <si>
    <t>SERVE PONTEGGIO PER POTER ACCEDERE ALLA TESTINA DI LIVELLO, DA SOSTITUIRE PERMESSO PER ALLEGARE PONTEGGIO ANCORA DA FARE.</t>
  </si>
  <si>
    <t>549582/C</t>
  </si>
  <si>
    <t>1200M-R202   scollegamento termo coppie</t>
  </si>
  <si>
    <t>ESEGUITO SCOLLEGAMENTO</t>
  </si>
  <si>
    <t>549947/C</t>
  </si>
  <si>
    <t>10229879   10229880   700 F101N  F006RC-F003RC CONTROLLO E RIPRISTINO FUNZIONALE</t>
  </si>
  <si>
    <t>547952/C</t>
  </si>
  <si>
    <t>1200-0- F922IC F910IC COTROLLO FUNZIONALE</t>
  </si>
  <si>
    <t>F910IC NESSUNA ANOMALIA - F922IC NON ESISTE (ESISTE LA PRESSIONE)</t>
  </si>
  <si>
    <t>545985/C</t>
  </si>
  <si>
    <t>700A TP202B PCV211 CONTROLLO FUNZIONALE VALVOLA ED EVENTUALE SMONTAGGIO/RIMONTAGGIO PER REVISIONE</t>
  </si>
  <si>
    <t>TROVATO IN CORTO CAVO E.V. ( DALLA J.B. ALLA E.V.) SI TENTA UN GIUNTO VICINO ALLA SOLENOIDE PER VEDERE SE FUNZIONA. LAVORO IN CORSO. SERVE PONTEGGIO PER POTER PASSARE DOPPINO NUOVO.</t>
  </si>
  <si>
    <t>539159/C</t>
  </si>
  <si>
    <t>10217843 Ripristino sistema degasaggio linee zolfo-Imp.1200/M-controllo e ripristino funzionalita' misuratore di portata F901T (Port vap eiet MXSULF)</t>
  </si>
  <si>
    <t>CAPOTURNO NON APRE PDL</t>
  </si>
  <si>
    <t>10226988  700A: PCV212 bloccata al 50% controllo funzionale ed eventuale in accordo con ESE smontaggio/rimontaggio per revisione</t>
  </si>
  <si>
    <t>10223642 1800 - P437SH  -  controllo funzionale</t>
  </si>
  <si>
    <t>543285/C</t>
  </si>
  <si>
    <t>10226807- 07T118I.PV: carica a E151 A/B (lo strumento misura 20C, temperatura errata)</t>
  </si>
  <si>
    <t>COPPIA N°23 APERTA. NON SI RIESCE AD IDENTIFICARE TAG MULTICAVO (NE' IN CASSETTA NE' IN SALA TECNICA). 08/10/2024 PONTICELLATO IN BARRIERA PER ELIMINARE "BAD" A DCS. IMPOSSIBILE DETERMINARE TAG MULTICAVO PER POTER UTILIZZARE EVENTUALE SPARE.</t>
  </si>
  <si>
    <t>542711/C</t>
  </si>
  <si>
    <t>10226576   800: RIPR E CONFIG FLUSSIMETRI MC101B SMONTAGGIO/RIMONTAGGIO PER REVISIONE</t>
  </si>
  <si>
    <t>SMONTATO FLUSSOSTATO E PRESSOSTATO. IL FLUSSOSTATO HA LA PALETTA COMPLETAMENTE DISTRUTTA, IL PRESSOSTATO NON FUNZIONA, E' STATO SOSTITUITO. AMBEDUE GLI STRUMENTI SONO DISALIMENTATI, I SEGNALI DOVREBBERO ARRIVARE A PANNELLO LOCALE, DA FARE RICERCA GUASTO.
RICERCA GUASTO A CURA RICIPUTO, SOSTITUITE 18 LAMPADE A PANNELLO LOCALE, E RIPRISTINATO ALLARME DI BASSA PRESSIONE. FLUSSOSTATO GUASTO, IN ATTESA DI RICAMBIO.</t>
  </si>
  <si>
    <t>MILLO/GARRO/RICIPUTO</t>
  </si>
  <si>
    <t>538131/C</t>
  </si>
  <si>
    <t>10223641 1800 - RIPR 18Z027LH.</t>
  </si>
  <si>
    <t>LA VALVOLA IN OGGETTO TRATTASI DI RBV, DI COMPETENZA ATTUATORISTI; TCL SCOLLO.</t>
  </si>
  <si>
    <t>538251/C</t>
  </si>
  <si>
    <t>10224410 1400 - RIPRISTINO FROO5 SWS GAS DA TESTA 1400-D104 A LINEE ZOLFO</t>
  </si>
  <si>
    <t>VALVOLE TAPPATE, PROVATE CON POMPA ALTA PRESSIONE CON ESITO NEGATIVO. SERVE PONTEGGIO PER STASARE A CURA PONTEROSSO</t>
  </si>
  <si>
    <t>533089/C</t>
  </si>
  <si>
    <t xml:space="preserve">10221652 700A - MTZ FR212  </t>
  </si>
  <si>
    <t>DA SOSTITUIRE STRUMENTO: PER INTERFERENZA CAPOTURNO ( LAVORI DI RIPRISTINO CIMINIERA )NON APRE PDL</t>
  </si>
  <si>
    <t>533088/C</t>
  </si>
  <si>
    <t xml:space="preserve">10221651 700A - MTZ FR213  </t>
  </si>
  <si>
    <t>532857/C</t>
  </si>
  <si>
    <t xml:space="preserve"> 700A - RIPRISTINO JB TH6 CON SCOLLEGAMENTO MULTICAVO E DOPPINI PER RICERCA GUASTO CAVO AMMALORATO,E REVISIONE CASSETTA E MORSETTI CABUR</t>
  </si>
  <si>
    <t>10223633 1100 - MDEA DA 700 a U1100 ripristino 11F003RC.pv CONTROLLO LOOP DI REGOLAZIONE</t>
  </si>
  <si>
    <t>537759/C</t>
  </si>
  <si>
    <t>10224189 1200/0 - Z0F150R controllo funzionale</t>
  </si>
  <si>
    <t>ESEGUITA STASATURA SU PRESA - CON ESITO NEGATIVO; NECESSITA INTERVENTO PONTEROSSO. PER ARRIVARE ALLA RADICE SERVE PONTEGGIO.</t>
  </si>
  <si>
    <t>536723/C</t>
  </si>
  <si>
    <t>10223786 1200/1 - F304CV</t>
  </si>
  <si>
    <t>SI CONSIGLIA LA REVISIONE, ARIA APRE IN ASSENZA DI ARIA BLOCCATA AL 25%</t>
  </si>
  <si>
    <t>529835/C</t>
  </si>
  <si>
    <t>10217184 1400 - LCV004 controllo funzionale  ed eventuale smontaggio/rimontaggio per revisione  valvola</t>
  </si>
  <si>
    <t>ATTESA ESE PER SMONTAGGIO</t>
  </si>
  <si>
    <t>530192/C</t>
  </si>
  <si>
    <t>10220466 800 - F158AR /BR CONTROLLO ENTRAMBI I MISURATORI DI PORTATA CON VERIFICA PRIMARI</t>
  </si>
  <si>
    <t>527952/C</t>
  </si>
  <si>
    <t xml:space="preserve">10218827 1200/2 - controllo funzionale FCV302  SWS gas </t>
  </si>
  <si>
    <t>LA VALVOLA NON SENTE LE PICCOLE PERCENTUALI, NON MOVIMENTABILE PER ESIGENZE DI IMPIANTO.</t>
  </si>
  <si>
    <t>532172/C</t>
  </si>
  <si>
    <t>10215992 1200/M - ZMF718R(tail gas a MAXI sulf)  controllo funzional</t>
  </si>
  <si>
    <t>TURBINETTA</t>
  </si>
  <si>
    <t>527516/C</t>
  </si>
  <si>
    <t xml:space="preserve"> 1800 - D111 L042R CONTROLLO RIPRISTINO ED EVENTUALE SOSTITUZIONE TESTINA</t>
  </si>
  <si>
    <t>DA SOSTITUIRE TORSIONALE</t>
  </si>
  <si>
    <t>532614/C</t>
  </si>
  <si>
    <t xml:space="preserve"> 1800 - F063AT/BT SMONTAGGIO/E RIMONTAGGIO PRIMARIO STRUMENTI PER COSTRUZIONE TUBING AMMALORATO</t>
  </si>
  <si>
    <t>MECCANICI HANNO RIPRISTINATO PIPING E SUCCESSIVAMENTE COEMI RICOLLEGHERA' TRACCIATURA STRUMENTO. NON FATTO CAUSA EMERGENZA</t>
  </si>
  <si>
    <t>525746/C</t>
  </si>
  <si>
    <t xml:space="preserve"> 1200/1 - L502 CONTROLLO E TARATURA CON ALLINEAMENTO CON SALA CONTROLLO</t>
  </si>
  <si>
    <t>SUL LIVELLO SI E' FATTA LA PROVA DI STASATURA CON POMPA ALTA PRESSIONE  ESITO NEGATIVO, IL LIVELLO RIMANE TAPPATO.</t>
  </si>
  <si>
    <t>527523/C</t>
  </si>
  <si>
    <t xml:space="preserve"> 1100 - F161R CONTROLLO FUNZIONALE</t>
  </si>
  <si>
    <t>CONTROLLATO TX, PRESE LIBERE. LA MISURA CON TX INSERITO E' MOLTO INSTABILE, SI CONSIGLIA LA SOSTITUZIONE DEL TX.</t>
  </si>
  <si>
    <t>527529/C</t>
  </si>
  <si>
    <t xml:space="preserve"> 800 - F166I STRUMENTO TERMO MASSICO, SFILARLO DAL PROCESSO CHIUDERE LA VALVOLA DI INTERCETTO SMONTARLO E PULIRE L'ELEMENTO SENSIBILE</t>
  </si>
  <si>
    <t>SERVE PONTEGGIO PER ACCEDERE ALLA TESTINA DEL MASSICO</t>
  </si>
  <si>
    <t>526467/C</t>
  </si>
  <si>
    <t xml:space="preserve"> 800 - ELIM PERDITA DA FCV120</t>
  </si>
  <si>
    <t>LA VALVOLA E' DA SMONTARE E REVISIONARE</t>
  </si>
  <si>
    <t>524753/C</t>
  </si>
  <si>
    <t xml:space="preserve"> 1200/4 - controllo Livellostati D101 e D102 Linea 4</t>
  </si>
  <si>
    <t>PONTEGGIO REALIZZATO, IN ATTESA ESE PER BONIFICA STRUMENTI.</t>
  </si>
  <si>
    <t>523500/C</t>
  </si>
  <si>
    <t xml:space="preserve"> Z0T970ABI.pv ((Temp. Met. Caldai tubi a)  controllo funzionale</t>
  </si>
  <si>
    <t>NECESSITA PONTEGGIO. TEMPERATURA IN BAD. SKIN POINT GUASTA. POSSIBILE SOSTITUZIONE IN FERMATA</t>
  </si>
  <si>
    <t>523499/C</t>
  </si>
  <si>
    <t xml:space="preserve"> Z0T970AAI.pv (Temp. Met. Caldai tubi a)  controllo funzionale</t>
  </si>
  <si>
    <t>NECESSITA PONTEGGIO. TEMPERATURA SKINPOINT IN BAD. POSSIBILE SOSTITUZIONE IN FERMATA</t>
  </si>
  <si>
    <t>523494/C</t>
  </si>
  <si>
    <t xml:space="preserve"> Misuratori pressione In/OUT R203 ZMP801DI  controllo funzionale</t>
  </si>
  <si>
    <t>PRIMARI TAPPATI, NECESSITA INTERVENTO PONTEROSSO. TX A CAPILLARE.</t>
  </si>
  <si>
    <t>521627/C</t>
  </si>
  <si>
    <t xml:space="preserve"> 1200/0 - REVISIONE POSIZIONATORE F966B  F967B  su F901B</t>
  </si>
  <si>
    <t>POSIZIONATORI SOSTITUITI E PRONTI PER LA TARATURA QUANDO ESERCIZIO E' DISPONIBILE (LA MOVIMENTAZIONE DELLE VALVOLE PORTA IN BLOCCO IL FORNO).</t>
  </si>
  <si>
    <t>517772/C</t>
  </si>
  <si>
    <t xml:space="preserve"> 1200/2 - Z2F301-302-303-304-305-201-204   VERIFICA DEI SEGUENTI MISURATORI DI PORTATA</t>
  </si>
  <si>
    <t>Z2F204RC - Z2F305RC - Z2F302RC – Z2F301RC – Z2F306RC – Z2F303RC (OK)
DA FARE F201RC (in attesa ponterosso, negativa tappata)</t>
  </si>
  <si>
    <t>523466/C</t>
  </si>
  <si>
    <t xml:space="preserve"> 1100 - F012R (MDEA GAS a U1200 ,verificare eventuale tappamento)  controllo funzionale</t>
  </si>
  <si>
    <t>NEGATIVA TAPPATA, NECESSITA INTERVENTO PONTEROSSO. SERVE PONTEGGIO PER ARRIVARE NELLE RADICI</t>
  </si>
  <si>
    <t>523463/C</t>
  </si>
  <si>
    <t xml:space="preserve"> 1100 - F011R (MDEA GAS a U1200 ,verificare eventuale tappamento) controllo funzionale</t>
  </si>
  <si>
    <t>523461/C</t>
  </si>
  <si>
    <t xml:space="preserve"> 1400 - F005R(SWS A U1200 da T105/T101/T102) controllo funzionale</t>
  </si>
  <si>
    <t>prese di radice (sia positiva che negativa) risultano tappate e si necessita intervento da parte di PONTEROSSO. Le radici sono accessibili tramite un ponteggio già realizzato.</t>
  </si>
  <si>
    <t>523808/C</t>
  </si>
  <si>
    <t xml:space="preserve"> 1800 - LCV098R-  controllo funzionale</t>
  </si>
  <si>
    <t xml:space="preserve">PER ESEGUIRE IL CONTROLLO SI NECESSITA DEL PONTEGGIO. IN ATTESA DI PONTEGGIO </t>
  </si>
  <si>
    <t>523807/C</t>
  </si>
  <si>
    <t xml:space="preserve"> 1800 - LCV053R-  controllo funzionale</t>
  </si>
  <si>
    <t>523806/C</t>
  </si>
  <si>
    <t xml:space="preserve"> 1800 - LCV029R controllo funzionale</t>
  </si>
  <si>
    <t>523442/C</t>
  </si>
  <si>
    <t xml:space="preserve"> 1400 - F009R ( SWS a U 1200) controllo funzionale</t>
  </si>
  <si>
    <t>RADICE NEGATIVA INTERCETTATA POICHE' TAPPATA. DA STASARE CON PONTEROSSO.
TRACCIA VAPORE DA RICOLLEGARE E TUTTO DA COIBENTARE.</t>
  </si>
  <si>
    <t>521580/C</t>
  </si>
  <si>
    <t xml:space="preserve"> 700A: 07T206R ripristino funzionale</t>
  </si>
  <si>
    <t>TERMOELEMENTO E BARRIERA OK. DOPPINO DEL MULTICAVO APERTO. PROVATI SPARE ESITO NEGATIVO. DA RIPRISTINARE MULTICAVO IN FERMATA.</t>
  </si>
  <si>
    <t>521574/C</t>
  </si>
  <si>
    <t>700/A</t>
  </si>
  <si>
    <t xml:space="preserve"> 10214486   - 700A: 07T2019Iriflusso T201 ripristino funzionale. </t>
  </si>
  <si>
    <t>CASSETTA TH6 IN PESSIMO STATO E MULTICAVO CON TARGHETTA 'KO'. DA RIFARE INTERA CASSETTA INOLTRE, NON RISULTANO SPARE DISPONIBILI. TERMOELEMENTO E' FUNZIONANTE.
DA RIPRISTINARE IL TUTTO IN FERMATA.</t>
  </si>
  <si>
    <t>522095/C</t>
  </si>
  <si>
    <t xml:space="preserve"> 800 - VERIFICA FUNZIONAMENTO E TARATURA 08F120RC</t>
  </si>
  <si>
    <t>VALV.D'INTERCETTO E RADICE NON FANNO TENUTA, SI NECESSITA PONTEGGIO PER VALV.RADICE. DAI CONTROLLI ESEGUITI NON SI EVIDENZIANO ANOMALIE SULLO STRUMENTO. CONTROLLATO ANCHE 08F120CV, DA REVISIONARE: NOTEVOLE PERDITA DI PRODOTTO DALLA BADERNA E CONSISTENTE PENDOLAZIONE IN AUTOMATICO. ATTIVITA' DA ESEGUIRE IN PRIMA FERMATA UTILE.</t>
  </si>
  <si>
    <t>521570/C</t>
  </si>
  <si>
    <t>10212837 10212837   2400: revisione LCV606</t>
  </si>
  <si>
    <t>IN ATTESA CHE ESE POSSA CONSEGNARE A MAN LA VALVOLA: DA SMONTARE E REVISIONARE.</t>
  </si>
  <si>
    <t>519186/C</t>
  </si>
  <si>
    <t xml:space="preserve"> ZMF716R ( vapore b.pressione maxi) , strumento a fondo scala controllo funzionale</t>
  </si>
  <si>
    <t>TENTATIVO DI STASATURA CON POMPA AD ALTA PRESSIONE NON RIUSCITO. NECESSITA PONTEGGIO PER INTERCETTO VALVOLE DI RADICE.</t>
  </si>
  <si>
    <t>520152/C</t>
  </si>
  <si>
    <t xml:space="preserve"> 1200/1 - F101 CONTROLLO FUNZIONALE  FOTOCELLULA </t>
  </si>
  <si>
    <t>FOTOCELLULA GUASTA, IN ATTESA DI RICAMBIO</t>
  </si>
  <si>
    <t>517624/C</t>
  </si>
  <si>
    <t xml:space="preserve"> 1200/0: VERIFICA FUNZIONAM 966A</t>
  </si>
  <si>
    <t>POSIZIONATORE GUASTO. IN ATTESA CHE ESERCIZIO CI DIA LA VALVOLA POTENDO FARE AUTOTUNING SU NUOVO POSIZIONATORE (ESCURSIONI DI APERTURA E CHIUSURA)</t>
  </si>
  <si>
    <t>517626/C</t>
  </si>
  <si>
    <t xml:space="preserve"> 1200/0 - VERIFICA FUNZIONAM 966B      </t>
  </si>
  <si>
    <t>517627/C</t>
  </si>
  <si>
    <t xml:space="preserve"> 1200/0: VERIFICA FUNZIONAM 967A      </t>
  </si>
  <si>
    <t>517628/C</t>
  </si>
  <si>
    <t xml:space="preserve"> 1200/0 - VERIFICA FUNZIONAM 967B     </t>
  </si>
  <si>
    <t>512355/C</t>
  </si>
  <si>
    <t xml:space="preserve"> F300RC -TARATURA </t>
  </si>
  <si>
    <t>Necessita ponteggio per il controllo del trasmettitore.</t>
  </si>
  <si>
    <t>512975/C</t>
  </si>
  <si>
    <t xml:space="preserve"> F220RC - SIGLA A DCS 07F220B</t>
  </si>
  <si>
    <t xml:space="preserve">F220BR: PROBLEMI NELLA MISURA AL DCS PER DOPPINO DA TX A JB IN DISPERSIONE.
DA PROGRAMMARE LA SOSTITUZIONE IN FERMATA.
F220AR: VALVOLA INTERCETTO POSITIVA NON FA' TENUTA.                    </t>
  </si>
  <si>
    <t>507188/C</t>
  </si>
  <si>
    <t xml:space="preserve"> L405I Livello D116</t>
  </si>
  <si>
    <t>SERVE PONTEGGIO PER ACCEDERE ALLA TESTINA DI LIVELLO</t>
  </si>
  <si>
    <t>517066/C</t>
  </si>
  <si>
    <t xml:space="preserve"> 10211599   1200/2 B301SV2 - T402A/B - T407A/B CONTROLLO E RIPRISTINI SU F101</t>
  </si>
  <si>
    <t>NECESSITA PONTEGGIO PER CONTROLLO.</t>
  </si>
  <si>
    <t>516393/C</t>
  </si>
  <si>
    <t xml:space="preserve"> VERIFICA ZMP781R     </t>
  </si>
  <si>
    <t>PRESA TAPPATA. NECESSITA INTERVENTO PONTEROSSO.</t>
  </si>
  <si>
    <t>515273/C</t>
  </si>
  <si>
    <t xml:space="preserve"> PR1: 1200/3 RIPRISTINO LIVELLOSTATI D102 L303LA-L303HA </t>
  </si>
  <si>
    <t>SI ATTENDE BONIFICA LIVELLOSTATI DA PARTE ESERCIZIO PER POTER LAVORARE.</t>
  </si>
  <si>
    <t>520900/C</t>
  </si>
  <si>
    <t xml:space="preserve"> 10213784   1200/2: RIPRISTINO PCV310</t>
  </si>
  <si>
    <t>LA VALVOLA FUNZIONA DAL 50% AL 100%, NON VA IN CHIUSURA, SERVE LA REVISIONE IN OFFICINA. NON AVENDO INTERCETTI, PER SMONTARLA SI DEVE FERMARE LA SOFFIANTE.</t>
  </si>
  <si>
    <t>542710/C</t>
  </si>
  <si>
    <t>10226577   800: RIPR E CONFIG FLUSSIMETRI MC101A SMONTAGGIO/RIMONTAGGIO PER REVISIONE</t>
  </si>
  <si>
    <t>540300/C</t>
  </si>
  <si>
    <t>10224411 1400 - RIPRISTINO FR OO4 SWS GAS DA TESTA 1400-D104 A LINEE ZOLFO</t>
  </si>
  <si>
    <t>NON PROCESSATO PERCHE' PRESSIONE OLTRE 60 BAR ESERCIZIO, E LA VALVOLA NON E' BYPASSABILE</t>
  </si>
  <si>
    <t>556064/C</t>
  </si>
  <si>
    <t>10229281   700: VERIFICA FUNZ 07B600ASL  controllo funzionale</t>
  </si>
  <si>
    <t>NON PROCESSATO PERCHE' FOTOCELLULA FUNZIONA</t>
  </si>
  <si>
    <t>547314/C</t>
  </si>
  <si>
    <t xml:space="preserve">Nessuna anomalia riscontrata.Effettuato allineamento sala controllo. </t>
  </si>
  <si>
    <t>536183/C</t>
  </si>
  <si>
    <t>2600-XV1135 RIMONTAGGIO VALVOLA</t>
  </si>
  <si>
    <t>ESEGUITO RIMONTAGGIO</t>
  </si>
  <si>
    <t>532009/C</t>
  </si>
  <si>
    <t>2600 - 2600PCV953 serraggio premi treccia</t>
  </si>
  <si>
    <t>528688/C</t>
  </si>
  <si>
    <t>2000 - SG101 ASSISTENZA AVVIAMENTO CALDAIA</t>
  </si>
  <si>
    <t>527600/C</t>
  </si>
  <si>
    <t>2600 - PCV 953 rimontaggio valvola ed allineamento con sala controllo</t>
  </si>
  <si>
    <t>VALVOLA MONTATA, ALLINEATA CON SALA CONTROLLO.</t>
  </si>
  <si>
    <t>524988/C</t>
  </si>
  <si>
    <t>2600 - X754V smontaggio rimontaggio Valvola + controllo funzionale ed allineamento con sala controllo</t>
  </si>
  <si>
    <t>VALVOLA MONTATA DOPO REVISIONE IN CANTIERE</t>
  </si>
  <si>
    <t>GARRO L. / GARRO S.</t>
  </si>
  <si>
    <t>520386/C</t>
  </si>
  <si>
    <t xml:space="preserve">ASSISTENZA STRUMENTALE DITTA DE PRETTO </t>
  </si>
  <si>
    <t>522324/C</t>
  </si>
  <si>
    <t xml:space="preserve">2000A  - P701CV Smontaggio /Rimontaggio bonnet valvola per pulizia gabbia + controllo funzionale ed allineamento con sala controllo </t>
  </si>
  <si>
    <t>ESEGUITA PULIZIA GABBIA</t>
  </si>
  <si>
    <t>521628/C</t>
  </si>
  <si>
    <t>2000-PLC 1004 controllo funzionale pressostato ed allineamento con sala controllo</t>
  </si>
  <si>
    <t>521544/C</t>
  </si>
  <si>
    <t>assistenza strumentisti per posizionamento strumento a ultrasuoni su linea acqua a TK140</t>
  </si>
  <si>
    <t>519017/C</t>
  </si>
  <si>
    <t>2600 X751V smontaggio rimontaggio Valvola + controllo funzionale ed allineamento con sala controllo</t>
  </si>
  <si>
    <t>515908/C</t>
  </si>
  <si>
    <t>STG 102 RICOLL/ALL STRUMENTAZIONE</t>
  </si>
  <si>
    <t>511406/C</t>
  </si>
  <si>
    <t>AREA CTE (IMP. 2000-2000A-2300-2600) assistenza strumentale.</t>
  </si>
  <si>
    <t>513197/C</t>
  </si>
  <si>
    <t>campionatore EMN/4</t>
  </si>
  <si>
    <t>517890/C</t>
  </si>
  <si>
    <t xml:space="preserve">2600X-1-X990V  Controllo funzionale  valvola  ed allineamento con sala controllo </t>
  </si>
  <si>
    <t>517894/C</t>
  </si>
  <si>
    <t xml:space="preserve">2600X-1-X753V  Smontaggio Rimontaggio  valvola XV e montaggio rimontaggio valvola manuale + movimentazione +controllo funzionale ed allineamento con sala controllo </t>
  </si>
  <si>
    <t>MOLLA GUASTA. SOSTITUITA</t>
  </si>
  <si>
    <t>518607/C</t>
  </si>
  <si>
    <t>SOSTITUZIONE SONDA VIBRAZIONI TG</t>
  </si>
  <si>
    <t>518606/C</t>
  </si>
  <si>
    <t>SOSTITUZIONE RILEVATORE DI FIAMMA TG</t>
  </si>
  <si>
    <t>518595/C</t>
  </si>
  <si>
    <t>SOSTITUZIONE TERMOCOPPIE SCARICO TURBOGAS (TTXD1-4/6/8/10//12/14</t>
  </si>
  <si>
    <t>518562/C</t>
  </si>
  <si>
    <t>allineamento strumenti e valvola tramite PLC e sala controllo, attivit in assisstenza ad Automation service</t>
  </si>
  <si>
    <t>518496/C</t>
  </si>
  <si>
    <t>2000A ASSISTENZA STRUMENTALE ATTIVITA SU TURBOGAS  (Vedi Allegato)</t>
  </si>
  <si>
    <t>535315/C</t>
  </si>
  <si>
    <t>2600 - PCV 953 SMONTAGGIO/RIMONTAGGIO PER REVISIONE VALVOLA</t>
  </si>
  <si>
    <t>VALVOLA SMONTATA E PORTATA IN OFFICINA SEDE</t>
  </si>
  <si>
    <t>CIANCHINO/GIGLIUTO</t>
  </si>
  <si>
    <t>536461/C</t>
  </si>
  <si>
    <t xml:space="preserve">2600 - XV914 Smontaggio /Rimontaggio  valvola + smontaggio/rimontaggio valvola  manuale , movimentazione + controllo funzionale ed allineamento con sala controllo </t>
  </si>
  <si>
    <t xml:space="preserve">odc dedicato: 5400253751 </t>
  </si>
  <si>
    <t>549306/C</t>
  </si>
  <si>
    <t>2000 - SG102 assistenza strumentale</t>
  </si>
  <si>
    <t>545401/C</t>
  </si>
  <si>
    <t>2000A TDE 001T VM15-1 (TIC 001 TEMPERATURA USCITA E201) BLOCCAGGIO MECCANICO STELO E SUCCESSIVO SMONTAGGIO/RIMONTAGGIO RIDUTTORE PER REVISIONE DELLO STESSO</t>
  </si>
  <si>
    <t>540767/C</t>
  </si>
  <si>
    <t xml:space="preserve">2000A-0-TurboGas ( comparto olio ) sostituzione MOOG PM1;PM2;PM3;PM4;VSR1  + controllo funzionale valvole ed allineamento con sala controllo </t>
  </si>
  <si>
    <t>540740/C</t>
  </si>
  <si>
    <t xml:space="preserve">2000A-0-P701CV Smontaggio /Rimontaggio bonnet valvola per pulizia gabbia + controllo funzionale ed allineamento con sala controllo </t>
  </si>
  <si>
    <t>ODC DEDICATO: 5400256149 PROGRAMMATO TCL TGO DAL 23 AL 27/06</t>
  </si>
  <si>
    <t>545751/C</t>
  </si>
  <si>
    <t>10227902  PONTILE CONTROLLO LIVELLI SLOOP PIATTAFORMA 1 LT102A</t>
  </si>
  <si>
    <t>livello radar: l'alimentazione si scollega a causa delle alte temperature. È necessario un intervento dei meccanici per la pulizia del tubo di calma</t>
  </si>
  <si>
    <t>539429/C</t>
  </si>
  <si>
    <t>Verifica funzionalità livellostato L609HA</t>
  </si>
  <si>
    <t>533533/C</t>
  </si>
  <si>
    <t xml:space="preserve">apertura cassetta ADF per sostituzione scheda PLC a cura Automation Service e successiva chiusura cassetta </t>
  </si>
  <si>
    <t>533928/C</t>
  </si>
  <si>
    <t>Controllo e ripristino funzionalit valvola</t>
  </si>
  <si>
    <t>537441/C</t>
  </si>
  <si>
    <t>Revisione attuatore pneumatico XV BR41</t>
  </si>
  <si>
    <t>538843/C</t>
  </si>
  <si>
    <t>messa in servizio valvola regolatrice  PCV-008_A + collegamento barilotto aria strumentale</t>
  </si>
  <si>
    <t>313874/S</t>
  </si>
  <si>
    <t>BLENDING - Ripristino gruppo manometrico mandata pompa P320B</t>
  </si>
  <si>
    <t>312614/S</t>
  </si>
  <si>
    <t>BLENDING - verifica e ripristino funzionalità attuatore pneumatico sfioro P603B</t>
  </si>
  <si>
    <t>CONTROLLO VALVOLA NON ESEGUITO PER POMPA IN MARCIA</t>
  </si>
  <si>
    <t>531750/C</t>
  </si>
  <si>
    <t>BLENDING - S702 : Controllo funzionalita' valvola controllo temperatura TCV-702</t>
  </si>
  <si>
    <t>533743/C</t>
  </si>
  <si>
    <t xml:space="preserve">PONTILE  - Taratura pressostati pompe MP102-MP110-MP201-MP101A-DP101B-DP101S in S.P. Antincendio Pontile come da elenco allegato </t>
  </si>
  <si>
    <t>312611/S</t>
  </si>
  <si>
    <t>BLENDING - verifica e ripristino funzionalità attuatore pneumatico sfioro P605</t>
  </si>
  <si>
    <t>SOSTITUITO IP CONVERTER, FILTRO RIDUTTORE E MANOMETRI POSIZIONATORE RIPRISTINANDO LA FUNZIONALITA'</t>
  </si>
  <si>
    <t>534679/C</t>
  </si>
  <si>
    <t>BLENDING - Controllo termocoppia T2001IC presso gli scambiatori E201</t>
  </si>
  <si>
    <t xml:space="preserve">NON ARRIVA AL DCS </t>
  </si>
  <si>
    <t>534576/C</t>
  </si>
  <si>
    <t>BLENDING - Ricerca guasto e ripristino funzionalita' valvola di blocco braccio di carico lato monte BR301 + verifica funzionalita' E.V. aria strumenti</t>
  </si>
  <si>
    <t>RIPRISTINATO FINECORSA E COLLEGAMENTI</t>
  </si>
  <si>
    <t>RICIPUTO/PARTESANO</t>
  </si>
  <si>
    <t>534568/C</t>
  </si>
  <si>
    <t xml:space="preserve">BLENDING - ripristino sistema di gorgogliamento braccio di carico lato mare BR302-B </t>
  </si>
  <si>
    <t>SOSTITUITA ELETTROVALVOLA GUASTA</t>
  </si>
  <si>
    <t>533749/C</t>
  </si>
  <si>
    <t>ANTICENDIO - DP1003-B/C e MP1003-A/D Taratura pressostati pompe antincendio Raffineria come da elenco allegato</t>
  </si>
  <si>
    <t>526508/C</t>
  </si>
  <si>
    <t>ARCOM - montaggio e collegamento celle di carico Bilico Portineria ATB</t>
  </si>
  <si>
    <t>533286/C</t>
  </si>
  <si>
    <t xml:space="preserve">ANTICENDIO - Modifica taratura del pressostato di avviamento per bassa pressione del motore Diesel antincendio Raffineria da 22 bar </t>
  </si>
  <si>
    <t>533199/C</t>
  </si>
  <si>
    <t>BLENDING - ripristino sonda antitrabocco BR22</t>
  </si>
  <si>
    <t>532510/C</t>
  </si>
  <si>
    <t>BLENDING - Assistenza strumentale per manutenzione Flexi Mix Rampa 6</t>
  </si>
  <si>
    <t>532211/C</t>
  </si>
  <si>
    <t>PONTILE</t>
  </si>
  <si>
    <t>PONTILE - verifica e ripristino funzionalita'  trasmettitore di livello barilotto slop</t>
  </si>
  <si>
    <t>531796/C</t>
  </si>
  <si>
    <t>BLENDING - EMERGENZA 6500 CVT RAMBA 4 RICERCA GUASTO</t>
  </si>
  <si>
    <t>531742/C</t>
  </si>
  <si>
    <t>BLENDING - controllo loop di regolazione valvole (non si muovono)</t>
  </si>
  <si>
    <t>531401/C</t>
  </si>
  <si>
    <t>Controllo livellostati rilevamento perdite sovrappasso lato Pontile + drenaggio barilotto</t>
  </si>
  <si>
    <t>530921/C</t>
  </si>
  <si>
    <t>CVT</t>
  </si>
  <si>
    <t xml:space="preserve">CVT - Rampa 6 : revisione E.V. della  valvola di radice del Braccio 64 </t>
  </si>
  <si>
    <t>530919/C</t>
  </si>
  <si>
    <t xml:space="preserve">CVT - Rampa 2 : revisione E.V. delle  valvole di radice dei Bracci 23 - 24 - 26 </t>
  </si>
  <si>
    <t>531394/C</t>
  </si>
  <si>
    <t>Controllo livellostati rilevamento perdite sovrappasso lato raffineria + drenaggio barilotto (LSH_01 - LSH_02 - LSH_03 - LSH_021 - LSH_023 - LSH_024 - LSH_025 - LSH_026 - LSH_029 - LSH_031 - LSH_032 - LSH_040)</t>
  </si>
  <si>
    <t>530241/C</t>
  </si>
  <si>
    <t>BLENDING - Verifica taratura trasmettitore di portata F6023RC e allineamento con sala controllo</t>
  </si>
  <si>
    <t>530240/C</t>
  </si>
  <si>
    <t>BLENDING - Verifica taratura trasmettitore di portata F6022RC e allineamento con sala controllo</t>
  </si>
  <si>
    <t>530239/C</t>
  </si>
  <si>
    <t>Verifica taratura trasmettitore di portata F6021RC e allineamento con sala controllo</t>
  </si>
  <si>
    <t>530236/C</t>
  </si>
  <si>
    <t>Verifica taratura trasmettitore di portata F6020RC e allineamento con sala controllo</t>
  </si>
  <si>
    <t>529945/C</t>
  </si>
  <si>
    <t>BLENDING - ripristino o sostituzione manichetta in gomma aria strumenti braccio di carico lato mare BR302-B</t>
  </si>
  <si>
    <t>528588/C</t>
  </si>
  <si>
    <t>ricerca guasto e ripristino funzionalit loop di regolazione termocoppia T215IC e valvola TCV-215</t>
  </si>
  <si>
    <t>530514/C</t>
  </si>
  <si>
    <t xml:space="preserve">CVT - Controllo funzionalità di tutte le valvole di radice dei bracci di carico di Rampa 1-2-3-4-5-6-7 </t>
  </si>
  <si>
    <t>312184/S</t>
  </si>
  <si>
    <t>BLENDING - Ripristinare innesto aria strumenti su valvola regolatrice STREAM F5002 (BLENDING BENZINA - STREAM MTBE/IC6)</t>
  </si>
  <si>
    <t>530229/C</t>
  </si>
  <si>
    <t>PONTILE - Ripristino E.V. del motorino di avviamento del Diesel DP101S</t>
  </si>
  <si>
    <t>530132/C</t>
  </si>
  <si>
    <t xml:space="preserve">BLENDING - ripristino sistema di gorgogliamento braccio di carico lato mare BR302-B + verifica funzionalit E.V. aria strumenti </t>
  </si>
  <si>
    <t>528414/C</t>
  </si>
  <si>
    <t>PONTILE - messa in servizio valvola regolatrice  PCV-008_A + collegamento barilotto aria strumentale</t>
  </si>
  <si>
    <t>528044/C</t>
  </si>
  <si>
    <t>controllo e ripristino funzionalita' loop di regolazione polmonazione azoto scarico a Blow Down</t>
  </si>
  <si>
    <t>LE VALVOLE DI AZOTO, INGRESSO E USCITA FUNZIONANO REGOLARMENTE. LA VALVOLA DI INGRESSO, NONOSTANTE SIA COMPLETAMENTE CHIUSA, TRAFILA. SI CONSIGLIA LA REVISIONE.</t>
  </si>
  <si>
    <t>527191/C</t>
  </si>
  <si>
    <t>PONTILE - ripristino trasmettitore di livello impianto MISE - Radice Pontile</t>
  </si>
  <si>
    <t>SOSTITUITO TX DI LIVELLO, SOSTITUITI TIRANTI SULLA FLANGIA.</t>
  </si>
  <si>
    <t>310765/S</t>
  </si>
  <si>
    <t>BLENDING - Controllo e ripristino funzionalità (presso scambiatore E201)</t>
  </si>
  <si>
    <t>310504/S</t>
  </si>
  <si>
    <t>BLENDING - ripristino funzionalità lettore di Badge</t>
  </si>
  <si>
    <t>310218/S</t>
  </si>
  <si>
    <t>1300 - Controllo taratura e ripristino funzionalità F265B_T</t>
  </si>
  <si>
    <t>310219/S</t>
  </si>
  <si>
    <t>1300 - Controllo taratura e ripristino funzionalità F265A_T</t>
  </si>
  <si>
    <t>524799/C</t>
  </si>
  <si>
    <t>BLENDING - Controllo e ripristino funzionalit trasmettitore di portata e dosatore pompetta additivo P1141-D</t>
  </si>
  <si>
    <t>310190/S</t>
  </si>
  <si>
    <t>ARCOM - Smontaggio piastre inferiori, sede di appoggio, celle di carico bilico ATB</t>
  </si>
  <si>
    <t>310187/S</t>
  </si>
  <si>
    <t>BLENDING - Controllo regolatore scarico salamoia FIL 104</t>
  </si>
  <si>
    <t>310186/S</t>
  </si>
  <si>
    <t>BLENDING - Controllo regolatore scarico salamoia FIL 103</t>
  </si>
  <si>
    <t>310184/S</t>
  </si>
  <si>
    <t>BLENDING - Controllo regolatore scarico salamoia FIL 102</t>
  </si>
  <si>
    <t>524060/C</t>
  </si>
  <si>
    <t>CVT - Verifica Taratura Sistema di additivazione Flexi Mix</t>
  </si>
  <si>
    <t>309924/S</t>
  </si>
  <si>
    <t>1300 - ripristino o sostituzione manichetta in gomma aria strumenti braccio di carico lato mare BR302-B</t>
  </si>
  <si>
    <t>309999/S</t>
  </si>
  <si>
    <t>CVT - Ripristino pressacavo della sonda anti trabocco BR44</t>
  </si>
  <si>
    <t>310020/S</t>
  </si>
  <si>
    <t>CVT - Controllo funzionalità livello serbatoio cherosene LT- 604-D-821</t>
  </si>
  <si>
    <t>310018/S</t>
  </si>
  <si>
    <t>BLENDING - Verifica funzionalità loop automatismo pompa e livello L914SH - tronchetti fiscali</t>
  </si>
  <si>
    <t>524175/C</t>
  </si>
  <si>
    <t>BLENDING - revisione valvola di radice (perde gasolio)</t>
  </si>
  <si>
    <t>522519/C</t>
  </si>
  <si>
    <t>ANTICENDIO</t>
  </si>
  <si>
    <t>524058/C</t>
  </si>
  <si>
    <t>CVT - Verifica taratura Flexi Mix IB1 additivo ROSSO su BR45</t>
  </si>
  <si>
    <t>523716/C</t>
  </si>
  <si>
    <t>ripristino funzionalit Flexi Mix  (Braccio12) - pulizia E.V.</t>
  </si>
  <si>
    <t>523342/C</t>
  </si>
  <si>
    <t xml:space="preserve">Ripristino funzionalit valvola di polmonazione azoto scarico a Blow Down </t>
  </si>
  <si>
    <t>309652/S</t>
  </si>
  <si>
    <t>Ripristino funzionalità lettore di badge</t>
  </si>
  <si>
    <t>523104/C</t>
  </si>
  <si>
    <t>sostituzione cavo Civacon</t>
  </si>
  <si>
    <t>309538/S</t>
  </si>
  <si>
    <t>Controllo taratura pressostati barilotti aria dei compressori C1 e C2 Diesel Pontile</t>
  </si>
  <si>
    <t>ESEGUITI TUTTI I CONTROLLI.</t>
  </si>
  <si>
    <t>RICIPUTO A.</t>
  </si>
  <si>
    <t>522513/C</t>
  </si>
  <si>
    <t>ANTICENDIO - Taratura pressostati pompe MP102-MP110-MP201-MP101A-DP101B-DP101S in S.P. Antincendio Pontile</t>
  </si>
  <si>
    <t>309194/S</t>
  </si>
  <si>
    <t>BLENDING - Controllo funzionalità pressostati differenziali (Filtri Pompe)</t>
  </si>
  <si>
    <t>309196/S</t>
  </si>
  <si>
    <t>RICIPUTO/RIZZA</t>
  </si>
  <si>
    <t>309192/S</t>
  </si>
  <si>
    <t>BLENDING - Controllo e ripristino funzionalità DP FT2 del Filtro FIL 605 - FT12_A-B-C</t>
  </si>
  <si>
    <t>516606/C</t>
  </si>
  <si>
    <t>PONTILE - Sostituzione trasmettitore contalitri presso Impianto MISE in Area PMP (messa in sicurezza a cura esecutore)</t>
  </si>
  <si>
    <t>313705/S</t>
  </si>
  <si>
    <t>BLENDING - Controllo funzionalità DP_004_I installato su filtri a carbone attivi del serbatoio S417 (Jet-fuel)</t>
  </si>
  <si>
    <t>535221/C</t>
  </si>
  <si>
    <t xml:space="preserve">BLENDING - MP120 A-B-C + MP121 verifica funzionalità livellostati di allarme perdita tenute </t>
  </si>
  <si>
    <t>530658/C</t>
  </si>
  <si>
    <t xml:space="preserve">BLENDING - controllo funzionalità PT 607 + ripristino gruppo manometrico </t>
  </si>
  <si>
    <t>GRUPPO MANOMETRICO RIPRISTINATO, DA MONTARE IN CAMPO.</t>
  </si>
  <si>
    <t>535213/C</t>
  </si>
  <si>
    <t>BLENDING - Ripristino funzionalita' SOV6 VRU</t>
  </si>
  <si>
    <t>SMTG ATTUATORE PER RIPRISTINO ORING DI TENUTA</t>
  </si>
  <si>
    <t>533473/C</t>
  </si>
  <si>
    <t>ANTICENDIO - Taratura pressostati Sala Pompe AI radice pontile, come da elenco allegato + sostituzione se guasti</t>
  </si>
  <si>
    <t>536498/C</t>
  </si>
  <si>
    <t>CVT - RIPRISTINO CIVACON</t>
  </si>
  <si>
    <t>536722/C</t>
  </si>
  <si>
    <t>BLENDING - controllo funzionalit PI001 - OL 7</t>
  </si>
  <si>
    <t>536720/C</t>
  </si>
  <si>
    <t>BLENDING - controllo funzionalit PI002 - OL6A</t>
  </si>
  <si>
    <t>314452/S</t>
  </si>
  <si>
    <t>2200 BD - Installazione rilevatore portatile di ossigeno X-Zone 5500 (Torretta) su presa in aspirazione linea di azoto 8" BD66 (PROCESS AREA 3)</t>
  </si>
  <si>
    <t>538283/C</t>
  </si>
  <si>
    <t>CVT - Controllo e ripristino funzionalità valvola di radice XV del BR 53</t>
  </si>
  <si>
    <t>538281/C</t>
  </si>
  <si>
    <t>CVT - Controllo e ripristino funzionalit valvola di radice XV del BR 43</t>
  </si>
  <si>
    <t>538769/C</t>
  </si>
  <si>
    <t>BLENDING - Controllo e ripristino funzionalit TI-492</t>
  </si>
  <si>
    <t>538855/C</t>
  </si>
  <si>
    <t>BLENDING - Verifica funzionalità livellostato L102HA</t>
  </si>
  <si>
    <t>538820/C</t>
  </si>
  <si>
    <t>BLENDING - Verifica funzionalità livellostato L101HA</t>
  </si>
  <si>
    <t>538858/C</t>
  </si>
  <si>
    <t>BLENDING - Verifica funzionalità livellostato L103HA</t>
  </si>
  <si>
    <t>538870/C</t>
  </si>
  <si>
    <t>BLENDING - Verifica funzionalità livellostato L106HA</t>
  </si>
  <si>
    <t>538877/C</t>
  </si>
  <si>
    <t>BLENDING - Verifica funzionalità livellostato L109HA</t>
  </si>
  <si>
    <t>538876/C</t>
  </si>
  <si>
    <t>BLENDING - Verifica funzionalità livellostato L108HA</t>
  </si>
  <si>
    <t>539263/C</t>
  </si>
  <si>
    <t>Verifica funzionalità livellostato L601HA</t>
  </si>
  <si>
    <t>539425/C</t>
  </si>
  <si>
    <t>Verifica funzionalità livellostato L608HA</t>
  </si>
  <si>
    <t>539286/C</t>
  </si>
  <si>
    <t>Verifica funzionalità livellostato L607HA</t>
  </si>
  <si>
    <t>543263/C</t>
  </si>
  <si>
    <t xml:space="preserve">ricerca guasto a ripristino funzionalita' CIVACON </t>
  </si>
  <si>
    <t>542972/C</t>
  </si>
  <si>
    <t>Ripristino dp filtro 103-PdAH 103 filtri sale</t>
  </si>
  <si>
    <t>538861/C</t>
  </si>
  <si>
    <t>BLENDING - Verifica funzionalità livellostato L104HA</t>
  </si>
  <si>
    <t>543008/C</t>
  </si>
  <si>
    <t>Controllo e ripristino livellostato D106 filtri sale</t>
  </si>
  <si>
    <t>545460/C</t>
  </si>
  <si>
    <t>Blend</t>
  </si>
  <si>
    <t>SALA POMPE ADDITIVI P1141B  RIPRISTINO FUNZIONALITA FINE CORSA XV 33A(MAN GASOLIO 2)</t>
  </si>
  <si>
    <t>545458/C</t>
  </si>
  <si>
    <t>SALA POMPE ADDITIVI P1141A RIPRISTINO FUNZIONALITA FINE CORSA XV 28A(MAN GASOLIO2) XV29A(MANDATA GASOLIO 1)</t>
  </si>
  <si>
    <t>546291/C</t>
  </si>
  <si>
    <t>verifica funzionalta' pressostato della pompa P404 + ripristino gruppo manometrico</t>
  </si>
  <si>
    <t>317893/S</t>
  </si>
  <si>
    <t>549371/C</t>
  </si>
  <si>
    <t>Taratura pressostati Sala Pompe AI radice pontile, come da elenco allegato + sostituzione se guasti</t>
  </si>
  <si>
    <t>549465/C</t>
  </si>
  <si>
    <t>Ripristino guasto programmatore carico Braccio TL301B</t>
  </si>
  <si>
    <t>549587/C</t>
  </si>
  <si>
    <t>Taratura pressostati pompe antincendio Raffineria come da elenco allegato + sostituzione se guasti</t>
  </si>
  <si>
    <t>549300/C</t>
  </si>
  <si>
    <t>Pontile   VRU Ptf.6 - Linea tra filtri e rompifiamma scollegamento/ricollegamento della strumentazione.</t>
  </si>
  <si>
    <t>318038/S</t>
  </si>
  <si>
    <t xml:space="preserve">Controllo taratura pressostati barilotti aria dei compressori C1 e C2 Diesel Raffineria
</t>
  </si>
  <si>
    <t>549357/C</t>
  </si>
  <si>
    <t>Controllo, ingrassaggio e ripristino funzionale valvola XV01-6 in PTF 6 (bloccata)</t>
  </si>
  <si>
    <t>549943/C</t>
  </si>
  <si>
    <t>Ripristino funzionamento regolatrice blender dello stream F5002 (MTBE/IC6) sul blending benzina (non si apre)</t>
  </si>
  <si>
    <t>318240/S</t>
  </si>
  <si>
    <t>BR 54 ripristino perdita di aria da filtro riduttore su XV di radice</t>
  </si>
  <si>
    <t>551310/C</t>
  </si>
  <si>
    <t>RIPRISTINO GRUPPO MANOMETRICO MANDATA P402/B</t>
  </si>
  <si>
    <t>SMONTAGGIO VECCHIO GRUPPO , RIFACIMENTO IN CANTIERE NUOVO GRUPPO + CONTROLLO PRESSOSTATO E SOSTITUZIONE 4 VALVOLE , TUNING , E MANOMETRO CON GLICERINA , SOSTITUZIONE CAVALLOTTI DI FISSAGGIO . INSERITO E CONSEGNATO CON CHIUSURA PERMESSO.</t>
  </si>
  <si>
    <t>551570/C</t>
  </si>
  <si>
    <t xml:space="preserve">Ripristino funzionalit Civacon - controllo sonda n. 3 </t>
  </si>
  <si>
    <t>RIPRISTINATA FUNZIONALITÀ CIVACON.</t>
  </si>
  <si>
    <t>550440/C</t>
  </si>
  <si>
    <t>Verifica annuale di funzionalita' dei Differenziali di Pressione dei filtri a cestello di tutti i Bracci di carico</t>
  </si>
  <si>
    <t>ESEGUITE VERIFICHE DELTAP RAMPA 1 RAMPA 2</t>
  </si>
  <si>
    <t>551695/C</t>
  </si>
  <si>
    <t>Ricerca e ripristino guasto su testata Vega BR 41 + sostituzione barriera in cassetta ADF</t>
  </si>
  <si>
    <t>RESETTATA EPROM ISOIL</t>
  </si>
  <si>
    <t>551676/C</t>
  </si>
  <si>
    <t>Sostituzione trasmettitore di livello Krohne L610_B</t>
  </si>
  <si>
    <t>INSTALLATO NUOVO TX</t>
  </si>
  <si>
    <t>551810/C</t>
  </si>
  <si>
    <t>verifica e ripristino funzionalit pressostato</t>
  </si>
  <si>
    <t>APERTA VALVOLA INTERCETTO PRESSOSTATO.</t>
  </si>
  <si>
    <t>552940/C</t>
  </si>
  <si>
    <t>Controllo funzionalita' PRESSOSTATO P311 e ripristino staffaggio</t>
  </si>
  <si>
    <t>554371/C</t>
  </si>
  <si>
    <t>VERIFICA MISURATORE DI PRESSIONE 201C_LA (IN SP5 SULLA P201C)</t>
  </si>
  <si>
    <t>SOSTITUITO PRESSOSTATO, TARATO 4 BAR ↓</t>
  </si>
  <si>
    <t>554892/C</t>
  </si>
  <si>
    <t>Verifica e ripristino funzionalit P623T trasmettitore di pressione sigaro S623</t>
  </si>
  <si>
    <t>CONTROLLO FUNZIONALE TX DI PRESSIONE, AZZERAMENTO, CONTROLLO DI TARATURA_OK 0-16BAR. IL TX ATTUALMENTE SEGNA 2.5 BAR PERCHE' SIGARO FLUSSATO CON AZOTO.</t>
  </si>
  <si>
    <t>554593/C</t>
  </si>
  <si>
    <t>FT portata acqua skid filtrazione SLOP S-907</t>
  </si>
  <si>
    <t>SOSTITUITO DISPLAY GUASTO SU TX DI PORTATA.</t>
  </si>
  <si>
    <t>553880/C</t>
  </si>
  <si>
    <t>VERIFICA LOOP DI REGOLAZIONE SU BL. BENZINA STREA PWF  (F5003_IC)</t>
  </si>
  <si>
    <t>LA VALVOLA PNEUMATICA E' UNA CAMFLEX CHE NON VA IN CHIUSURA E LASCIA TRAFILARE UN PO DI PORTATA. ESEGUITA PRECARICA PER CERCARE DI ASSOTTIGLIARE LA CHIUSURA. E' STATO COMUNICATO AD ESE CHE TIENE LA REGOLAZIONE SOTTOCONTROLLO.</t>
  </si>
  <si>
    <t>555453/C</t>
  </si>
  <si>
    <t>sostituzione pressostato P201A_LA</t>
  </si>
  <si>
    <t>SOSTITUITO PRESSOSTATO, TARATO 4 BAR↓ COME DA INDICAZIONI TCL MESSINA</t>
  </si>
  <si>
    <t>555454/C</t>
  </si>
  <si>
    <t>sostituzione pressostato P201B_LA</t>
  </si>
  <si>
    <t>555772/C</t>
  </si>
  <si>
    <t>RIPRISTINO PCV6001 E VERIFICA FUNZIONALITA' MISURATORE DI PORTATA F6001, BLENDING BENZINA 2, STREAM C4</t>
  </si>
  <si>
    <t>555775/C</t>
  </si>
  <si>
    <t>RIPRISTINO PCV5001 ED FCV5001 STREAM NC5</t>
  </si>
  <si>
    <t>555778/C</t>
  </si>
  <si>
    <t>RIPRISTINO FUNZIONALITA' F3003 BLEND GASOLIO 1 STREAM GOL DES</t>
  </si>
  <si>
    <t>555780/C</t>
  </si>
  <si>
    <t>RIPRISTINO FUNZIONALITA' F4002 BLEND GASOLIO 1 STREAM KEL DES</t>
  </si>
  <si>
    <t>555784/C</t>
  </si>
  <si>
    <t>RIPRISTINO PCV5503 E VERIFICA FUNZIONALITA'  MISURATORE DI PORTATA F5503, ENTRABI INSTALLATE PRESSO SP1, BLENDING BENZINA 2, STREAMLVN</t>
  </si>
  <si>
    <t>319062/S</t>
  </si>
  <si>
    <t>VRU Aereon</t>
  </si>
  <si>
    <t xml:space="preserve">Verifica calibrazione rilevatore </t>
  </si>
  <si>
    <t>548717/C</t>
  </si>
  <si>
    <t>BLENDING CVT  RAMPA 6 :  BR65 JET FUEL LA XV NON SI APRE</t>
  </si>
  <si>
    <t>547593/C</t>
  </si>
  <si>
    <t>Scollegamento strumentale E.V. e posizionatore della Valvola PIC 01-06 VRU PTF 6</t>
  </si>
  <si>
    <t>547430/C</t>
  </si>
  <si>
    <t>Ricerca guasto e ripristino funzionalit Braccio 71</t>
  </si>
  <si>
    <t>547341/C</t>
  </si>
  <si>
    <t>PTF6 : verifica funzionalit 801-P02-6DP</t>
  </si>
  <si>
    <t>317310/S</t>
  </si>
  <si>
    <t>controllo funzionalità livello LD102A barilotto slop</t>
  </si>
  <si>
    <t>546919/C</t>
  </si>
  <si>
    <t xml:space="preserve">Ripristino funzionalita' valvola </t>
  </si>
  <si>
    <t>545624/C</t>
  </si>
  <si>
    <t>SALA POMPE ADDITIVI P1141E/F SMONTAGGIO /MONTAGGIO PER REVISIONE SERVOMOTORE XV47  XV48  XV49  XV50</t>
  </si>
  <si>
    <t>544767/C</t>
  </si>
  <si>
    <t xml:space="preserve">Ripristino funzionalita' lettore di badge Rampa 1 GPL </t>
  </si>
  <si>
    <t>543000/C</t>
  </si>
  <si>
    <t>Ripristino F105 mis. di portata filtri sale</t>
  </si>
  <si>
    <t>542503/C</t>
  </si>
  <si>
    <t>540938/C</t>
  </si>
  <si>
    <t xml:space="preserve">Ripristino funzionalita' lettore di badge </t>
  </si>
  <si>
    <t>537528/C</t>
  </si>
  <si>
    <t>CVT - revisione valvola di radice (perde gasolio)</t>
  </si>
  <si>
    <t>314234/S</t>
  </si>
  <si>
    <t>PONTILE - Controllo funzionalità livellostati cut_in e cut_off MP112_A-B</t>
  </si>
  <si>
    <t>313873/S</t>
  </si>
  <si>
    <t>BLENDING - Ripristino gruppo manometrico mandata pompa P320A</t>
  </si>
  <si>
    <t>536715/C</t>
  </si>
  <si>
    <t>6000 - controllo funzionalit L119AH (D104 del F104)</t>
  </si>
  <si>
    <t>536714/C</t>
  </si>
  <si>
    <t>6000 - controllo funzionalit L118AH (D103 del F103)</t>
  </si>
  <si>
    <t>530662/C</t>
  </si>
  <si>
    <t xml:space="preserve">BLENDING - controllo funzionalit LI607 trasmettitore di livello Krohne a onde guidate </t>
  </si>
  <si>
    <t>537584/C</t>
  </si>
  <si>
    <t>Controllo e ripristino alimentazione Testata Vega BR41</t>
  </si>
  <si>
    <t>539271/C</t>
  </si>
  <si>
    <t>Verifica funzionalità livellostato L602HA</t>
  </si>
  <si>
    <t>539435/C</t>
  </si>
  <si>
    <t>Verifica funzionalità livellostato L613HA</t>
  </si>
  <si>
    <t>539273/C</t>
  </si>
  <si>
    <t>Verifica funzionalità livellostato L606HA</t>
  </si>
  <si>
    <t>315471/S</t>
  </si>
  <si>
    <t>Controllo funzionalità livelli vasca SP2</t>
  </si>
  <si>
    <t>542952/C</t>
  </si>
  <si>
    <t>Ripristino dp filtro 104-PdAH 104 filtri sale</t>
  </si>
  <si>
    <t>315689/S</t>
  </si>
  <si>
    <t>Ripristino pressostati in ASP P213/A+B PAL 64 E PAL65</t>
  </si>
  <si>
    <t>541944/C</t>
  </si>
  <si>
    <t>Controllo e ripristino valvola XV01-1 in PTF 1</t>
  </si>
  <si>
    <t>541924/C</t>
  </si>
  <si>
    <t>Verifica e ripristino funzionalita'  XV valvola di radice</t>
  </si>
  <si>
    <t>542712/C</t>
  </si>
  <si>
    <t>10226579 BLENDING  perdita importante di benzina dal BR 51  per verifica tenuta XV del medesimo braccio</t>
  </si>
  <si>
    <t>538881/C</t>
  </si>
  <si>
    <t>Verifica funzionalit livellostato L707HA</t>
  </si>
  <si>
    <t>541018/C</t>
  </si>
  <si>
    <t>Controllo funzionalita' di tutte le termocoppie e di tutti i trasmettitori di pressione del VRU</t>
  </si>
  <si>
    <t>315961/S</t>
  </si>
  <si>
    <t>Revisione in officina COEMI della valvola di blocco XV01-6 della PTF 6 (bloccata aperta)</t>
  </si>
  <si>
    <t>538233/C</t>
  </si>
  <si>
    <t>PONTILE - PTF5 : MP202A POMPA SLOP, CONTROLLARE AUTOMATISMO LA POMPA PARTE PER ALTO LIVELLO, MA NON SI FERMA PER BASSO - Ricerca guasto</t>
  </si>
  <si>
    <t>539431/C</t>
  </si>
  <si>
    <t>Verifica funzionalità livellostato L610HA</t>
  </si>
  <si>
    <t>539432/C</t>
  </si>
  <si>
    <t>Verifica funzionalità livellostato L611HA</t>
  </si>
  <si>
    <t>542986/C</t>
  </si>
  <si>
    <t>Ripristino dp filtro 102-PdAH 102 filtri sale</t>
  </si>
  <si>
    <t>543931/C</t>
  </si>
  <si>
    <t>Ricerca e ripristino guasto su testata Vega BR 31</t>
  </si>
  <si>
    <t>541092/C</t>
  </si>
  <si>
    <t>Controllo e ripristino valvola XV01-6 in PTF 6 (bloccata aperta)</t>
  </si>
  <si>
    <t>542988/C</t>
  </si>
  <si>
    <t>Ripristino dp filtro 101-PdAH 101 filtri sale</t>
  </si>
  <si>
    <t>543934/C</t>
  </si>
  <si>
    <t>Ricerca e ripristino guasto su testata Vega BR 41</t>
  </si>
  <si>
    <t>543004/C</t>
  </si>
  <si>
    <t>542992/C</t>
  </si>
  <si>
    <t>Ripristino F106 mis. di portata filtri sale</t>
  </si>
  <si>
    <t>544467/C</t>
  </si>
  <si>
    <t>Sostituzione trasmettitore conta-litri presso Impianto MISE in radice Pontile</t>
  </si>
  <si>
    <t>545461/C</t>
  </si>
  <si>
    <t>SALA POMPE ADDITIVI P1141C  RIPRISTINO FUNZIONALITA FINE CORSA XV 39A(MAN GASOLIO 2) XV38A(MAN GASOLIO 1)</t>
  </si>
  <si>
    <t>546973/C</t>
  </si>
  <si>
    <t>Controllo e ripristino funzionalit PAL 95 BASSA ASPIRAZIONE MP619/A</t>
  </si>
  <si>
    <t>547609/C</t>
  </si>
  <si>
    <t>Controllo funzionalita' e allineamento con Sala Controllo di tutta la strumentazione FT - TT - PIC - PT - XV del VRU AERON</t>
  </si>
  <si>
    <t>547625/C</t>
  </si>
  <si>
    <t>PTF6 - VRU : Controllo funzionalita' e allineamento con Sala Controllo di tutta la strumentazione FT - TT - PIC - PT - XV</t>
  </si>
  <si>
    <t>317311/S</t>
  </si>
  <si>
    <t>PTF6 : smontaggio livello LD103A barilotto slop per pulizia tubo di calma (a cura meccanici) e successivo montaggio</t>
  </si>
  <si>
    <t>SMONTATO EPROVATO IN CANTIERE STRUMENTO DI LIVELLO, TEST OK. RIMONTATO IN CAMPO, ESERCIZIO STA FACENDO LE PROVE</t>
  </si>
  <si>
    <t>547630/C</t>
  </si>
  <si>
    <t>PTF1 - VRU : Controllo funzionalita' e allineamento con Sala Controllo di tutta la strumentazione FT - TT - PIC - PT - XV</t>
  </si>
  <si>
    <t>318061/S</t>
  </si>
  <si>
    <t>ingrassaggio e movimentazione valvola XV01-1 in PTF 1</t>
  </si>
  <si>
    <t>318075/S</t>
  </si>
  <si>
    <t xml:space="preserve">Ripristino guasto (cavi di segnale interrotti) bilancia elettronica in Sala Additivi Blending 
</t>
  </si>
  <si>
    <t>550514/C</t>
  </si>
  <si>
    <t>Verifica taratura TX di livello Krohne S610 - S622</t>
  </si>
  <si>
    <t>550843/C</t>
  </si>
  <si>
    <t>Smontaggio revisione e rimontaggio valvola di blocco XV106B braccio zolfo liquido lato mare</t>
  </si>
  <si>
    <t>549964/C</t>
  </si>
  <si>
    <t>Ricerca guasto e ripristino funzionalita' valvola di blocco braccio di carico lato monte BR301 + verifica funzionalita' E.V. aria strumenti</t>
  </si>
  <si>
    <t>551827/C</t>
  </si>
  <si>
    <t>BASSO LIV.GRUPPO ELETTROGENO SP5  (L200_LA)</t>
  </si>
  <si>
    <t>318731/S</t>
  </si>
  <si>
    <t>Controllo funzionalità pressostati differenziali (Filtri Pompe)</t>
  </si>
  <si>
    <t>TAG 1 TX PRESSIONE DIFFERENZIALE OK TAG 2 TX PRESSIONE DIFFERENZIALE OK TAG 3 PRESSOSTATO DIFFERENZIALE TARATURA OK,ALLARME NON ARRIVA IN SALA CONTROLLO.</t>
  </si>
  <si>
    <t>551710/C</t>
  </si>
  <si>
    <t>SP5 Oleodotto 20" Neri : ripristino funzionalit TI100</t>
  </si>
  <si>
    <t>RICERCA GUASTO SU ALIMENTAZIONE E SOSTITUZIONE TX
HTTPS://MYASSETS.EMERSON.COM/IT-IT/DEVICES/DETAILS/GAAAAABO0_DIAL12JOYMWEONQCAUXHR6ZFKAWRWUOMZ3MSAXWPU21HHL31-J_LCMK59XA22R540RBU_B9TUXJGTVZE2SO6VYQG==/?Q=%2F01%2F0195074000640%2F21%2F23CLTD0002976%2F240%2F7DLYYBNLR</t>
  </si>
  <si>
    <t>318732/S</t>
  </si>
  <si>
    <t>552476/C</t>
  </si>
  <si>
    <t>VERIFICA STRUMENTAZIONE ALTA PRESSIONE MANDATA P512C (P512C_LA )</t>
  </si>
  <si>
    <t>552481/C</t>
  </si>
  <si>
    <t>VERIFICA ANOMALIA TENUTA MP618B (X618B_A )</t>
  </si>
  <si>
    <t>552473/C</t>
  </si>
  <si>
    <t xml:space="preserve">Controllo funzionalita' livello serbatoio cherosene </t>
  </si>
  <si>
    <t>552934/C</t>
  </si>
  <si>
    <t xml:space="preserve">Controllo funzionalita' PRESSOSTATO P 302/A e ripristino staffaggio </t>
  </si>
  <si>
    <t>553489/C</t>
  </si>
  <si>
    <t>Verifica Taratura Sistema di additivazione Flexi Mix</t>
  </si>
  <si>
    <t>553920/C</t>
  </si>
  <si>
    <t>VERIFICA STRUMENTAZIONE ALTA PRESSIONE MANDATA P512E (P512E_LA )</t>
  </si>
  <si>
    <t>554725/C</t>
  </si>
  <si>
    <t>controllo taratura e ripristino funzionalit pressostato circuito oleodinamico centralina Bracci PTF6 (cut-in cut-off pompa)</t>
  </si>
  <si>
    <t>TARATO PRESSOSATO COME DA SPECIFICA CONTATTO BASSO 80_BAR↓ E CONTATTO DI ALTA 110_BAR↑, IL DP DI RIPRISTINO E' 15 BAR.</t>
  </si>
  <si>
    <t>554355/C</t>
  </si>
  <si>
    <t>verifica e ripristino anomalia tenuta MP505A</t>
  </si>
  <si>
    <t>VERIFICATA SERIE TRA LIVELLOSTATO/PRESSOSTATO_OK. BISOGNA RIEMPIRE IL BARILOTTO PER TOGLIERE L'ALLARME A QUADRO</t>
  </si>
  <si>
    <t>319594/S</t>
  </si>
  <si>
    <t xml:space="preserve">Controllo taratura trasmettitore di portata vapore </t>
  </si>
  <si>
    <t>319595/S</t>
  </si>
  <si>
    <t>556007/C</t>
  </si>
  <si>
    <t>Controllo e ripristino funzionalit TT2 sez. condensazione VRU</t>
  </si>
  <si>
    <t>319631/S</t>
  </si>
  <si>
    <t>RIPRISTINO  ARIA STRUMENTI XV313/B</t>
  </si>
  <si>
    <t>SMONTATI DISTRIBUTORI PNEUMATICI DALLE 2 XV PER</t>
  </si>
  <si>
    <t>319632/S</t>
  </si>
  <si>
    <t>RIPRISTINO ARIA STRUMENTI XV313/A</t>
  </si>
  <si>
    <t>555767/C</t>
  </si>
  <si>
    <t>VRU. Ingrassaggio mensile XV01-1 PTF1 e XV01-6 PTF6</t>
  </si>
  <si>
    <t>526992/C</t>
  </si>
  <si>
    <t>PONTILE - Controllo e ripristino funzionalita' valvola regolatrice  (attualmente bloccata chiusa)</t>
  </si>
  <si>
    <t>VALVOLA DA REVISIONARE</t>
  </si>
  <si>
    <t>310296/S</t>
  </si>
  <si>
    <t>BLENDING - Controllo taratura e ripristino funzionalità FR-170</t>
  </si>
  <si>
    <t>NON SI TROVANO I LOOP.</t>
  </si>
  <si>
    <t>SCADUTO</t>
  </si>
  <si>
    <t>555852/C</t>
  </si>
  <si>
    <t>TA-25 4400-0-PDV029   Scollegamento / Ricollegamento accessori elettropneumatici valvola + controllo funzionale ed allineamento con sala controllo</t>
  </si>
  <si>
    <t>Barbagallo Giancarlo</t>
  </si>
  <si>
    <t>555865/C</t>
  </si>
  <si>
    <t>TA-25 4400-0-PV001A   Scollegamento / Ricollegamento accessori elettropneumatici valvola + controllo funzionale ed allineamento con sala controllo</t>
  </si>
  <si>
    <t>555869/C</t>
  </si>
  <si>
    <t>TA-25 4400-0-PV001B   Scollegamento / Ricollegamento accessori elettropneumatici valvola + controllo funzionale ed allineamento con sala controllo</t>
  </si>
  <si>
    <t>555874/C</t>
  </si>
  <si>
    <t>TA-25 4400-0-SDV003   Scollegamento / Ricollegamento accessori elettropneumatici valvola + controllo funzionale ed allineamento con sala controllo</t>
  </si>
  <si>
    <t>4400-0-SDV003</t>
  </si>
  <si>
    <t>555876/C</t>
  </si>
  <si>
    <t xml:space="preserve">TA-25  4400-0-SDV010  Controllo Funzionale  valvola  prima smontaggio per revisione </t>
  </si>
  <si>
    <t>4400-0-SDV010</t>
  </si>
  <si>
    <t>555879/C</t>
  </si>
  <si>
    <t xml:space="preserve">TA-25  4400-0-SDV003 Controllo Funzionale  valvola  prima smontaggio per revisione </t>
  </si>
  <si>
    <t>556326/C</t>
  </si>
  <si>
    <t xml:space="preserve">4200-0-ST101 Scollegamento / Ricollegamento TE 005;TE006;TE007 +  controllo funzionale ed allineamento con sala controllo per sostituzione TIP  Torcia Acida </t>
  </si>
  <si>
    <t>Emesso in attesa di apertura</t>
  </si>
  <si>
    <t>556565/C</t>
  </si>
  <si>
    <t xml:space="preserve">4200-0-PCV028 ; 4200-0-PCV029 ; 4200-0-PCV030  sostituzione valvole regolatrici di pressione </t>
  </si>
  <si>
    <t>556603/C</t>
  </si>
  <si>
    <t xml:space="preserve">4200-0-XV001 ; 4200-0-XV002 ;4200-0-XV003;4200-0-XV004 Smontaggio / Rimontaggio attuatore + prove funzionali valvole </t>
  </si>
  <si>
    <t>EMERGENZA</t>
  </si>
  <si>
    <t>Caldarella Ferdinando</t>
  </si>
  <si>
    <t>Blending Sud</t>
  </si>
  <si>
    <t>Messina Ivan</t>
  </si>
  <si>
    <t>canone</t>
  </si>
  <si>
    <t>Naselli Francesco</t>
  </si>
  <si>
    <t>Process Area 2</t>
  </si>
  <si>
    <t>Pontile-0-Rilevatori ambientali</t>
  </si>
  <si>
    <t>317585/S</t>
  </si>
  <si>
    <t>PRELIEVO MATERIALE IN MAGAZZINO CENTRALE IMP. SUD</t>
  </si>
  <si>
    <t>Magazzino-1-01AREA INTERNA</t>
  </si>
  <si>
    <t>Magazzino</t>
  </si>
  <si>
    <t>Magazzino Sud</t>
  </si>
  <si>
    <t>548575/C</t>
  </si>
  <si>
    <t>2100 SS150KV 352-B2 REITEGRO GAS SF6</t>
  </si>
  <si>
    <t>2100-1-AREAIMPIANTI</t>
  </si>
  <si>
    <t>UTILITIES (CTE/TAS)</t>
  </si>
  <si>
    <t>1800-1-CAB_EMISSIONI</t>
  </si>
  <si>
    <t>554656/C</t>
  </si>
  <si>
    <t>Costruzione e montaggio copertura DISPLAY del MISURATORE DI PORTATA SKID ACQUA A IMP.1400</t>
  </si>
  <si>
    <t>ARCOM-1-FT acqua skid filtrazione SLOP S-907</t>
  </si>
  <si>
    <t>555005/C</t>
  </si>
  <si>
    <t>S-712 : ripristino cavo interrotto di alimentazione e segnale del trasmettitore di livello LT 712</t>
  </si>
  <si>
    <t>BLEND-1-L712TI</t>
  </si>
  <si>
    <t>555530/C</t>
  </si>
  <si>
    <t>magazzino centrale imp. SUD ricerca guasto impianto elettrico messa in sicurezza a cura esecutore</t>
  </si>
  <si>
    <t>Aperto</t>
  </si>
  <si>
    <t>555786/C</t>
  </si>
  <si>
    <t>1000L107CV(H2O D102) SMONTAGGIO/MONTAGGIO VALVOLA PER STASATURA DELLA STESSA</t>
  </si>
  <si>
    <t>1000-1-L107RC</t>
  </si>
  <si>
    <t>555723/C</t>
  </si>
  <si>
    <t>Ripristino cassetto elettrico ME110 imp.500</t>
  </si>
  <si>
    <t>2100-C102-MCC_500_5B1-2-2G</t>
  </si>
  <si>
    <t>555713/C</t>
  </si>
  <si>
    <t>BLENDING sostituzione neon aria adiacente sala pompe3 MESSA IN SICUREZZA A CURA ESECUTORE</t>
  </si>
  <si>
    <t>Blend-6400X -SALA POMPE 3</t>
  </si>
  <si>
    <t>555886/C</t>
  </si>
  <si>
    <t>TA-25  4400-0-SDV002 Controllo Funzionale   (VALVOLA RIR)</t>
  </si>
  <si>
    <t>4400-0-SDV002</t>
  </si>
  <si>
    <t>555882/C</t>
  </si>
  <si>
    <t xml:space="preserve">TA-25  4400-0-SDV003  Controllo Funzionale  valvola  prima smontaggio per revisione </t>
  </si>
  <si>
    <t>555881/C</t>
  </si>
  <si>
    <t>TA-25 4400-0-SDV010  Scollegamento / Ricollegamento accessori elettropneumatici valvola + controllo funzionale ed allineamento con sala controllo</t>
  </si>
  <si>
    <t>1800-0-Rivelatori ambientali</t>
  </si>
  <si>
    <t>200-0-Rivelatori ambient.</t>
  </si>
  <si>
    <t>555697/C</t>
  </si>
  <si>
    <t xml:space="preserve">500ME110 SOSTITUZIONE MOTORE </t>
  </si>
  <si>
    <t>500-1-ME110</t>
  </si>
  <si>
    <t>1000-1-Rivelatori ambientali</t>
  </si>
  <si>
    <t>07/08/2025 00:00:00</t>
  </si>
  <si>
    <t>10230468</t>
  </si>
  <si>
    <t>10227289</t>
  </si>
  <si>
    <t>10229081</t>
  </si>
  <si>
    <t>1200</t>
  </si>
  <si>
    <t>10228738</t>
  </si>
  <si>
    <t>10228192</t>
  </si>
  <si>
    <t xml:space="preserve"> 1022278</t>
  </si>
  <si>
    <t xml:space="preserve"> 1800015</t>
  </si>
  <si>
    <t xml:space="preserve"> 1021599</t>
  </si>
  <si>
    <t xml:space="preserve"> 1021368</t>
  </si>
  <si>
    <t>2800</t>
  </si>
  <si>
    <t>4500</t>
  </si>
  <si>
    <t>1300</t>
  </si>
  <si>
    <t>7000</t>
  </si>
  <si>
    <t>10226579</t>
  </si>
  <si>
    <t>9000</t>
  </si>
  <si>
    <t>318440/S</t>
  </si>
  <si>
    <t xml:space="preserve">4000-2-N21 LV4502 Rilievi visivi valvola </t>
  </si>
  <si>
    <t>550974/C</t>
  </si>
  <si>
    <t>1200-AREA IMPIANTO GENERICA</t>
  </si>
  <si>
    <t>552539/C</t>
  </si>
  <si>
    <t>Razionalizzazione allarmi area 3- iMP.1800-controllo funzionale valvola motorizzata 18R028BV (vapore BP EM.e lav. F101); interfacciarsi con sala controllo prima di iniziare attivita'.</t>
  </si>
  <si>
    <t>1800-1-AREA IMPIANTO</t>
  </si>
  <si>
    <t>552544/C</t>
  </si>
  <si>
    <t>Razionalizzazione allarmi area 3- iMP.1800-controllo funzionale valvola motorizzata 18R029BV (GASOLIO A 1800-E102); interfacciarsi con sala controllo prima di iniziare attivita'.</t>
  </si>
  <si>
    <t>552546/C</t>
  </si>
  <si>
    <t>Razionalizzazione allarmi area 3- iMP.1800-controllo funzionale valvola motorizzata 18R030BV (A D-101); interfacciarsi con sala controllo prima di iniziare attivita'.</t>
  </si>
  <si>
    <t>556692/C</t>
  </si>
  <si>
    <t>Razionalizzazione allarmi area 2- imp.500- Ripristino funzionalita' segnali su saletta compressori segnali del sistema RIO, nessuna attivit fisica sui compressori.</t>
  </si>
  <si>
    <t>556714/C</t>
  </si>
  <si>
    <t>556723/C</t>
  </si>
  <si>
    <t xml:space="preserve">10232613 1200/3: TARATURA Z3F301 </t>
  </si>
  <si>
    <t>556789/C</t>
  </si>
  <si>
    <t>10224479   700: MTZ 07T640BT controllo funzionale</t>
  </si>
  <si>
    <t>556790/C</t>
  </si>
  <si>
    <t>10224478   700: MTZ 07T640AT controllo funzionale</t>
  </si>
  <si>
    <t>556791/C</t>
  </si>
  <si>
    <t xml:space="preserve"> 10224477    700: MTZ 07LT3_51B controllo funzionale</t>
  </si>
  <si>
    <t>556795/C</t>
  </si>
  <si>
    <t>10224476   700: MTZ 07LT3_51A controllo funzionale</t>
  </si>
  <si>
    <t>556797/C</t>
  </si>
  <si>
    <t>10224449  700: MTZ 07LPA2_1  controllo funzionale</t>
  </si>
  <si>
    <t>10211872</t>
  </si>
  <si>
    <t>18000155</t>
  </si>
  <si>
    <t xml:space="preserve"> 1022357</t>
  </si>
  <si>
    <t>2200</t>
  </si>
  <si>
    <t xml:space="preserve"> 1022303</t>
  </si>
  <si>
    <t xml:space="preserve"> 1021941</t>
  </si>
  <si>
    <t xml:space="preserve"> 1021869</t>
  </si>
  <si>
    <t xml:space="preserve"> 1021524</t>
  </si>
  <si>
    <t xml:space="preserve"> 1022162</t>
  </si>
  <si>
    <t xml:space="preserve"> 1021817</t>
  </si>
  <si>
    <t>2400</t>
  </si>
  <si>
    <t xml:space="preserve"> 1021922</t>
  </si>
  <si>
    <t xml:space="preserve"> 1022138</t>
  </si>
  <si>
    <t>03/04/2025 00:00:00</t>
  </si>
  <si>
    <t xml:space="preserve"> 1022052</t>
  </si>
  <si>
    <t xml:space="preserve"> 1022049</t>
  </si>
  <si>
    <t xml:space="preserve"> 1021826</t>
  </si>
  <si>
    <t xml:space="preserve"> 1021739</t>
  </si>
  <si>
    <t xml:space="preserve"> 1020094</t>
  </si>
  <si>
    <t xml:space="preserve"> 1021718</t>
  </si>
  <si>
    <t xml:space="preserve"> 1022404</t>
  </si>
  <si>
    <t xml:space="preserve"> 1021541</t>
  </si>
  <si>
    <t xml:space="preserve"> 1021394</t>
  </si>
  <si>
    <t>1400: 14</t>
  </si>
  <si>
    <t xml:space="preserve"> 1021453</t>
  </si>
  <si>
    <t>1800: 18</t>
  </si>
  <si>
    <t xml:space="preserve"> 1020692</t>
  </si>
  <si>
    <t xml:space="preserve"> 1021089</t>
  </si>
  <si>
    <t xml:space="preserve"> 1021220</t>
  </si>
  <si>
    <t xml:space="preserve"> 1021174</t>
  </si>
  <si>
    <t xml:space="preserve">  102089</t>
  </si>
  <si>
    <t xml:space="preserve"> 1022221</t>
  </si>
  <si>
    <t xml:space="preserve"> 1021801</t>
  </si>
  <si>
    <t>10218265</t>
  </si>
  <si>
    <t>10223752</t>
  </si>
  <si>
    <t>10223751</t>
  </si>
  <si>
    <t>10223749</t>
  </si>
  <si>
    <t>10221653</t>
  </si>
  <si>
    <t>10224188</t>
  </si>
  <si>
    <t>10220464</t>
  </si>
  <si>
    <t>10218060</t>
  </si>
  <si>
    <t>10225267</t>
  </si>
  <si>
    <t>10224035</t>
  </si>
  <si>
    <t>10220465</t>
  </si>
  <si>
    <t>10220619</t>
  </si>
  <si>
    <t>10222453</t>
  </si>
  <si>
    <t>10222225</t>
  </si>
  <si>
    <t>10215991</t>
  </si>
  <si>
    <t>10221625</t>
  </si>
  <si>
    <t>10215990</t>
  </si>
  <si>
    <t>10216874</t>
  </si>
  <si>
    <t>10215297</t>
  </si>
  <si>
    <t>10214483</t>
  </si>
  <si>
    <t>10214556</t>
  </si>
  <si>
    <t>10215414</t>
  </si>
  <si>
    <t>10215992</t>
  </si>
  <si>
    <t>10215761</t>
  </si>
  <si>
    <t>10209347</t>
  </si>
  <si>
    <t>10219447</t>
  </si>
  <si>
    <t>10219474</t>
  </si>
  <si>
    <t>10221416</t>
  </si>
  <si>
    <t>10222033</t>
  </si>
  <si>
    <t>10215887</t>
  </si>
  <si>
    <t>10225931</t>
  </si>
  <si>
    <t>10226491</t>
  </si>
  <si>
    <t>10225475</t>
  </si>
  <si>
    <t>10222966</t>
  </si>
  <si>
    <t>10224034</t>
  </si>
  <si>
    <t>10225850</t>
  </si>
  <si>
    <t>10225816</t>
  </si>
  <si>
    <t>10226540</t>
  </si>
  <si>
    <t>10226539</t>
  </si>
  <si>
    <t>10226371</t>
  </si>
  <si>
    <t>10226804</t>
  </si>
  <si>
    <t>10227021</t>
  </si>
  <si>
    <t>10226981</t>
  </si>
  <si>
    <t>10226805</t>
  </si>
  <si>
    <t>10226806</t>
  </si>
  <si>
    <t>10222849</t>
  </si>
  <si>
    <t>10211871</t>
  </si>
  <si>
    <t>00000001</t>
  </si>
  <si>
    <t>10227611</t>
  </si>
  <si>
    <t>10227342</t>
  </si>
  <si>
    <t>10226982</t>
  </si>
  <si>
    <t>10227903</t>
  </si>
  <si>
    <t>10227999</t>
  </si>
  <si>
    <t>10227311</t>
  </si>
  <si>
    <t>10227790</t>
  </si>
  <si>
    <t>10226908</t>
  </si>
  <si>
    <t>10228612</t>
  </si>
  <si>
    <t>10228613</t>
  </si>
  <si>
    <t>10229700</t>
  </si>
  <si>
    <t>10229300</t>
  </si>
  <si>
    <t>10229301</t>
  </si>
  <si>
    <t>10229710</t>
  </si>
  <si>
    <t>10230147</t>
  </si>
  <si>
    <t>10230089</t>
  </si>
  <si>
    <t xml:space="preserve"> 1023022</t>
  </si>
  <si>
    <t>10230467</t>
  </si>
  <si>
    <t>4200</t>
  </si>
  <si>
    <t>10231166</t>
  </si>
  <si>
    <t>10231088</t>
  </si>
  <si>
    <t>10230879</t>
  </si>
  <si>
    <t>10229855</t>
  </si>
  <si>
    <t>10228362</t>
  </si>
  <si>
    <t>10228364</t>
  </si>
  <si>
    <t>10217843</t>
  </si>
  <si>
    <t>10218020</t>
  </si>
  <si>
    <t>10218012</t>
  </si>
  <si>
    <t>10224036</t>
  </si>
  <si>
    <t>10222434</t>
  </si>
  <si>
    <t>00000002</t>
  </si>
  <si>
    <t>10227873</t>
  </si>
  <si>
    <t>10227344</t>
  </si>
  <si>
    <t>10228704</t>
  </si>
  <si>
    <t>10228743</t>
  </si>
  <si>
    <t>10229568</t>
  </si>
  <si>
    <t>10229705</t>
  </si>
  <si>
    <t>10229589</t>
  </si>
  <si>
    <t>10229698</t>
  </si>
  <si>
    <t>10230078</t>
  </si>
  <si>
    <t>10230332</t>
  </si>
  <si>
    <t>10230340</t>
  </si>
  <si>
    <t>10230341</t>
  </si>
  <si>
    <t>10230257</t>
  </si>
  <si>
    <t xml:space="preserve"> 1023033</t>
  </si>
  <si>
    <t>10230720</t>
  </si>
  <si>
    <t xml:space="preserve"> 1021784</t>
  </si>
  <si>
    <t>10231165</t>
  </si>
  <si>
    <t>10230880</t>
  </si>
  <si>
    <t>10231640</t>
  </si>
  <si>
    <t>10231541</t>
  </si>
  <si>
    <t>10230333</t>
  </si>
  <si>
    <t>10231539</t>
  </si>
  <si>
    <t>10229802</t>
  </si>
  <si>
    <t>10231535</t>
  </si>
  <si>
    <t>10231538</t>
  </si>
  <si>
    <t>10231540</t>
  </si>
  <si>
    <t>10228396</t>
  </si>
  <si>
    <t>10230202</t>
  </si>
  <si>
    <t>10230203</t>
  </si>
  <si>
    <t>10229177</t>
  </si>
  <si>
    <t>10230145</t>
  </si>
  <si>
    <t>10229879</t>
  </si>
  <si>
    <t>10226988</t>
  </si>
  <si>
    <t>10223642</t>
  </si>
  <si>
    <t>10226807</t>
  </si>
  <si>
    <t>10226576</t>
  </si>
  <si>
    <t>10223641</t>
  </si>
  <si>
    <t>10224410</t>
  </si>
  <si>
    <t>10221652</t>
  </si>
  <si>
    <t>10221651</t>
  </si>
  <si>
    <t>10223633</t>
  </si>
  <si>
    <t>10224189</t>
  </si>
  <si>
    <t>10223786</t>
  </si>
  <si>
    <t>10217184</t>
  </si>
  <si>
    <t>10220466</t>
  </si>
  <si>
    <t>10218827</t>
  </si>
  <si>
    <t xml:space="preserve"> 1021448</t>
  </si>
  <si>
    <t>10212837</t>
  </si>
  <si>
    <t xml:space="preserve"> 1021159</t>
  </si>
  <si>
    <t>1: 1200/</t>
  </si>
  <si>
    <t xml:space="preserve"> 1021378</t>
  </si>
  <si>
    <t>10226577</t>
  </si>
  <si>
    <t>10224411</t>
  </si>
  <si>
    <t>556802/C</t>
  </si>
  <si>
    <t>556805/C</t>
  </si>
  <si>
    <t>556807/C</t>
  </si>
  <si>
    <t>10224484  700: MTZ 07Z603I controllo funzionale</t>
  </si>
  <si>
    <t>556809/C</t>
  </si>
  <si>
    <t>10226908  700: 07P101CSL controllo pressostato controllo funzionale</t>
  </si>
  <si>
    <t>LA TEMPERATURA E' ALLINEATA ALLE ALTRE 2 ( TRIPLICE MISURA DI BLOCCO ). IL CONTROLLO NON VIENE EFFETTUATO.</t>
  </si>
  <si>
    <t xml:space="preserve">SMONTATO SERVOMOTORE PER PROVA APERTURA VALVOLA CON AIRTORX, PROVATO AD APIRE LA VALVOLA CON VED CON PRESSIONE A 2500 PSI. LA VALVOLA NON SI APRE. 
</t>
  </si>
  <si>
    <t>TROVATA MEMBRANA BUCATA, VERRA' SOSTITUITA DOMANI GG 24/10</t>
  </si>
  <si>
    <t xml:space="preserve">IN ATTESA COSTRUZIONE PONTEGGI. </t>
  </si>
  <si>
    <t>00000003</t>
  </si>
  <si>
    <t>1800-1-F045V - ripristino funzionalit valvola. Avviso n° 00000003</t>
  </si>
  <si>
    <t>00000004</t>
  </si>
  <si>
    <t>700-1-F171R RIPRISTINO FUNZIONALE. Avviso n° 00000004</t>
  </si>
  <si>
    <t>700: mtz 07P355R  controllo funzionale. Avviso n° 10224442</t>
  </si>
  <si>
    <t>700: MTZ 07T301I  controllo funzionale. Avviso n° 10224485</t>
  </si>
  <si>
    <t>700: MTZ 07Z603I controllo funzionale. Avviso n° 10224484</t>
  </si>
  <si>
    <t>700: 07P101CSL controllo pressostato controllo funzionale. Avviso n° 10226908</t>
  </si>
  <si>
    <t>1200/3: TARATURA Z3F301. Avviso n° 10232613</t>
  </si>
  <si>
    <t>07T118I 07T113I 07T114I controllo funzionale termocoppie. Avviso n° 10226805</t>
  </si>
  <si>
    <t>10224442</t>
  </si>
  <si>
    <t>10224485</t>
  </si>
  <si>
    <t>10224484</t>
  </si>
  <si>
    <t>10232241</t>
  </si>
  <si>
    <t>10231797</t>
  </si>
  <si>
    <t>10231952</t>
  </si>
  <si>
    <t>10228179</t>
  </si>
  <si>
    <t>10228178</t>
  </si>
  <si>
    <t>10232242</t>
  </si>
  <si>
    <t>10232048</t>
  </si>
  <si>
    <t>10232613</t>
  </si>
  <si>
    <t>10224479</t>
  </si>
  <si>
    <t>10224478</t>
  </si>
  <si>
    <t xml:space="preserve"> 1022447</t>
  </si>
  <si>
    <t>10224476</t>
  </si>
  <si>
    <t>10224449</t>
  </si>
  <si>
    <t>10229281</t>
  </si>
  <si>
    <t>00000003 1800-1-F045V - ripristino funzionalit valvola</t>
  </si>
  <si>
    <t>00000004 700-1-F171R RIPRISTINO FUNZIONALE</t>
  </si>
  <si>
    <t>700: RIPR 07T160I controllo funzionale. Avviso n° 10229802</t>
  </si>
  <si>
    <t>700: VERIFICA FUNZ 07B600ASL controllo funzionale. Avviso n° 10229281</t>
  </si>
  <si>
    <t>1100: MTZ 11T005RC   controllo funzionale. Avviso n° 10228179</t>
  </si>
  <si>
    <t>700A-1-F225R-controllo e ripristino funzionale. Avviso n° 10228364</t>
  </si>
  <si>
    <t>1100: MTZ 11F016R. Avviso n° 10228178</t>
  </si>
  <si>
    <t>1800: 18T033I ripristino. Avviso n° 10227342</t>
  </si>
  <si>
    <t>700: VERIFICA T006HA. Avviso n° 10232241</t>
  </si>
  <si>
    <t>700 - P602RC COTROLLO FUNZIONALE. Avviso n° 00000005</t>
  </si>
  <si>
    <t>1200/M: VERIFICA ZMT802AR. Avviso n° 10232242</t>
  </si>
  <si>
    <t>700: RIPR PRC001 controllo funzionale. Avviso n° 10228362</t>
  </si>
  <si>
    <t>700: VERIFICA FUNZ 07B600ASL  controllo funzionale. Avviso n° 10229281</t>
  </si>
  <si>
    <t>Quadro situazione PA3S al 23.10.2025</t>
  </si>
  <si>
    <t>556838/C</t>
  </si>
  <si>
    <t>400C101A SMONTAGGIO/MONTAGGIO STRUMENTAZIONE  SU CILINDRO PRIMO STADIO LATO SR -LATO MARE</t>
  </si>
  <si>
    <t>553715/C</t>
  </si>
  <si>
    <t>controllo e ripristino AR601 L1</t>
  </si>
  <si>
    <t>1200-1-A601RC</t>
  </si>
  <si>
    <t>556996/C</t>
  </si>
  <si>
    <t>500103C CONTROLLI E TARATURE  SU STRUMENTAZIONE A BORDO MACCHINA COMPRESO PARZIALIZZAZIONE E SONDE DI VIBRAZIONE</t>
  </si>
  <si>
    <t>10224442  700: mtz 07P355R  controllo funzionale AZOTO INGRESSO C151</t>
  </si>
  <si>
    <t>10224485  700: MTZ 07T301I  controllo funzionale INGR. E166A/B LATO TUBI</t>
  </si>
  <si>
    <t>10228362I  700: RIPR PRC001 controllo funzionale MANDATA P101A\B\C</t>
  </si>
  <si>
    <t>DA ATTENZIONARE</t>
  </si>
  <si>
    <t>319299/S</t>
  </si>
  <si>
    <t>Avviso 10231502-Imp.900-Verifica periodica rivelatori ambientali ottobre 2025</t>
  </si>
  <si>
    <t>900-0-Rilevatori ambientali</t>
  </si>
  <si>
    <t>557012/C</t>
  </si>
  <si>
    <t>TA-25 4740-0-FV007   Scollegamento / Ricollegamento accessori elettropneumatici valvola + controllo funzionale ed allineamento con sala controllo</t>
  </si>
  <si>
    <t>557019/C</t>
  </si>
  <si>
    <t>TA-25 4300-0-XV715A   Scollegamento / Ricollegamento accessori elettropneumatici valvola + controllo funzionale ed allineamento con sala controllo</t>
  </si>
  <si>
    <t>10232689  -  18-T064R ripristino funzionale</t>
  </si>
  <si>
    <t>556919/C</t>
  </si>
  <si>
    <t>556922/C</t>
  </si>
  <si>
    <t>10232689</t>
  </si>
  <si>
    <t>00000006</t>
  </si>
  <si>
    <t>00000006 700-1-F024 AT/BT CONTROLLO FUNZIONALE</t>
  </si>
  <si>
    <t>556926/C</t>
  </si>
  <si>
    <t>00000007 700A-1-F202RC CONTROLLO FUNZIONALE</t>
  </si>
  <si>
    <t>18-T064R ripristino funzionale. Avviso n° 10232689</t>
  </si>
  <si>
    <t>700-1-F024 AT/BT CONTROLLO FUNZIONALE. Avviso n° 00000006</t>
  </si>
  <si>
    <t>700A-1-F202RC CONTROLLO FUNZIONALE. Avviso n° 00000007</t>
  </si>
  <si>
    <t>00000005 700 - P602RC COTROLLO FUNZIONALE</t>
  </si>
  <si>
    <t>00000007</t>
  </si>
  <si>
    <t>00000005</t>
  </si>
  <si>
    <t>557058/C</t>
  </si>
  <si>
    <t>557060/C</t>
  </si>
  <si>
    <t>319297/S</t>
  </si>
  <si>
    <t>Avviso 10231503-Imp.400-Verifica periodica rivelatori ambientali ottobre 2025</t>
  </si>
  <si>
    <t>400-0-Rilevatori ambientali</t>
  </si>
  <si>
    <t>554041/C</t>
  </si>
  <si>
    <t>RIQUALIFICAZIONE AREA CANTIERI SUD_IGCC messa in sicurezza automatismo a cura esecutore</t>
  </si>
  <si>
    <t>Area cantieri Sud</t>
  </si>
  <si>
    <t>Area esterna limitrofa Sud</t>
  </si>
  <si>
    <t>556061/C</t>
  </si>
  <si>
    <t>10228362I  700: RIPR PRC001 controllo funzionale</t>
  </si>
  <si>
    <t>CANONE</t>
  </si>
  <si>
    <t>700-1-P001RC</t>
  </si>
  <si>
    <t>556921/C</t>
  </si>
  <si>
    <t>600F014RC SMONTAGGIO/MONTAGGIO VALVOLA PER REVISIONE</t>
  </si>
  <si>
    <t>556928/C</t>
  </si>
  <si>
    <t>900F031R RIPRISTINO FUNZIONALITA CON SOSTITUZIONE EVENTUALMENTE PRIMARI</t>
  </si>
  <si>
    <t>557032/C</t>
  </si>
  <si>
    <t xml:space="preserve">4200-0-XV006 ; 4200-0-XV007 ;4200-0-XV008;4200-0-XV009; 4200-0-XV010 Smontaggio / Rimontaggio attuatore + prove funzionali valvole </t>
  </si>
  <si>
    <t>557033/C</t>
  </si>
  <si>
    <t xml:space="preserve">4200-0-PCV031 ; 4200-0-PCV032 ; 4200-0-PCV033  sostituzione valvole regolatrici di pressione </t>
  </si>
  <si>
    <t>557034/C</t>
  </si>
  <si>
    <t>4200-0-TE001; 4200-0-TE002; 4200-0-TE003; 4200-0-TE004; Controllo LOOP termoelementi ed allineamento con Local panel/sala controllo</t>
  </si>
  <si>
    <t>557036/C</t>
  </si>
  <si>
    <t>TA-25 4200-0-FV001  Scollegamento / Ricollegamento accessori elettropneumatici valvola + controllo funzionale ed allineamento con sala controllo</t>
  </si>
  <si>
    <t>557046/C</t>
  </si>
  <si>
    <t>TA-25 4200-0-FV003 Scollegamento / Ricollegamento accessori elettropneumatici valvola + controllo funzionale ed allineamento con sala controllo</t>
  </si>
  <si>
    <t>557047/C</t>
  </si>
  <si>
    <t>TA-25 4200-0-FV004 Scollegamento / Ricollegamento accessori elettropneumatici valvola + controllo funzionale ed allineamento con sala controllo</t>
  </si>
  <si>
    <t>557049/C</t>
  </si>
  <si>
    <t>TA-25 4200-0-SDV002 Scollegamento / Ricollegamento accessori elettropneumatici valvola + controllo funzionale ed allineamento con sala controllo</t>
  </si>
  <si>
    <t>319296/S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</si>
</sst>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dd/mm"/>
    <numFmt numFmtId="166" formatCode="dd/mm/yyyy\ hh:mm:ss"/>
  </numFmts>
  <fonts count="32" x14ac:knownFonts="1">
    <font>
      <sz val="11"/>
      <color theme="1"/>
      <name val="Arial"/>
      <family val="2"/>
    </font>
    <font>
      <b/>
      <sz val="14"/>
      <color rgb="FF000000"/>
      <name val="Calibri"/>
      <family val="2"/>
    </font>
    <font>
      <b/>
      <sz val="11"/>
      <color theme="1"/>
      <name val="Calibri"/>
      <family val="2"/>
      <scheme val="minor"/>
    </font>
    <font>
      <b/>
      <sz val="14"/>
      <color theme="1"/>
      <name val="Calibri"/>
      <family val="2"/>
      <scheme val="minor"/>
    </font>
    <font>
      <b/>
      <sz val="12"/>
      <color theme="1"/>
      <name val="Calibri"/>
      <family val="2"/>
      <scheme val="minor"/>
    </font>
    <font>
      <b/>
      <sz val="16"/>
      <color theme="1"/>
      <name val="Calibri"/>
      <family val="2"/>
      <scheme val="minor"/>
    </font>
    <font>
      <sz val="10"/>
      <color theme="1"/>
      <name val="Arial"/>
      <family val="2"/>
    </font>
    <font>
      <b/>
      <sz val="10"/>
      <color theme="1"/>
      <name val="Calibri"/>
      <family val="2"/>
      <scheme val="minor"/>
    </font>
    <font>
      <b/>
      <sz val="10"/>
      <color theme="0"/>
      <name val="Arial"/>
      <family val="2"/>
    </font>
    <font>
      <b/>
      <sz val="10"/>
      <color theme="0"/>
      <name val="Calibri"/>
      <family val="2"/>
      <scheme val="minor"/>
    </font>
    <font>
      <b/>
      <sz val="12"/>
      <color rgb="FF000000"/>
      <name val="Calibri"/>
      <family val="2"/>
      <scheme val="minor"/>
    </font>
    <font>
      <b/>
      <sz val="12"/>
      <color rgb="FF000000"/>
      <name val="Calibri"/>
      <family val="2"/>
    </font>
    <font>
      <sz val="12"/>
      <color theme="1"/>
      <name val="Arial"/>
      <family val="2"/>
    </font>
    <font>
      <sz val="18"/>
      <color theme="1"/>
      <name val="Arial"/>
      <family val="2"/>
    </font>
    <font>
      <sz val="8"/>
      <name val="Arial"/>
      <family val="2"/>
    </font>
    <font>
      <u/>
      <sz val="11"/>
      <color theme="10"/>
      <name val="Calibri"/>
      <family val="2"/>
      <scheme val="minor"/>
    </font>
    <font>
      <u/>
      <sz val="10"/>
      <color theme="0"/>
      <name val="Calibri"/>
      <family val="2"/>
      <scheme val="minor"/>
    </font>
    <font>
      <b/>
      <sz val="18"/>
      <color theme="1"/>
      <name val="Calibri"/>
      <family val="2"/>
      <scheme val="minor"/>
    </font>
    <font>
      <b/>
      <sz val="11"/>
      <color rgb="FF000000"/>
      <name val="Calibri"/>
      <family val="2"/>
    </font>
    <font>
      <sz val="12"/>
      <color rgb="FF000000"/>
      <name val="Calibri"/>
      <family val="2"/>
    </font>
    <font>
      <sz val="11"/>
      <color theme="1"/>
      <name val="Calibri"/>
      <family val="2"/>
    </font>
    <font>
      <sz val="11"/>
      <color rgb="FF222A35"/>
      <name val="Calibri"/>
      <family val="2"/>
    </font>
    <font>
      <b/>
      <sz val="12"/>
      <color theme="1"/>
      <name val="Arial"/>
      <family val="2"/>
    </font>
    <font>
      <i/>
      <sz val="12"/>
      <color theme="1"/>
      <name val="Arial"/>
      <family val="2"/>
    </font>
    <font>
      <b/>
      <sz val="11"/>
      <color theme="1"/>
      <name val="Arial"/>
      <family val="2"/>
    </font>
    <font>
      <b/>
      <sz val="10"/>
      <color theme="1"/>
      <name val="Arial"/>
      <family val="2"/>
    </font>
    <font>
      <b/>
      <i/>
      <sz val="22"/>
      <color theme="1"/>
      <name val="Calibri"/>
      <family val="2"/>
      <scheme val="minor"/>
    </font>
    <font>
      <b/>
      <sz val="20"/>
      <color rgb="FF000000"/>
      <name val="Calibri"/>
      <family val="2"/>
    </font>
    <font>
      <sz val="48"/>
      <color theme="1"/>
      <name val="Libre Barcode 39"/>
    </font>
    <font>
      <b/>
      <sz val="13"/>
      <color theme="1"/>
      <name val="Calibri"/>
      <family val="2"/>
      <scheme val="minor"/>
    </font>
    <font>
      <b/>
      <sz val="14"/>
      <color rgb="FF000000"/>
      <name val="Calibri"/>
      <family val="2"/>
      <scheme val="minor"/>
    </font>
    <font>
      <b/>
      <sz val="14"/>
      <color theme="1"/>
      <name val="Calibri"/>
      <family val="2"/>
    </font>
  </fonts>
  <fills count="13">
    <fill>
      <patternFill patternType="none"/>
    </fill>
    <fill>
      <patternFill patternType="gray125"/>
    </fill>
    <fill>
      <patternFill patternType="solid">
        <fgColor theme="0"/>
        <bgColor indexed="64"/>
      </patternFill>
    </fill>
    <fill>
      <patternFill patternType="solid">
        <fgColor theme="1"/>
        <bgColor theme="1"/>
      </patternFill>
    </fill>
    <fill>
      <patternFill patternType="solid">
        <fgColor theme="3" tint="-0.249977111117893"/>
        <bgColor indexed="64"/>
      </patternFill>
    </fill>
    <fill>
      <patternFill patternType="solid">
        <fgColor theme="2" tint="-9.9978637043366805E-2"/>
        <bgColor indexed="64"/>
      </patternFill>
    </fill>
    <fill>
      <patternFill patternType="solid">
        <fgColor theme="4"/>
        <bgColor indexed="64"/>
      </patternFill>
    </fill>
    <fill>
      <patternFill patternType="solid">
        <fgColor rgb="FFFFFFFF"/>
        <bgColor indexed="64"/>
      </patternFill>
    </fill>
    <fill>
      <patternFill patternType="solid">
        <fgColor theme="4"/>
        <bgColor theme="4"/>
      </patternFill>
    </fill>
    <fill>
      <patternFill patternType="solid">
        <fgColor indexed="9"/>
        <bgColor theme="0"/>
      </patternFill>
    </fill>
    <fill>
      <patternFill patternType="solid">
        <fgColor rgb="FFFFFF99"/>
        <bgColor indexed="64"/>
      </patternFill>
    </fill>
    <fill>
      <patternFill patternType="solid">
        <fgColor rgb="FFFFFF00"/>
        <bgColor indexed="64"/>
      </patternFill>
    </fill>
    <fill>
      <patternFill patternType="solid">
        <fgColor theme="0"/>
        <bgColor theme="1"/>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medium">
        <color theme="0"/>
      </right>
      <top style="thin">
        <color auto="1"/>
      </top>
      <bottom style="thin">
        <color auto="1"/>
      </bottom>
      <diagonal/>
    </border>
    <border>
      <left style="double">
        <color indexed="64"/>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style="thin">
        <color theme="4"/>
      </left>
      <right/>
      <top style="thin">
        <color theme="4"/>
      </top>
      <bottom style="thin">
        <color theme="4"/>
      </bottom>
      <diagonal/>
    </border>
    <border>
      <left/>
      <right style="thin">
        <color theme="4"/>
      </right>
      <top style="thin">
        <color theme="4"/>
      </top>
      <bottom style="thin">
        <color theme="4"/>
      </bottom>
      <diagonal/>
    </border>
    <border>
      <left/>
      <right/>
      <top style="thin">
        <color theme="4"/>
      </top>
      <bottom style="thin">
        <color theme="4"/>
      </bottom>
      <diagonal/>
    </border>
    <border>
      <left style="thin">
        <color theme="4"/>
      </left>
      <right style="thin">
        <color theme="4"/>
      </right>
      <top style="thin">
        <color theme="4"/>
      </top>
      <bottom style="thin">
        <color theme="4"/>
      </bottom>
      <diagonal/>
    </border>
    <border>
      <left style="thin">
        <color theme="4"/>
      </left>
      <right style="thin">
        <color theme="0"/>
      </right>
      <top style="thin">
        <color theme="4"/>
      </top>
      <bottom style="thin">
        <color theme="4"/>
      </bottom>
      <diagonal/>
    </border>
    <border>
      <left style="thin">
        <color theme="0"/>
      </left>
      <right style="thin">
        <color theme="0"/>
      </right>
      <top style="thin">
        <color theme="4"/>
      </top>
      <bottom style="thin">
        <color theme="4"/>
      </bottom>
      <diagonal/>
    </border>
    <border>
      <left style="thin">
        <color theme="0"/>
      </left>
      <right style="thin">
        <color theme="4"/>
      </right>
      <top style="thin">
        <color theme="4"/>
      </top>
      <bottom style="thin">
        <color theme="4"/>
      </bottom>
      <diagonal/>
    </border>
    <border>
      <left style="thin">
        <color theme="0"/>
      </left>
      <right style="thin">
        <color theme="0"/>
      </right>
      <top/>
      <bottom style="thin">
        <color theme="4"/>
      </bottom>
      <diagonal/>
    </border>
    <border>
      <left style="thin">
        <color theme="0"/>
      </left>
      <right/>
      <top/>
      <bottom style="thin">
        <color theme="4"/>
      </bottom>
      <diagonal/>
    </border>
    <border>
      <left/>
      <right/>
      <top/>
      <bottom style="thin">
        <color theme="4"/>
      </bottom>
      <diagonal/>
    </border>
    <border>
      <left/>
      <right style="thin">
        <color theme="0"/>
      </right>
      <top/>
      <bottom style="thin">
        <color theme="4"/>
      </bottom>
      <diagonal/>
    </border>
    <border>
      <left/>
      <right style="thin">
        <color theme="0"/>
      </right>
      <top/>
      <bottom style="thin">
        <color indexed="64"/>
      </bottom>
      <diagonal/>
    </border>
    <border>
      <left style="thin">
        <color theme="0"/>
      </left>
      <right style="thin">
        <color theme="0"/>
      </right>
      <top/>
      <bottom style="thin">
        <color indexed="64"/>
      </bottom>
      <diagonal/>
    </border>
    <border>
      <left style="thin">
        <color theme="0"/>
      </left>
      <right/>
      <top/>
      <bottom style="thin">
        <color indexed="64"/>
      </bottom>
      <diagonal/>
    </border>
  </borders>
  <cellStyleXfs count="2">
    <xf numFmtId="0" fontId="0" fillId="0" borderId="0"/>
    <xf numFmtId="0" fontId="15" fillId="0" borderId="0" applyNumberFormat="0" applyFill="0" applyBorder="0" applyAlignment="0" applyProtection="0"/>
  </cellStyleXfs>
  <cellXfs count="223">
    <xf numFmtId="0" fontId="0" fillId="0" borderId="0" xfId="0"/>
    <xf numFmtId="0" fontId="2" fillId="0" borderId="0" xfId="0" applyFont="1" applyAlignment="1">
      <alignment wrapText="1"/>
    </xf>
    <xf numFmtId="49" fontId="2" fillId="0" borderId="0" xfId="0" applyNumberFormat="1" applyFont="1" applyAlignment="1"/>
    <xf numFmtId="0" fontId="2" fillId="0" borderId="0" xfId="0" applyFont="1" applyAlignment="1">
      <alignment vertical="center" wrapText="1"/>
    </xf>
    <xf numFmtId="0" fontId="2" fillId="0" borderId="0" xfId="0" applyFont="1" applyAlignment="1">
      <alignment horizontal="center" wrapText="1"/>
    </xf>
    <xf numFmtId="0" fontId="2" fillId="0" borderId="0" xfId="0" applyFont="1" applyAlignment="1">
      <alignment horizontal="left" wrapText="1"/>
    </xf>
    <xf numFmtId="164" fontId="2" fillId="0" borderId="0" xfId="0" applyNumberFormat="1" applyFont="1" applyAlignment="1">
      <alignment horizontal="center" wrapText="1"/>
    </xf>
    <xf numFmtId="0" fontId="2" fillId="0" borderId="0" xfId="0" applyFont="1"/>
    <xf numFmtId="0" fontId="2" fillId="0" borderId="0" xfId="0" applyFont="1" applyAlignment="1">
      <alignment horizontal="left" vertical="center" wrapText="1"/>
    </xf>
    <xf numFmtId="165" fontId="0" fillId="0" borderId="0" xfId="0" applyNumberFormat="1"/>
    <xf numFmtId="0" fontId="5" fillId="0" borderId="0" xfId="0" applyFont="1" applyAlignment="1">
      <alignment horizontal="left" wrapText="1"/>
    </xf>
    <xf numFmtId="165" fontId="5" fillId="0" borderId="0" xfId="0" applyNumberFormat="1" applyFont="1" applyAlignment="1">
      <alignment horizontal="center" wrapText="1"/>
    </xf>
    <xf numFmtId="14" fontId="2" fillId="0" borderId="0" xfId="0" applyNumberFormat="1" applyFont="1"/>
    <xf numFmtId="0" fontId="7" fillId="0" borderId="0" xfId="0" applyFont="1" applyAlignment="1">
      <alignment wrapText="1"/>
    </xf>
    <xf numFmtId="14" fontId="0" fillId="0" borderId="0" xfId="0" applyNumberFormat="1"/>
    <xf numFmtId="0" fontId="2" fillId="2" borderId="0" xfId="0" applyFont="1" applyFill="1" applyAlignment="1">
      <alignment horizontal="left" wrapText="1"/>
    </xf>
    <xf numFmtId="164" fontId="2" fillId="0" borderId="0" xfId="0" applyNumberFormat="1" applyFont="1" applyAlignment="1">
      <alignment horizontal="center" wrapText="1"/>
    </xf>
    <xf numFmtId="0" fontId="5" fillId="0" borderId="0" xfId="0" applyFont="1" applyAlignment="1">
      <alignment wrapText="1"/>
    </xf>
    <xf numFmtId="0" fontId="0" fillId="0" borderId="0" xfId="0" applyAlignment="1">
      <alignment horizontal="right"/>
    </xf>
    <xf numFmtId="164" fontId="2" fillId="0" borderId="0" xfId="0" applyNumberFormat="1" applyFont="1" applyAlignment="1">
      <alignment horizontal="center" wrapText="1"/>
    </xf>
    <xf numFmtId="164" fontId="2" fillId="0" borderId="0" xfId="0" applyNumberFormat="1" applyFont="1" applyAlignment="1">
      <alignment wrapText="1"/>
    </xf>
    <xf numFmtId="14" fontId="3" fillId="0" borderId="0" xfId="0" applyNumberFormat="1" applyFont="1" applyAlignment="1"/>
    <xf numFmtId="164" fontId="3" fillId="0" borderId="0" xfId="0" applyNumberFormat="1" applyFont="1" applyAlignment="1">
      <alignment wrapText="1"/>
    </xf>
    <xf numFmtId="0" fontId="12" fillId="0" borderId="0" xfId="0" applyFont="1"/>
    <xf numFmtId="0" fontId="13" fillId="0" borderId="0" xfId="0" applyFont="1"/>
    <xf numFmtId="0" fontId="0" fillId="0" borderId="0" xfId="0" applyFont="1" applyAlignment="1">
      <alignment horizontal="center" vertical="center"/>
    </xf>
    <xf numFmtId="164" fontId="7" fillId="0" borderId="0" xfId="0" applyNumberFormat="1" applyFont="1" applyAlignment="1">
      <alignment horizontal="center" wrapText="1"/>
    </xf>
    <xf numFmtId="49" fontId="2" fillId="0" borderId="0" xfId="0" applyNumberFormat="1" applyFont="1" applyAlignment="1">
      <alignment horizontal="center" vertical="center"/>
    </xf>
    <xf numFmtId="0" fontId="2" fillId="0" borderId="0" xfId="0" applyFont="1" applyAlignment="1">
      <alignment horizontal="center" vertical="center"/>
    </xf>
    <xf numFmtId="0" fontId="4" fillId="5" borderId="3" xfId="0" applyFont="1" applyFill="1" applyBorder="1" applyAlignment="1">
      <alignment horizontal="center" vertical="center" wrapText="1"/>
    </xf>
    <xf numFmtId="0" fontId="16" fillId="6" borderId="5" xfId="1" quotePrefix="1" applyFont="1" applyFill="1" applyBorder="1" applyAlignment="1"/>
    <xf numFmtId="0" fontId="16" fillId="6" borderId="0" xfId="1" quotePrefix="1" applyFont="1" applyFill="1" applyBorder="1" applyAlignment="1"/>
    <xf numFmtId="0" fontId="17" fillId="0" borderId="0" xfId="0" applyFont="1" applyAlignment="1">
      <alignment horizontal="center" vertical="center" wrapText="1"/>
    </xf>
    <xf numFmtId="164" fontId="17" fillId="0" borderId="0" xfId="0" applyNumberFormat="1" applyFont="1" applyAlignment="1">
      <alignment horizontal="center" vertical="center" wrapText="1"/>
    </xf>
    <xf numFmtId="0" fontId="4" fillId="0" borderId="10" xfId="0" applyFont="1" applyBorder="1" applyAlignment="1">
      <alignment wrapText="1"/>
    </xf>
    <xf numFmtId="0" fontId="4" fillId="0" borderId="12" xfId="0" applyFont="1" applyBorder="1" applyAlignment="1">
      <alignment wrapText="1"/>
    </xf>
    <xf numFmtId="0" fontId="4" fillId="0" borderId="15" xfId="0" applyFont="1" applyBorder="1" applyAlignment="1">
      <alignment wrapText="1"/>
    </xf>
    <xf numFmtId="0" fontId="9" fillId="4" borderId="4" xfId="0" applyFont="1" applyFill="1" applyBorder="1" applyAlignment="1">
      <alignment horizontal="center" vertical="center" wrapText="1"/>
    </xf>
    <xf numFmtId="0" fontId="3" fillId="0" borderId="0" xfId="0" applyNumberFormat="1" applyFont="1" applyAlignment="1">
      <alignment horizontal="left"/>
    </xf>
    <xf numFmtId="164" fontId="3" fillId="0" borderId="0" xfId="0" applyNumberFormat="1" applyFont="1" applyAlignment="1">
      <alignment horizontal="center" vertical="top" wrapText="1"/>
    </xf>
    <xf numFmtId="0" fontId="3" fillId="0" borderId="0" xfId="0" applyFont="1" applyAlignment="1">
      <alignment horizontal="center" vertical="center" wrapText="1"/>
    </xf>
    <xf numFmtId="164" fontId="2" fillId="0" borderId="0" xfId="0" applyNumberFormat="1" applyFont="1" applyAlignment="1">
      <alignment horizontal="left" vertical="center" wrapText="1"/>
    </xf>
    <xf numFmtId="0" fontId="2" fillId="0" borderId="0" xfId="0" applyFont="1" applyAlignment="1">
      <alignment horizontal="left" vertical="center"/>
    </xf>
    <xf numFmtId="0" fontId="3" fillId="0" borderId="0" xfId="0" applyFont="1" applyAlignment="1">
      <alignment horizontal="center" vertical="center"/>
    </xf>
    <xf numFmtId="164" fontId="3" fillId="0" borderId="0" xfId="0" applyNumberFormat="1" applyFont="1" applyAlignment="1">
      <alignment horizontal="center" wrapText="1"/>
    </xf>
    <xf numFmtId="0" fontId="20" fillId="0" borderId="0" xfId="0" applyFont="1" applyAlignment="1">
      <alignment vertical="center"/>
    </xf>
    <xf numFmtId="0" fontId="20" fillId="0" borderId="0" xfId="0" quotePrefix="1" applyFont="1" applyAlignment="1">
      <alignment vertical="center"/>
    </xf>
    <xf numFmtId="0" fontId="0" fillId="0" borderId="1" xfId="0" applyBorder="1" applyAlignment="1">
      <alignment horizontal="left" vertical="center"/>
    </xf>
    <xf numFmtId="0" fontId="0" fillId="0" borderId="1" xfId="0" applyBorder="1" applyAlignment="1">
      <alignment horizontal="center" vertical="center"/>
    </xf>
    <xf numFmtId="0" fontId="0" fillId="0" borderId="1" xfId="0" applyBorder="1" applyAlignment="1">
      <alignment vertical="center"/>
    </xf>
    <xf numFmtId="0" fontId="0" fillId="0" borderId="1" xfId="0" applyBorder="1" applyAlignment="1">
      <alignment vertical="center" wrapText="1"/>
    </xf>
    <xf numFmtId="14" fontId="0" fillId="0" borderId="1" xfId="0" applyNumberFormat="1" applyBorder="1" applyAlignment="1">
      <alignment horizontal="center" vertical="center"/>
    </xf>
    <xf numFmtId="0" fontId="2" fillId="0" borderId="1" xfId="0" applyFont="1" applyFill="1" applyBorder="1" applyAlignment="1">
      <alignment horizontal="center" wrapText="1"/>
    </xf>
    <xf numFmtId="0" fontId="2" fillId="0" borderId="1" xfId="0" applyFont="1" applyBorder="1" applyAlignment="1">
      <alignment horizontal="center" wrapText="1"/>
    </xf>
    <xf numFmtId="0" fontId="0" fillId="0" borderId="0" xfId="0" applyAlignment="1">
      <alignment wrapText="1"/>
    </xf>
    <xf numFmtId="0" fontId="22" fillId="0" borderId="0" xfId="0" applyFont="1" applyAlignment="1">
      <alignment wrapText="1"/>
    </xf>
    <xf numFmtId="0" fontId="24" fillId="0" borderId="0" xfId="0" applyFont="1" applyAlignment="1">
      <alignment wrapText="1"/>
    </xf>
    <xf numFmtId="0" fontId="0" fillId="0" borderId="20" xfId="0" applyFont="1" applyBorder="1" applyAlignment="1">
      <alignment horizontal="left" vertical="center" wrapText="1"/>
    </xf>
    <xf numFmtId="0" fontId="23" fillId="0" borderId="0" xfId="0" applyFont="1" applyAlignment="1">
      <alignment wrapText="1"/>
    </xf>
    <xf numFmtId="0" fontId="8" fillId="8" borderId="22" xfId="0" applyFont="1" applyFill="1" applyBorder="1" applyAlignment="1">
      <alignment horizontal="center" vertical="center"/>
    </xf>
    <xf numFmtId="0" fontId="8" fillId="8" borderId="23" xfId="0" applyFont="1" applyFill="1" applyBorder="1" applyAlignment="1">
      <alignment horizontal="center" vertical="center"/>
    </xf>
    <xf numFmtId="0" fontId="0" fillId="0" borderId="0" xfId="0" applyFont="1" applyBorder="1" applyAlignment="1">
      <alignment horizontal="left" vertical="center" wrapText="1"/>
    </xf>
    <xf numFmtId="0" fontId="0" fillId="0" borderId="1" xfId="0" applyFill="1" applyBorder="1" applyAlignment="1">
      <alignment horizontal="left" vertical="center"/>
    </xf>
    <xf numFmtId="0" fontId="0" fillId="0" borderId="1" xfId="0" applyFill="1" applyBorder="1" applyAlignment="1">
      <alignment horizontal="center" vertical="center"/>
    </xf>
    <xf numFmtId="0" fontId="0" fillId="0" borderId="1" xfId="0" applyFill="1" applyBorder="1" applyAlignment="1">
      <alignment vertical="center"/>
    </xf>
    <xf numFmtId="14" fontId="0" fillId="0" borderId="0" xfId="0" applyNumberFormat="1" applyAlignment="1">
      <alignment wrapText="1"/>
    </xf>
    <xf numFmtId="0" fontId="25" fillId="0" borderId="1" xfId="0" applyNumberFormat="1" applyFont="1" applyFill="1" applyBorder="1" applyAlignment="1">
      <alignment horizontal="center" vertical="center" wrapText="1"/>
    </xf>
    <xf numFmtId="0" fontId="22" fillId="0" borderId="0" xfId="0" applyFont="1" applyAlignment="1">
      <alignment horizontal="center" wrapText="1"/>
    </xf>
    <xf numFmtId="0" fontId="24" fillId="0" borderId="20" xfId="0" applyFont="1" applyBorder="1" applyAlignment="1">
      <alignment horizontal="center" vertical="center" wrapText="1"/>
    </xf>
    <xf numFmtId="0" fontId="24" fillId="0" borderId="0" xfId="0" applyFont="1" applyBorder="1" applyAlignment="1">
      <alignment horizontal="center" vertical="center" wrapText="1"/>
    </xf>
    <xf numFmtId="0" fontId="0" fillId="0" borderId="20" xfId="0" applyFont="1" applyBorder="1" applyAlignment="1">
      <alignment vertical="center" wrapText="1"/>
    </xf>
    <xf numFmtId="14" fontId="0" fillId="0" borderId="20" xfId="0" applyNumberFormat="1" applyFont="1" applyBorder="1" applyAlignment="1">
      <alignment horizontal="left" vertical="center" wrapText="1"/>
    </xf>
    <xf numFmtId="14" fontId="0" fillId="0" borderId="0" xfId="0" applyNumberFormat="1" applyAlignment="1"/>
    <xf numFmtId="0" fontId="0" fillId="0" borderId="0" xfId="0" applyAlignment="1"/>
    <xf numFmtId="0" fontId="8" fillId="8" borderId="22" xfId="0" applyFont="1" applyFill="1" applyBorder="1" applyAlignment="1">
      <alignment horizontal="left" vertical="center"/>
    </xf>
    <xf numFmtId="0" fontId="8" fillId="8" borderId="24" xfId="0" applyFont="1" applyFill="1" applyBorder="1" applyAlignment="1">
      <alignment vertical="center"/>
    </xf>
    <xf numFmtId="0" fontId="8" fillId="8" borderId="21" xfId="0" applyFont="1" applyFill="1" applyBorder="1" applyAlignment="1">
      <alignment horizontal="center" vertical="center"/>
    </xf>
    <xf numFmtId="0" fontId="0" fillId="0" borderId="0" xfId="0" applyAlignment="1">
      <alignment vertical="center"/>
    </xf>
    <xf numFmtId="0" fontId="0" fillId="0" borderId="0" xfId="0" applyFill="1" applyAlignment="1">
      <alignment horizontal="left" vertical="center"/>
    </xf>
    <xf numFmtId="0" fontId="0" fillId="0" borderId="0" xfId="0" applyFill="1" applyAlignment="1">
      <alignment vertical="center"/>
    </xf>
    <xf numFmtId="0" fontId="0" fillId="0" borderId="0" xfId="0" applyFill="1" applyAlignment="1">
      <alignment horizontal="left" vertical="center" wrapText="1"/>
    </xf>
    <xf numFmtId="0" fontId="2" fillId="0" borderId="1" xfId="0" applyFont="1" applyBorder="1" applyAlignment="1">
      <alignment horizontal="left" vertical="center" wrapText="1"/>
    </xf>
    <xf numFmtId="164" fontId="2" fillId="0" borderId="1" xfId="0" applyNumberFormat="1" applyFont="1" applyBorder="1" applyAlignment="1">
      <alignment horizontal="left" vertical="center" wrapText="1"/>
    </xf>
    <xf numFmtId="0" fontId="17" fillId="0" borderId="1" xfId="0" applyFont="1" applyBorder="1" applyAlignment="1">
      <alignment horizontal="center" vertical="center" wrapText="1"/>
    </xf>
    <xf numFmtId="0" fontId="3" fillId="0" borderId="1" xfId="0" applyFont="1" applyBorder="1" applyAlignment="1">
      <alignment horizontal="center" vertical="center" wrapText="1"/>
    </xf>
    <xf numFmtId="0" fontId="2" fillId="0" borderId="1" xfId="0" applyFont="1" applyBorder="1" applyAlignment="1">
      <alignment horizontal="center" vertical="center" wrapText="1"/>
    </xf>
    <xf numFmtId="0" fontId="22" fillId="0" borderId="0" xfId="0" applyFont="1" applyFill="1" applyAlignment="1">
      <alignment horizontal="left" vertical="center"/>
    </xf>
    <xf numFmtId="0" fontId="6" fillId="0" borderId="0" xfId="0" applyNumberFormat="1" applyFont="1" applyFill="1" applyBorder="1" applyAlignment="1">
      <alignment horizontal="center" vertical="center" wrapText="1"/>
    </xf>
    <xf numFmtId="0" fontId="0" fillId="0" borderId="0" xfId="0" applyFill="1"/>
    <xf numFmtId="0" fontId="0" fillId="0" borderId="2" xfId="0" applyFill="1" applyBorder="1" applyAlignment="1">
      <alignment horizontal="left" vertical="center"/>
    </xf>
    <xf numFmtId="0" fontId="0" fillId="0" borderId="2" xfId="0" applyFill="1" applyBorder="1" applyAlignment="1">
      <alignment horizontal="left" vertical="center" wrapText="1"/>
    </xf>
    <xf numFmtId="0" fontId="24" fillId="0" borderId="2" xfId="0" applyFont="1" applyFill="1" applyBorder="1" applyAlignment="1">
      <alignment horizontal="left" vertical="center"/>
    </xf>
    <xf numFmtId="0" fontId="0" fillId="0" borderId="1" xfId="0" applyFill="1" applyBorder="1"/>
    <xf numFmtId="0" fontId="20" fillId="0" borderId="0" xfId="0" quotePrefix="1" applyFont="1" applyFill="1" applyAlignment="1">
      <alignment vertical="center"/>
    </xf>
    <xf numFmtId="0" fontId="19" fillId="0" borderId="0" xfId="0" applyFont="1" applyFill="1" applyAlignment="1">
      <alignment vertical="center"/>
    </xf>
    <xf numFmtId="0" fontId="21" fillId="0" borderId="0" xfId="0" applyFont="1" applyFill="1" applyAlignment="1">
      <alignment vertical="center"/>
    </xf>
    <xf numFmtId="0" fontId="20" fillId="0" borderId="0" xfId="0" applyFont="1" applyFill="1" applyAlignment="1">
      <alignment vertical="center"/>
    </xf>
    <xf numFmtId="0" fontId="21" fillId="0" borderId="0" xfId="0" quotePrefix="1" applyFont="1" applyFill="1" applyAlignment="1">
      <alignment vertical="center"/>
    </xf>
    <xf numFmtId="0" fontId="0" fillId="0" borderId="0" xfId="0" applyAlignment="1">
      <alignment horizontal="left" vertical="center"/>
    </xf>
    <xf numFmtId="0" fontId="0" fillId="0" borderId="0" xfId="0" applyAlignment="1">
      <alignment horizontal="left" vertical="center" wrapText="1"/>
    </xf>
    <xf numFmtId="0" fontId="24" fillId="0" borderId="1" xfId="0" applyFont="1" applyBorder="1" applyAlignment="1">
      <alignment horizontal="center" vertical="center"/>
    </xf>
    <xf numFmtId="0" fontId="24" fillId="0" borderId="1" xfId="0" applyFont="1" applyBorder="1" applyAlignment="1">
      <alignment horizontal="center" vertical="center" wrapText="1"/>
    </xf>
    <xf numFmtId="0" fontId="0" fillId="0" borderId="1" xfId="0" applyBorder="1" applyAlignment="1">
      <alignment horizontal="left" vertical="center" wrapText="1"/>
    </xf>
    <xf numFmtId="164" fontId="2" fillId="0" borderId="1" xfId="0" applyNumberFormat="1" applyFont="1" applyBorder="1" applyAlignment="1">
      <alignment horizontal="center" vertical="center" wrapText="1"/>
    </xf>
    <xf numFmtId="0" fontId="2" fillId="0" borderId="0" xfId="0" applyFont="1" applyAlignment="1">
      <alignment horizontal="center"/>
    </xf>
    <xf numFmtId="49" fontId="2" fillId="0" borderId="0" xfId="0" applyNumberFormat="1" applyFont="1" applyAlignment="1">
      <alignment horizontal="center"/>
    </xf>
    <xf numFmtId="14" fontId="0" fillId="0" borderId="1" xfId="0" applyNumberFormat="1" applyFill="1" applyBorder="1"/>
    <xf numFmtId="14" fontId="2" fillId="0" borderId="0" xfId="0" applyNumberFormat="1" applyFont="1" applyAlignment="1">
      <alignment horizontal="center" wrapText="1"/>
    </xf>
    <xf numFmtId="14" fontId="3" fillId="0" borderId="0" xfId="0" applyNumberFormat="1" applyFont="1" applyAlignment="1">
      <alignment wrapText="1"/>
    </xf>
    <xf numFmtId="166" fontId="7" fillId="0" borderId="0" xfId="0" applyNumberFormat="1" applyFont="1" applyAlignment="1">
      <alignment wrapText="1"/>
    </xf>
    <xf numFmtId="0" fontId="10" fillId="7" borderId="1" xfId="0" applyFont="1" applyFill="1" applyBorder="1" applyAlignment="1">
      <alignment horizontal="center" vertical="center"/>
    </xf>
    <xf numFmtId="14" fontId="2" fillId="0" borderId="1" xfId="0" applyNumberFormat="1" applyFont="1" applyBorder="1" applyAlignment="1">
      <alignment horizontal="left" vertical="center" wrapText="1"/>
    </xf>
    <xf numFmtId="0" fontId="29" fillId="0" borderId="0" xfId="0" applyNumberFormat="1" applyFont="1" applyAlignment="1">
      <alignment horizontal="left"/>
    </xf>
    <xf numFmtId="0" fontId="0" fillId="0" borderId="1" xfId="0" applyFont="1" applyFill="1" applyBorder="1"/>
    <xf numFmtId="0" fontId="8" fillId="3" borderId="28" xfId="0" applyNumberFormat="1" applyFont="1" applyFill="1" applyBorder="1" applyAlignment="1">
      <alignment horizontal="center" vertical="center" wrapText="1"/>
    </xf>
    <xf numFmtId="0" fontId="8" fillId="3" borderId="29" xfId="0" applyNumberFormat="1" applyFont="1" applyFill="1" applyBorder="1" applyAlignment="1">
      <alignment horizontal="left" vertical="top" wrapText="1"/>
    </xf>
    <xf numFmtId="0" fontId="8" fillId="3" borderId="29" xfId="0" applyNumberFormat="1" applyFont="1" applyFill="1" applyBorder="1" applyAlignment="1">
      <alignment vertical="center" wrapText="1"/>
    </xf>
    <xf numFmtId="0" fontId="8" fillId="3" borderId="29" xfId="0" applyNumberFormat="1" applyFont="1" applyFill="1" applyBorder="1" applyAlignment="1">
      <alignment horizontal="center" vertical="center" wrapText="1"/>
    </xf>
    <xf numFmtId="14" fontId="8" fillId="3" borderId="29" xfId="0" applyNumberFormat="1" applyFont="1" applyFill="1" applyBorder="1" applyAlignment="1">
      <alignment horizontal="left" vertical="center" wrapText="1"/>
    </xf>
    <xf numFmtId="0" fontId="8" fillId="3" borderId="29" xfId="0" applyNumberFormat="1" applyFont="1" applyFill="1" applyBorder="1" applyAlignment="1">
      <alignment horizontal="left" vertical="center" wrapText="1"/>
    </xf>
    <xf numFmtId="0" fontId="8" fillId="3" borderId="30" xfId="0" applyNumberFormat="1" applyFont="1" applyFill="1" applyBorder="1" applyAlignment="1">
      <alignment horizontal="center" vertical="center" wrapText="1"/>
    </xf>
    <xf numFmtId="0" fontId="2" fillId="0" borderId="1" xfId="0" applyFont="1" applyFill="1" applyBorder="1" applyAlignment="1">
      <alignment horizontal="left" vertical="center" wrapText="1"/>
    </xf>
    <xf numFmtId="0" fontId="6" fillId="0" borderId="29" xfId="0" applyNumberFormat="1" applyFont="1" applyBorder="1" applyAlignment="1">
      <alignment horizontal="left" vertical="top" wrapText="1"/>
    </xf>
    <xf numFmtId="0" fontId="9" fillId="3" borderId="29" xfId="0" applyNumberFormat="1" applyFont="1" applyFill="1" applyBorder="1" applyAlignment="1">
      <alignment horizontal="center" vertical="center" wrapText="1"/>
    </xf>
    <xf numFmtId="0" fontId="25" fillId="0" borderId="30" xfId="0" applyNumberFormat="1" applyFont="1" applyFill="1" applyBorder="1" applyAlignment="1">
      <alignment horizontal="center" vertical="center" wrapText="1"/>
    </xf>
    <xf numFmtId="0" fontId="6" fillId="0" borderId="1" xfId="0" applyNumberFormat="1" applyFont="1" applyBorder="1" applyAlignment="1">
      <alignment horizontal="center" vertical="center" wrapText="1"/>
    </xf>
    <xf numFmtId="0" fontId="25" fillId="0" borderId="0" xfId="0" applyNumberFormat="1" applyFont="1" applyFill="1" applyBorder="1" applyAlignment="1">
      <alignment horizontal="center" vertical="center" wrapText="1"/>
    </xf>
    <xf numFmtId="0" fontId="2" fillId="0" borderId="1" xfId="0" applyNumberFormat="1" applyFont="1" applyFill="1" applyBorder="1" applyAlignment="1">
      <alignment horizontal="left" vertical="center" wrapText="1"/>
    </xf>
    <xf numFmtId="0" fontId="2" fillId="9" borderId="1" xfId="0" applyNumberFormat="1" applyFont="1" applyFill="1" applyBorder="1" applyAlignment="1">
      <alignment horizontal="left" vertical="center" wrapText="1"/>
    </xf>
    <xf numFmtId="164" fontId="2" fillId="0" borderId="1" xfId="0" applyNumberFormat="1" applyFont="1" applyFill="1" applyBorder="1" applyAlignment="1">
      <alignment horizontal="left" vertical="center" wrapText="1"/>
    </xf>
    <xf numFmtId="14" fontId="2" fillId="0" borderId="1" xfId="0" applyNumberFormat="1" applyFont="1" applyFill="1" applyBorder="1" applyAlignment="1">
      <alignment horizontal="left" vertical="center" wrapText="1"/>
    </xf>
    <xf numFmtId="0" fontId="2" fillId="2" borderId="1" xfId="0" applyNumberFormat="1" applyFont="1" applyFill="1" applyBorder="1" applyAlignment="1">
      <alignment horizontal="left" vertical="center" wrapText="1"/>
    </xf>
    <xf numFmtId="0" fontId="10" fillId="7" borderId="1" xfId="0" applyFont="1" applyFill="1" applyBorder="1" applyAlignment="1">
      <alignment horizontal="center" vertical="center" wrapText="1"/>
    </xf>
    <xf numFmtId="0" fontId="6" fillId="0" borderId="0" xfId="0" applyNumberFormat="1" applyFont="1" applyBorder="1" applyAlignment="1">
      <alignment horizontal="center" vertical="center" wrapText="1"/>
    </xf>
    <xf numFmtId="0" fontId="6" fillId="2" borderId="0" xfId="0" applyFont="1" applyFill="1" applyBorder="1" applyAlignment="1">
      <alignment horizontal="center" vertical="center" wrapText="1"/>
    </xf>
    <xf numFmtId="0" fontId="30" fillId="7" borderId="1" xfId="0" applyFont="1" applyFill="1" applyBorder="1" applyAlignment="1">
      <alignment horizontal="center" vertical="center" wrapText="1"/>
    </xf>
    <xf numFmtId="0" fontId="2" fillId="2" borderId="0" xfId="0" applyNumberFormat="1" applyFont="1" applyFill="1" applyBorder="1" applyAlignment="1">
      <alignment horizontal="center" vertical="center" wrapText="1"/>
    </xf>
    <xf numFmtId="0" fontId="2" fillId="2" borderId="0" xfId="0" applyFont="1" applyFill="1" applyBorder="1" applyAlignment="1">
      <alignment horizontal="center" vertical="center" wrapText="1"/>
    </xf>
    <xf numFmtId="0" fontId="31" fillId="0" borderId="1" xfId="0" applyFont="1" applyBorder="1" applyAlignment="1">
      <alignment horizontal="center" vertical="center" wrapText="1"/>
    </xf>
    <xf numFmtId="0" fontId="2" fillId="2" borderId="1" xfId="0" applyNumberFormat="1" applyFont="1" applyFill="1" applyBorder="1" applyAlignment="1">
      <alignment horizontal="center" vertical="center" wrapText="1"/>
    </xf>
    <xf numFmtId="0" fontId="6" fillId="2" borderId="1" xfId="0" applyFont="1" applyFill="1" applyBorder="1" applyAlignment="1">
      <alignment horizontal="center" vertical="center" wrapText="1"/>
    </xf>
    <xf numFmtId="0" fontId="6" fillId="2" borderId="1" xfId="0" applyNumberFormat="1" applyFont="1" applyFill="1" applyBorder="1" applyAlignment="1">
      <alignment horizontal="center" vertical="center" wrapText="1"/>
    </xf>
    <xf numFmtId="164" fontId="2" fillId="11" borderId="1" xfId="0" applyNumberFormat="1" applyFont="1" applyFill="1" applyBorder="1" applyAlignment="1">
      <alignment horizontal="left" vertical="center" wrapText="1"/>
    </xf>
    <xf numFmtId="0" fontId="25" fillId="2" borderId="0" xfId="0" applyNumberFormat="1" applyFont="1" applyFill="1" applyBorder="1" applyAlignment="1">
      <alignment horizontal="center" vertical="center" wrapText="1"/>
    </xf>
    <xf numFmtId="0" fontId="25" fillId="2" borderId="0" xfId="0" applyFont="1" applyFill="1" applyBorder="1" applyAlignment="1">
      <alignment horizontal="center" vertical="center" wrapText="1"/>
    </xf>
    <xf numFmtId="0" fontId="25" fillId="2" borderId="1" xfId="0" applyFont="1" applyFill="1" applyBorder="1" applyAlignment="1">
      <alignment horizontal="center" vertical="center" wrapText="1"/>
    </xf>
    <xf numFmtId="0" fontId="7" fillId="2" borderId="1" xfId="0" applyFont="1" applyFill="1" applyBorder="1" applyAlignment="1">
      <alignment wrapText="1"/>
    </xf>
    <xf numFmtId="0" fontId="2" fillId="2" borderId="1" xfId="0" applyFont="1" applyFill="1" applyBorder="1"/>
    <xf numFmtId="0" fontId="25" fillId="12" borderId="1" xfId="0" applyFont="1" applyFill="1" applyBorder="1" applyAlignment="1">
      <alignment horizontal="center" vertical="center" wrapText="1"/>
    </xf>
    <xf numFmtId="0" fontId="25" fillId="2" borderId="1" xfId="0" applyNumberFormat="1" applyFont="1" applyFill="1" applyBorder="1" applyAlignment="1">
      <alignment horizontal="center" vertical="center" wrapText="1"/>
    </xf>
    <xf numFmtId="0" fontId="11" fillId="7" borderId="1" xfId="0" applyFont="1" applyFill="1" applyBorder="1" applyAlignment="1">
      <alignment horizontal="center" vertical="center" wrapText="1"/>
    </xf>
    <xf numFmtId="0" fontId="7" fillId="2" borderId="0" xfId="0" applyFont="1" applyFill="1" applyBorder="1" applyAlignment="1">
      <alignment horizontal="center" vertical="center" wrapText="1"/>
    </xf>
    <xf numFmtId="0" fontId="1" fillId="7" borderId="1" xfId="0" applyFont="1" applyFill="1" applyBorder="1" applyAlignment="1">
      <alignment horizontal="center" vertical="center" wrapText="1"/>
    </xf>
    <xf numFmtId="0" fontId="7" fillId="2" borderId="16" xfId="0" applyFont="1" applyFill="1" applyBorder="1" applyAlignment="1">
      <alignment horizontal="center" vertical="center" wrapText="1"/>
    </xf>
    <xf numFmtId="0" fontId="7" fillId="2" borderId="1" xfId="0" applyFont="1" applyFill="1" applyBorder="1" applyAlignment="1">
      <alignment horizontal="center" vertical="center" wrapText="1"/>
    </xf>
    <xf numFmtId="0" fontId="7" fillId="2" borderId="1" xfId="0" applyFont="1" applyFill="1" applyBorder="1" applyAlignment="1">
      <alignment horizontal="center" vertical="center"/>
    </xf>
    <xf numFmtId="0" fontId="18" fillId="0" borderId="1" xfId="0" applyFont="1" applyBorder="1" applyAlignment="1">
      <alignment horizontal="left" vertical="center" wrapText="1"/>
    </xf>
    <xf numFmtId="0" fontId="2" fillId="0" borderId="1" xfId="0" applyFont="1" applyBorder="1" applyAlignment="1">
      <alignment wrapText="1"/>
    </xf>
    <xf numFmtId="0" fontId="2" fillId="2" borderId="0" xfId="0" applyFont="1" applyFill="1" applyBorder="1" applyAlignment="1">
      <alignment wrapText="1"/>
    </xf>
    <xf numFmtId="0" fontId="2" fillId="2" borderId="1" xfId="0" applyFont="1" applyFill="1" applyBorder="1" applyAlignment="1">
      <alignment wrapText="1"/>
    </xf>
    <xf numFmtId="0" fontId="10" fillId="7" borderId="1" xfId="0" applyFont="1" applyFill="1" applyBorder="1" applyAlignment="1">
      <alignment wrapText="1"/>
    </xf>
    <xf numFmtId="0" fontId="6" fillId="12" borderId="1" xfId="0" applyNumberFormat="1" applyFont="1" applyFill="1" applyBorder="1" applyAlignment="1">
      <alignment horizontal="center" vertical="center" wrapText="1"/>
    </xf>
    <xf numFmtId="0" fontId="6" fillId="12" borderId="1" xfId="0" applyFont="1" applyFill="1" applyBorder="1" applyAlignment="1">
      <alignment horizontal="center" vertical="center" wrapText="1"/>
    </xf>
    <xf numFmtId="0" fontId="6" fillId="0" borderId="1" xfId="0" applyNumberFormat="1" applyFont="1" applyFill="1" applyBorder="1" applyAlignment="1">
      <alignment horizontal="center" vertical="center" wrapText="1"/>
    </xf>
    <xf numFmtId="0" fontId="10" fillId="7" borderId="1" xfId="0" applyFont="1" applyFill="1" applyBorder="1" applyAlignment="1">
      <alignment horizontal="left" vertical="center" wrapText="1"/>
    </xf>
    <xf numFmtId="0" fontId="0" fillId="0" borderId="0" xfId="0" applyFill="1" applyAlignment="1">
      <alignment wrapText="1"/>
    </xf>
    <xf numFmtId="0" fontId="25" fillId="0" borderId="16" xfId="0" applyNumberFormat="1" applyFont="1" applyFill="1" applyBorder="1" applyAlignment="1">
      <alignment horizontal="center" vertical="center" wrapText="1"/>
    </xf>
    <xf numFmtId="0" fontId="3" fillId="0" borderId="1" xfId="0" applyNumberFormat="1" applyFont="1" applyFill="1" applyBorder="1" applyAlignment="1">
      <alignment horizontal="center" vertical="center" wrapText="1"/>
    </xf>
    <xf numFmtId="0" fontId="2" fillId="0" borderId="1" xfId="0" applyNumberFormat="1" applyFont="1" applyFill="1" applyBorder="1" applyAlignment="1">
      <alignment horizontal="center" vertical="center" wrapText="1"/>
    </xf>
    <xf numFmtId="164" fontId="17" fillId="0" borderId="1" xfId="0" applyNumberFormat="1" applyFont="1" applyFill="1" applyBorder="1" applyAlignment="1">
      <alignment horizontal="center" vertical="center" wrapText="1"/>
    </xf>
    <xf numFmtId="49" fontId="2" fillId="0" borderId="1" xfId="0" applyNumberFormat="1" applyFont="1" applyFill="1" applyBorder="1" applyAlignment="1">
      <alignment horizontal="left" vertical="center" wrapText="1"/>
    </xf>
    <xf numFmtId="49" fontId="17" fillId="0" borderId="1" xfId="0" applyNumberFormat="1"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49" fontId="30" fillId="7" borderId="1" xfId="0" applyNumberFormat="1" applyFont="1" applyFill="1" applyBorder="1" applyAlignment="1">
      <alignment horizontal="center" vertical="center" wrapText="1"/>
    </xf>
    <xf numFmtId="0" fontId="0" fillId="0" borderId="2" xfId="0" applyFill="1" applyBorder="1"/>
    <xf numFmtId="14" fontId="0" fillId="0" borderId="2" xfId="0" applyNumberFormat="1" applyFill="1" applyBorder="1"/>
    <xf numFmtId="166" fontId="2" fillId="0" borderId="0" xfId="0" applyNumberFormat="1" applyFont="1"/>
    <xf numFmtId="0" fontId="25" fillId="0" borderId="1" xfId="0" quotePrefix="1" applyNumberFormat="1" applyFont="1" applyFill="1" applyBorder="1" applyAlignment="1">
      <alignment horizontal="center" vertical="center" wrapText="1"/>
    </xf>
    <xf numFmtId="0" fontId="2" fillId="0" borderId="0" xfId="0" applyFont="1" applyBorder="1" applyAlignment="1">
      <alignment horizontal="left" vertical="center" wrapText="1"/>
    </xf>
    <xf numFmtId="164" fontId="2" fillId="0" borderId="0" xfId="0" applyNumberFormat="1" applyFont="1" applyBorder="1" applyAlignment="1">
      <alignment horizontal="left" vertical="center" wrapText="1"/>
    </xf>
    <xf numFmtId="14" fontId="2" fillId="0" borderId="0" xfId="0" applyNumberFormat="1" applyFont="1" applyBorder="1" applyAlignment="1">
      <alignment horizontal="left" vertical="center" wrapText="1"/>
    </xf>
    <xf numFmtId="14" fontId="2" fillId="0" borderId="0" xfId="0" applyNumberFormat="1" applyFont="1" applyAlignment="1">
      <alignment horizontal="left" vertical="center" wrapText="1"/>
    </xf>
    <xf numFmtId="0" fontId="0" fillId="10" borderId="1" xfId="0" applyFill="1" applyBorder="1"/>
    <xf numFmtId="0" fontId="3" fillId="0" borderId="2" xfId="0" applyNumberFormat="1" applyFont="1" applyFill="1" applyBorder="1" applyAlignment="1">
      <alignment horizontal="center" vertical="center" wrapText="1"/>
    </xf>
    <xf numFmtId="0" fontId="2" fillId="0" borderId="2" xfId="0" applyNumberFormat="1" applyFont="1" applyFill="1" applyBorder="1" applyAlignment="1">
      <alignment horizontal="center" vertical="center" wrapText="1"/>
    </xf>
    <xf numFmtId="49" fontId="2" fillId="0" borderId="2" xfId="0" applyNumberFormat="1" applyFont="1" applyFill="1" applyBorder="1" applyAlignment="1">
      <alignment horizontal="left" vertical="center" wrapText="1"/>
    </xf>
    <xf numFmtId="49" fontId="17" fillId="0" borderId="2" xfId="0" applyNumberFormat="1" applyFont="1" applyFill="1" applyBorder="1" applyAlignment="1">
      <alignment horizontal="center" vertical="center" wrapText="1"/>
    </xf>
    <xf numFmtId="164" fontId="17" fillId="0" borderId="2" xfId="0" applyNumberFormat="1" applyFont="1" applyFill="1" applyBorder="1" applyAlignment="1">
      <alignment horizontal="center" vertical="center" wrapText="1"/>
    </xf>
    <xf numFmtId="164" fontId="2" fillId="0" borderId="2" xfId="0" applyNumberFormat="1"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49" fontId="30" fillId="7" borderId="2" xfId="0" applyNumberFormat="1" applyFont="1" applyFill="1" applyBorder="1" applyAlignment="1">
      <alignment horizontal="center" vertical="center" wrapText="1"/>
    </xf>
    <xf numFmtId="0" fontId="0" fillId="10" borderId="2" xfId="0" applyFill="1" applyBorder="1"/>
    <xf numFmtId="14" fontId="0" fillId="10" borderId="2" xfId="0" applyNumberFormat="1" applyFill="1" applyBorder="1"/>
    <xf numFmtId="0" fontId="2" fillId="0" borderId="0" xfId="0" applyFont="1" applyAlignment="1">
      <alignment horizontal="center" vertical="center" wrapText="1"/>
    </xf>
    <xf numFmtId="49" fontId="4" fillId="0" borderId="0" xfId="0" applyNumberFormat="1" applyFont="1" applyAlignment="1">
      <alignment horizontal="center"/>
    </xf>
    <xf numFmtId="0" fontId="28" fillId="0" borderId="0" xfId="0" applyFont="1" applyAlignment="1">
      <alignment horizontal="center" vertical="center"/>
    </xf>
    <xf numFmtId="0" fontId="28" fillId="0" borderId="1" xfId="0" applyFont="1" applyBorder="1" applyAlignment="1">
      <alignment horizontal="center" vertical="center"/>
    </xf>
    <xf numFmtId="0" fontId="24" fillId="0" borderId="1" xfId="0" applyFont="1" applyBorder="1" applyAlignment="1">
      <alignment horizontal="center" vertical="center"/>
    </xf>
    <xf numFmtId="0" fontId="4" fillId="0" borderId="11" xfId="0" applyFont="1" applyBorder="1" applyAlignment="1">
      <alignment wrapText="1"/>
    </xf>
    <xf numFmtId="0" fontId="4" fillId="0" borderId="3" xfId="0" applyFont="1" applyBorder="1" applyAlignment="1">
      <alignment wrapText="1"/>
    </xf>
    <xf numFmtId="0" fontId="4" fillId="0" borderId="13" xfId="0" applyFont="1" applyBorder="1" applyAlignment="1">
      <alignment wrapText="1"/>
    </xf>
    <xf numFmtId="0" fontId="4" fillId="0" borderId="14" xfId="0" applyFont="1" applyBorder="1" applyAlignment="1">
      <alignment wrapText="1"/>
    </xf>
    <xf numFmtId="0" fontId="0" fillId="0" borderId="0" xfId="0" applyAlignment="1">
      <alignment horizontal="left" vertical="center"/>
    </xf>
    <xf numFmtId="0" fontId="4" fillId="0" borderId="9" xfId="0" applyFont="1" applyBorder="1" applyAlignment="1">
      <alignment wrapText="1"/>
    </xf>
    <xf numFmtId="0" fontId="4" fillId="0" borderId="1" xfId="0" applyFont="1" applyBorder="1" applyAlignment="1">
      <alignment wrapText="1"/>
    </xf>
    <xf numFmtId="0" fontId="4" fillId="0" borderId="9" xfId="0" applyFont="1" applyBorder="1" applyAlignment="1"/>
    <xf numFmtId="0" fontId="4" fillId="0" borderId="1" xfId="0" applyFont="1" applyBorder="1" applyAlignment="1"/>
    <xf numFmtId="0" fontId="3" fillId="0" borderId="6" xfId="0" applyFont="1" applyBorder="1" applyAlignment="1">
      <alignment horizontal="center"/>
    </xf>
    <xf numFmtId="0" fontId="3" fillId="0" borderId="7" xfId="0" applyFont="1" applyBorder="1" applyAlignment="1">
      <alignment horizontal="center"/>
    </xf>
    <xf numFmtId="0" fontId="3" fillId="0" borderId="8" xfId="0" applyFont="1" applyBorder="1" applyAlignment="1">
      <alignment horizontal="center"/>
    </xf>
    <xf numFmtId="0" fontId="22" fillId="0" borderId="16" xfId="0" applyFont="1" applyFill="1" applyBorder="1" applyAlignment="1">
      <alignment horizontal="left" vertical="center"/>
    </xf>
    <xf numFmtId="0" fontId="0" fillId="0" borderId="16" xfId="0" applyFill="1" applyBorder="1"/>
    <xf numFmtId="0" fontId="0" fillId="0" borderId="17" xfId="0" applyBorder="1" applyAlignment="1">
      <alignment horizontal="left" vertical="center" wrapText="1"/>
    </xf>
    <xf numFmtId="0" fontId="0" fillId="0" borderId="19" xfId="0" applyBorder="1" applyAlignment="1">
      <alignment horizontal="left" vertical="center" wrapText="1"/>
    </xf>
    <xf numFmtId="0" fontId="0" fillId="0" borderId="18" xfId="0" applyBorder="1" applyAlignment="1">
      <alignment horizontal="left" vertical="center" wrapText="1"/>
    </xf>
    <xf numFmtId="0" fontId="26" fillId="0" borderId="0" xfId="0" applyFont="1" applyAlignment="1">
      <alignment horizontal="center" wrapText="1"/>
    </xf>
    <xf numFmtId="0" fontId="8" fillId="8" borderId="24" xfId="0" applyNumberFormat="1" applyFont="1" applyFill="1" applyBorder="1" applyAlignment="1">
      <alignment horizontal="center" vertical="center"/>
    </xf>
    <xf numFmtId="0" fontId="0" fillId="0" borderId="17" xfId="0" applyFont="1" applyBorder="1" applyAlignment="1">
      <alignment horizontal="left" vertical="center" wrapText="1"/>
    </xf>
    <xf numFmtId="0" fontId="0" fillId="0" borderId="19" xfId="0" applyFont="1" applyBorder="1" applyAlignment="1">
      <alignment horizontal="left" vertical="center" wrapText="1"/>
    </xf>
    <xf numFmtId="0" fontId="0" fillId="0" borderId="18" xfId="0" applyFont="1" applyBorder="1" applyAlignment="1">
      <alignment horizontal="left" vertical="center" wrapText="1"/>
    </xf>
    <xf numFmtId="0" fontId="8" fillId="8" borderId="25" xfId="0" applyNumberFormat="1" applyFont="1" applyFill="1" applyBorder="1" applyAlignment="1">
      <alignment horizontal="center" vertical="center"/>
    </xf>
    <xf numFmtId="0" fontId="8" fillId="8" borderId="26" xfId="0" applyNumberFormat="1" applyFont="1" applyFill="1" applyBorder="1" applyAlignment="1">
      <alignment horizontal="center" vertical="center"/>
    </xf>
    <xf numFmtId="0" fontId="8" fillId="8" borderId="27" xfId="0" applyNumberFormat="1" applyFont="1" applyFill="1" applyBorder="1" applyAlignment="1">
      <alignment horizontal="center" vertical="center"/>
    </xf>
  </cellXfs>
  <cellStyles count="2">
    <cellStyle name="Collegamento ipertestuale" xfId="1" builtinId="8"/>
    <cellStyle name="Normale" xfId="0" builtinId="0"/>
  </cellStyles>
  <dxfs count="8483">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numFmt numFmtId="19" formatCode="dd/mm/yyyy"/>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dxf>
    <dxf>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9" formatCode="dd/mm/yyyy"/>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scheme val="minor"/>
      </font>
      <alignment horizontal="left" vertical="center" textRotation="0" wrapText="1" indent="0" justifyLastLine="0" shrinkToFit="0" readingOrder="0"/>
    </dxf>
    <dxf>
      <border>
        <bottom style="thin">
          <color indexed="64"/>
        </bottom>
      </border>
    </dxf>
    <dxf>
      <font>
        <b/>
        <i val="0"/>
        <strike val="0"/>
        <condense val="0"/>
        <extend val="0"/>
        <outline val="0"/>
        <shadow val="0"/>
        <u val="none"/>
        <vertAlign val="baseline"/>
        <sz val="10"/>
        <color theme="0"/>
        <name val="Arial"/>
        <scheme val="none"/>
      </font>
      <numFmt numFmtId="0" formatCode="General"/>
      <fill>
        <patternFill patternType="solid">
          <fgColor theme="1"/>
          <bgColor theme="1"/>
        </patternFill>
      </fil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strike val="0"/>
        <outline val="0"/>
        <shadow val="0"/>
        <u val="none"/>
        <vertAlign val="baseline"/>
        <sz val="10"/>
        <color theme="1"/>
        <name val="Arial"/>
        <family val="2"/>
        <scheme val="none"/>
      </font>
      <numFmt numFmtId="0" formatCode="General"/>
      <fill>
        <patternFill patternType="none">
          <fgColor indexed="64"/>
          <bgColor auto="1"/>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rgb="FF000000"/>
        <name val="Calibri"/>
        <family val="2"/>
        <scheme val="minor"/>
      </font>
      <numFmt numFmtId="0" formatCode="General"/>
      <fill>
        <patternFill patternType="solid">
          <fgColor indexed="64"/>
          <bgColor rgb="FFFFFFFF"/>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u val="none"/>
        <vertAlign val="baseline"/>
        <sz val="11"/>
        <color theme="1"/>
        <name val="Calibri"/>
        <family val="2"/>
        <scheme val="minor"/>
      </font>
      <numFmt numFmtId="0" formatCode="General"/>
      <fill>
        <patternFill patternType="none">
          <fgColor indexed="64"/>
          <bgColor auto="1"/>
        </patternFill>
      </fill>
      <alignment horizontal="lef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rgb="FF000000"/>
        </bottom>
      </border>
    </dxf>
    <dxf>
      <border outline="0">
        <bottom style="thin">
          <color indexed="64"/>
        </bottom>
      </border>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general" vertical="bottom" textRotation="0" wrapText="1" indent="0" justifyLastLine="0" shrinkToFit="0" readingOrder="0"/>
    </dxf>
    <dxf>
      <font>
        <b/>
        <i val="0"/>
        <strike val="0"/>
        <condense val="0"/>
        <extend val="0"/>
        <outline val="0"/>
        <shadow val="0"/>
        <u val="none"/>
        <vertAlign val="baseline"/>
        <sz val="12"/>
        <color rgb="FF000000"/>
        <name val="Calibri"/>
        <family val="2"/>
        <scheme val="minor"/>
      </font>
      <numFmt numFmtId="0" formatCode="General"/>
      <fill>
        <patternFill patternType="solid">
          <fgColor indexed="64"/>
          <bgColor rgb="FFFFFFFF"/>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strike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rgb="FF000000"/>
        </bottom>
      </border>
    </dxf>
    <dxf>
      <border outline="0">
        <bottom style="thin">
          <color indexed="64"/>
        </bottom>
      </border>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rgb="FF000000"/>
        <name val="Calibri"/>
        <family val="2"/>
        <scheme val="minor"/>
      </font>
      <numFmt numFmtId="0" formatCode="General"/>
      <fill>
        <patternFill patternType="solid">
          <fgColor indexed="64"/>
          <bgColor rgb="FFFFFFFF"/>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strike val="0"/>
        <outline val="0"/>
        <shadow val="0"/>
        <u val="none"/>
        <vertAlign val="baseline"/>
        <sz val="11"/>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rgb="FF000000"/>
        </bottom>
      </border>
    </dxf>
    <dxf>
      <border outline="0">
        <bottom style="thin">
          <color indexed="64"/>
        </bottom>
      </border>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rgb="FF000000"/>
        <name val="Calibri"/>
        <family val="2"/>
        <scheme val="minor"/>
      </font>
      <numFmt numFmtId="0" formatCode="General"/>
      <fill>
        <patternFill patternType="solid">
          <fgColor indexed="64"/>
          <bgColor rgb="FFFFFFFF"/>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strike val="0"/>
        <outline val="0"/>
        <shadow val="0"/>
        <u val="none"/>
        <vertAlign val="baseline"/>
        <sz val="11"/>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border outline="0">
        <bottom style="thin">
          <color indexed="64"/>
        </bottom>
      </border>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right/>
        <top/>
        <bottom style="thin">
          <color indexed="64"/>
        </bottom>
        <vertical/>
        <horizontal/>
      </border>
    </dxf>
    <dxf>
      <font>
        <b/>
        <i val="0"/>
        <strike val="0"/>
        <condense val="0"/>
        <extend val="0"/>
        <outline val="0"/>
        <shadow val="0"/>
        <u val="none"/>
        <vertAlign val="baseline"/>
        <sz val="14"/>
        <color rgb="FF000000"/>
        <name val="Calibri"/>
        <family val="2"/>
        <scheme val="minor"/>
      </font>
      <numFmt numFmtId="0" formatCode="General"/>
      <fill>
        <patternFill patternType="solid">
          <fgColor indexed="64"/>
          <bgColor rgb="FFFFFFFF"/>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left style="thin">
          <color rgb="FF000000"/>
        </left>
        <right style="thin">
          <color theme="1"/>
        </right>
        <top style="thin">
          <color rgb="FF000000"/>
        </top>
        <bottom style="thin">
          <color rgb="FF000000"/>
        </bottom>
      </border>
    </dxf>
    <dxf>
      <border>
        <bottom style="thin">
          <color indexed="64"/>
        </bottom>
      </border>
    </dxf>
    <dxf>
      <font>
        <b/>
        <i val="0"/>
        <strike val="0"/>
        <condense val="0"/>
        <extend val="0"/>
        <outline val="0"/>
        <shadow val="0"/>
        <u val="none"/>
        <vertAlign val="baseline"/>
        <sz val="10"/>
        <color theme="0"/>
        <name val="Arial"/>
        <scheme val="none"/>
      </font>
      <numFmt numFmtId="0" formatCode="General"/>
      <fill>
        <patternFill patternType="solid">
          <fgColor theme="1"/>
          <bgColor theme="1"/>
        </patternFill>
      </fil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4"/>
        <color rgb="FF000000"/>
        <name val="Calibri"/>
        <family val="2"/>
        <scheme val="minor"/>
      </font>
      <numFmt numFmtId="30" formatCode="@"/>
      <fill>
        <patternFill patternType="solid">
          <fgColor indexed="64"/>
          <bgColor rgb="FFFFFFFF"/>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164" formatCode="dd/mm/yy;@"/>
      <fill>
        <patternFill patternType="solid">
          <fgColor indexed="64"/>
          <bgColor rgb="FFFFFF0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4"/>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4"/>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4"/>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right style="thin">
          <color theme="1"/>
        </right>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dxf>
    <dxf>
      <border outline="0">
        <bottom style="thin">
          <color indexed="64"/>
        </bottom>
      </border>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4"/>
        <color rgb="FF000000"/>
        <name val="Calibri"/>
        <family val="2"/>
        <scheme val="minor"/>
      </font>
      <numFmt numFmtId="30" formatCode="@"/>
      <fill>
        <patternFill patternType="solid">
          <fgColor indexed="64"/>
          <bgColor rgb="FFFFFFFF"/>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outline val="0"/>
        <shadow val="0"/>
        <u val="none"/>
        <vertAlign val="baseline"/>
        <sz val="11"/>
        <color theme="1"/>
        <name val="Calibri"/>
        <family val="2"/>
        <scheme val="minor"/>
      </font>
      <numFmt numFmtId="30" formatCode="@"/>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alibri"/>
        <scheme val="minor"/>
      </font>
      <alignment horizontal="left" vertical="center" textRotation="0" wrapText="0" indent="0" justifyLastLine="0" shrinkToFit="0" readingOrder="0"/>
      <border diagonalUp="0" diagonalDown="0" outline="0">
        <left style="thin">
          <color indexed="64"/>
        </left>
        <right style="thin">
          <color indexed="64"/>
        </right>
        <top/>
        <bottom/>
      </border>
    </dxf>
    <dxf>
      <font>
        <b/>
        <strike val="0"/>
        <outline val="0"/>
        <shadow val="0"/>
        <u val="none"/>
        <vertAlign val="baseline"/>
        <sz val="11"/>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theme="1"/>
        <name val="Calibri"/>
        <scheme val="minor"/>
      </font>
      <numFmt numFmtId="30" formatCode="@"/>
      <alignment textRotation="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dxf>
    <dxf>
      <border outline="0">
        <bottom style="thin">
          <color indexed="64"/>
        </bottom>
      </border>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s>
  <tableStyles count="0" defaultTableStyle="TableStyleMedium2" defaultPivotStyle="PivotStyleLight16"/>
  <colors>
    <mruColors>
      <color rgb="FF32FF00"/>
      <color rgb="FF7FCB55"/>
      <color rgb="FFD0DD23"/>
      <color rgb="FFEBF010"/>
      <color rgb="FFB6FF01"/>
      <color rgb="FFBE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6.x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13.png"/></Relationships>
</file>

<file path=xl/drawings/_rels/drawing7.xml.rels><?xml version="1.0" encoding="UTF-8" standalone="yes"?>
<Relationships xmlns="http://schemas.openxmlformats.org/package/2006/relationships"><Relationship Id="rId1" Type="http://schemas.openxmlformats.org/officeDocument/2006/relationships/image" Target="../media/image15.emf"/></Relationships>
</file>

<file path=xl/drawings/_rels/drawing8.xml.rels><?xml version="1.0" encoding="UTF-8" standalone="yes"?>
<Relationships xmlns="http://schemas.openxmlformats.org/package/2006/relationships"><Relationship Id="rId3" Type="http://schemas.openxmlformats.org/officeDocument/2006/relationships/image" Target="../media/image17.emf"/><Relationship Id="rId2" Type="http://schemas.openxmlformats.org/officeDocument/2006/relationships/image" Target="../media/image4.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9.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1047750</xdr:rowOff>
        </xdr:from>
        <xdr:to>
          <xdr:col>3</xdr:col>
          <xdr:colOff>466725</xdr:colOff>
          <xdr:row>0</xdr:row>
          <xdr:rowOff>1314450</xdr:rowOff>
        </xdr:to>
        <xdr:sp macro="" textlink="">
          <xdr:nvSpPr>
            <xdr:cNvPr id="5772" name="Button 652" hidden="1">
              <a:extLst>
                <a:ext uri="{63B3BB69-23CF-44E3-9099-C40C66FF867C}">
                  <a14:compatExt spid="_x0000_s5772"/>
                </a:ext>
                <a:ext uri="{FF2B5EF4-FFF2-40B4-BE49-F238E27FC236}">
                  <a16:creationId xmlns:a16="http://schemas.microsoft.com/office/drawing/2014/main" id="{00000000-0008-0000-0000-00008C1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433914</xdr:colOff>
      <xdr:row>0</xdr:row>
      <xdr:rowOff>1434121</xdr:rowOff>
    </xdr:to>
    <xdr:pic>
      <xdr:nvPicPr>
        <xdr:cNvPr id="17" name="Immagine 2">
          <a:extLst>
            <a:ext uri="{FF2B5EF4-FFF2-40B4-BE49-F238E27FC236}">
              <a16:creationId xmlns:a16="http://schemas.microsoft.com/office/drawing/2014/main" id="{00000000-0008-0000-00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067101" y="265126"/>
          <a:ext cx="997808" cy="6927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317592</xdr:colOff>
      <xdr:row>0</xdr:row>
      <xdr:rowOff>556636</xdr:rowOff>
    </xdr:from>
    <xdr:to>
      <xdr:col>11</xdr:col>
      <xdr:colOff>431699</xdr:colOff>
      <xdr:row>0</xdr:row>
      <xdr:rowOff>1379562</xdr:rowOff>
    </xdr:to>
    <xdr:pic>
      <xdr:nvPicPr>
        <xdr:cNvPr id="18" name="Immagine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363144" y="556636"/>
          <a:ext cx="822742" cy="82292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3067663</xdr:colOff>
          <xdr:row>0</xdr:row>
          <xdr:rowOff>20284</xdr:rowOff>
        </xdr:from>
        <xdr:to>
          <xdr:col>6</xdr:col>
          <xdr:colOff>5325088</xdr:colOff>
          <xdr:row>1</xdr:row>
          <xdr:rowOff>216367</xdr:rowOff>
        </xdr:to>
        <xdr:pic>
          <xdr:nvPicPr>
            <xdr:cNvPr id="19" name="Immagine 18">
              <a:extLst>
                <a:ext uri="{FF2B5EF4-FFF2-40B4-BE49-F238E27FC236}">
                  <a16:creationId xmlns:a16="http://schemas.microsoft.com/office/drawing/2014/main" id="{00000000-0008-0000-0000-000013000000}"/>
                </a:ext>
              </a:extLst>
            </xdr:cNvPr>
            <xdr:cNvPicPr>
              <a:picLocks noChangeAspect="1" noChangeArrowheads="1"/>
              <a:extLst>
                <a:ext uri="{84589F7E-364E-4C9E-8A38-B11213B215E9}">
                  <a14:cameraTool cellRange="'Inserimento dati'!$E$1:$G$9" spid="_x0000_s305502"/>
                </a:ext>
              </a:extLst>
            </xdr:cNvPicPr>
          </xdr:nvPicPr>
          <xdr:blipFill>
            <a:blip xmlns:r="http://schemas.openxmlformats.org/officeDocument/2006/relationships" r:embed="rId3"/>
            <a:srcRect/>
            <a:stretch>
              <a:fillRect/>
            </a:stretch>
          </xdr:blipFill>
          <xdr:spPr bwMode="auto">
            <a:xfrm>
              <a:off x="5532957" y="20284"/>
              <a:ext cx="2257425" cy="1820936"/>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6</xdr:col>
      <xdr:colOff>1511563</xdr:colOff>
      <xdr:row>1</xdr:row>
      <xdr:rowOff>247650</xdr:rowOff>
    </xdr:from>
    <xdr:to>
      <xdr:col>6</xdr:col>
      <xdr:colOff>2249132</xdr:colOff>
      <xdr:row>2</xdr:row>
      <xdr:rowOff>443779</xdr:rowOff>
    </xdr:to>
    <xdr:pic>
      <xdr:nvPicPr>
        <xdr:cNvPr id="15" name="Immagine 2">
          <a:extLst>
            <a:ext uri="{FF2B5EF4-FFF2-40B4-BE49-F238E27FC236}">
              <a16:creationId xmlns:a16="http://schemas.microsoft.com/office/drawing/2014/main" id="{00000000-0008-0000-00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990228" y="1871230"/>
          <a:ext cx="737569"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2</xdr:row>
      <xdr:rowOff>4761</xdr:rowOff>
    </xdr:from>
    <xdr:to>
      <xdr:col>6</xdr:col>
      <xdr:colOff>2924349</xdr:colOff>
      <xdr:row>2</xdr:row>
      <xdr:rowOff>478452</xdr:rowOff>
    </xdr:to>
    <xdr:pic>
      <xdr:nvPicPr>
        <xdr:cNvPr id="16" name="Immagine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915306" y="1885949"/>
          <a:ext cx="485543" cy="473691"/>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95793" name="Button 3633" hidden="1">
              <a:extLst>
                <a:ext uri="{63B3BB69-23CF-44E3-9099-C40C66FF867C}">
                  <a14:compatExt spid="_x0000_s95793"/>
                </a:ext>
                <a:ext uri="{FF2B5EF4-FFF2-40B4-BE49-F238E27FC236}">
                  <a16:creationId xmlns:a16="http://schemas.microsoft.com/office/drawing/2014/main" id="{00000000-0008-0000-0000-0000317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95794" name="Button 3634" hidden="1">
              <a:extLst>
                <a:ext uri="{63B3BB69-23CF-44E3-9099-C40C66FF867C}">
                  <a14:compatExt spid="_x0000_s95794"/>
                </a:ext>
                <a:ext uri="{FF2B5EF4-FFF2-40B4-BE49-F238E27FC236}">
                  <a16:creationId xmlns:a16="http://schemas.microsoft.com/office/drawing/2014/main" id="{00000000-0008-0000-0000-0000327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95795" name="Button 3635" hidden="1">
              <a:extLst>
                <a:ext uri="{63B3BB69-23CF-44E3-9099-C40C66FF867C}">
                  <a14:compatExt spid="_x0000_s95795"/>
                </a:ext>
                <a:ext uri="{FF2B5EF4-FFF2-40B4-BE49-F238E27FC236}">
                  <a16:creationId xmlns:a16="http://schemas.microsoft.com/office/drawing/2014/main" id="{00000000-0008-0000-0000-0000337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95796" name="Button 3636" hidden="1">
              <a:extLst>
                <a:ext uri="{63B3BB69-23CF-44E3-9099-C40C66FF867C}">
                  <a14:compatExt spid="_x0000_s95796"/>
                </a:ext>
                <a:ext uri="{FF2B5EF4-FFF2-40B4-BE49-F238E27FC236}">
                  <a16:creationId xmlns:a16="http://schemas.microsoft.com/office/drawing/2014/main" id="{00000000-0008-0000-0000-0000347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95797" name="Button 3637" hidden="1">
              <a:extLst>
                <a:ext uri="{63B3BB69-23CF-44E3-9099-C40C66FF867C}">
                  <a14:compatExt spid="_x0000_s95797"/>
                </a:ext>
                <a:ext uri="{FF2B5EF4-FFF2-40B4-BE49-F238E27FC236}">
                  <a16:creationId xmlns:a16="http://schemas.microsoft.com/office/drawing/2014/main" id="{00000000-0008-0000-0000-0000357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96100" name="Button 3940" hidden="1">
              <a:extLst>
                <a:ext uri="{63B3BB69-23CF-44E3-9099-C40C66FF867C}">
                  <a14:compatExt spid="_x0000_s96100"/>
                </a:ext>
                <a:ext uri="{FF2B5EF4-FFF2-40B4-BE49-F238E27FC236}">
                  <a16:creationId xmlns:a16="http://schemas.microsoft.com/office/drawing/2014/main" id="{00000000-0008-0000-0000-00006477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96101" name="Button 3941" hidden="1">
              <a:extLst>
                <a:ext uri="{63B3BB69-23CF-44E3-9099-C40C66FF867C}">
                  <a14:compatExt spid="_x0000_s96101"/>
                </a:ext>
                <a:ext uri="{FF2B5EF4-FFF2-40B4-BE49-F238E27FC236}">
                  <a16:creationId xmlns:a16="http://schemas.microsoft.com/office/drawing/2014/main" id="{00000000-0008-0000-0000-0000657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96102" name="Button 3942" hidden="1">
              <a:extLst>
                <a:ext uri="{63B3BB69-23CF-44E3-9099-C40C66FF867C}">
                  <a14:compatExt spid="_x0000_s96102"/>
                </a:ext>
                <a:ext uri="{FF2B5EF4-FFF2-40B4-BE49-F238E27FC236}">
                  <a16:creationId xmlns:a16="http://schemas.microsoft.com/office/drawing/2014/main" id="{00000000-0008-0000-0000-0000667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96103" name="Button 3943" hidden="1">
              <a:extLst>
                <a:ext uri="{63B3BB69-23CF-44E3-9099-C40C66FF867C}">
                  <a14:compatExt spid="_x0000_s96103"/>
                </a:ext>
                <a:ext uri="{FF2B5EF4-FFF2-40B4-BE49-F238E27FC236}">
                  <a16:creationId xmlns:a16="http://schemas.microsoft.com/office/drawing/2014/main" id="{00000000-0008-0000-0000-00006777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96104" name="Button 3944" hidden="1">
              <a:extLst>
                <a:ext uri="{63B3BB69-23CF-44E3-9099-C40C66FF867C}">
                  <a14:compatExt spid="_x0000_s96104"/>
                </a:ext>
                <a:ext uri="{FF2B5EF4-FFF2-40B4-BE49-F238E27FC236}">
                  <a16:creationId xmlns:a16="http://schemas.microsoft.com/office/drawing/2014/main" id="{00000000-0008-0000-0000-0000687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96105" name="Button 3945" hidden="1">
              <a:extLst>
                <a:ext uri="{63B3BB69-23CF-44E3-9099-C40C66FF867C}">
                  <a14:compatExt spid="_x0000_s96105"/>
                </a:ext>
                <a:ext uri="{FF2B5EF4-FFF2-40B4-BE49-F238E27FC236}">
                  <a16:creationId xmlns:a16="http://schemas.microsoft.com/office/drawing/2014/main" id="{00000000-0008-0000-0000-00006977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681990</xdr:colOff>
          <xdr:row>151</xdr:row>
          <xdr:rowOff>0</xdr:rowOff>
        </xdr:from>
        <xdr:to>
          <xdr:col>12</xdr:col>
          <xdr:colOff>0</xdr:colOff>
          <xdr:row>151</xdr:row>
          <xdr:rowOff>0</xdr:rowOff>
        </xdr:to>
        <xdr:grpSp>
          <xdr:nvGrpSpPr>
            <xdr:cNvPr id="20" name="Group 2155">
              <a:extLst>
                <a:ext uri="{FF2B5EF4-FFF2-40B4-BE49-F238E27FC236}">
                  <a16:creationId xmlns:a16="http://schemas.microsoft.com/office/drawing/2014/main" id="{00000000-0008-0000-0000-000014000000}"/>
                </a:ext>
              </a:extLst>
            </xdr:cNvPr>
            <xdr:cNvGrpSpPr>
              <a:grpSpLocks/>
            </xdr:cNvGrpSpPr>
          </xdr:nvGrpSpPr>
          <xdr:grpSpPr bwMode="auto">
            <a:xfrm>
              <a:off x="3147284" y="58718824"/>
              <a:ext cx="8170657" cy="0"/>
              <a:chOff x="91131" y="5472"/>
              <a:chExt cx="26039" cy="3289"/>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681990</xdr:colOff>
          <xdr:row>18</xdr:row>
          <xdr:rowOff>0</xdr:rowOff>
        </xdr:from>
        <xdr:to>
          <xdr:col>12</xdr:col>
          <xdr:colOff>0</xdr:colOff>
          <xdr:row>18</xdr:row>
          <xdr:rowOff>0</xdr:rowOff>
        </xdr:to>
        <xdr:grpSp>
          <xdr:nvGrpSpPr>
            <xdr:cNvPr id="21" name="Group 2155">
              <a:extLst>
                <a:ext uri="{FF2B5EF4-FFF2-40B4-BE49-F238E27FC236}">
                  <a16:creationId xmlns:a16="http://schemas.microsoft.com/office/drawing/2014/main" id="{00000000-0008-0000-0000-000015000000}"/>
                </a:ext>
              </a:extLst>
            </xdr:cNvPr>
            <xdr:cNvGrpSpPr>
              <a:grpSpLocks/>
            </xdr:cNvGrpSpPr>
          </xdr:nvGrpSpPr>
          <xdr:grpSpPr bwMode="auto">
            <a:xfrm>
              <a:off x="3147284" y="7653618"/>
              <a:ext cx="8170657" cy="0"/>
              <a:chOff x="91131" y="5472"/>
              <a:chExt cx="26039" cy="3289"/>
            </a:xfrm>
          </xdr:grpSpPr>
        </xdr:grp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1047750</xdr:rowOff>
        </xdr:from>
        <xdr:to>
          <xdr:col>3</xdr:col>
          <xdr:colOff>466725</xdr:colOff>
          <xdr:row>0</xdr:row>
          <xdr:rowOff>1314450</xdr:rowOff>
        </xdr:to>
        <xdr:sp macro="" textlink="">
          <xdr:nvSpPr>
            <xdr:cNvPr id="1680" name="Button 656" hidden="1">
              <a:extLst>
                <a:ext uri="{63B3BB69-23CF-44E3-9099-C40C66FF867C}">
                  <a14:compatExt spid="_x0000_s1680"/>
                </a:ext>
                <a:ext uri="{FF2B5EF4-FFF2-40B4-BE49-F238E27FC236}">
                  <a16:creationId xmlns:a16="http://schemas.microsoft.com/office/drawing/2014/main" id="{00000000-0008-0000-0100-00009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422995</xdr:colOff>
      <xdr:row>0</xdr:row>
      <xdr:rowOff>1436362</xdr:rowOff>
    </xdr:to>
    <xdr:pic>
      <xdr:nvPicPr>
        <xdr:cNvPr id="13" name="Immagine 2">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971851" y="741376"/>
          <a:ext cx="997808" cy="6918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528028</xdr:colOff>
      <xdr:row>0</xdr:row>
      <xdr:rowOff>589863</xdr:rowOff>
    </xdr:from>
    <xdr:to>
      <xdr:col>11</xdr:col>
      <xdr:colOff>631216</xdr:colOff>
      <xdr:row>0</xdr:row>
      <xdr:rowOff>1415030</xdr:rowOff>
    </xdr:to>
    <xdr:pic>
      <xdr:nvPicPr>
        <xdr:cNvPr id="14" name="Immagin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573580" y="589863"/>
          <a:ext cx="822742" cy="82204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3018330</xdr:colOff>
          <xdr:row>0</xdr:row>
          <xdr:rowOff>61421</xdr:rowOff>
        </xdr:from>
        <xdr:to>
          <xdr:col>6</xdr:col>
          <xdr:colOff>5275755</xdr:colOff>
          <xdr:row>1</xdr:row>
          <xdr:rowOff>194771</xdr:rowOff>
        </xdr:to>
        <xdr:pic>
          <xdr:nvPicPr>
            <xdr:cNvPr id="15" name="Immagine 14">
              <a:extLst>
                <a:ext uri="{FF2B5EF4-FFF2-40B4-BE49-F238E27FC236}">
                  <a16:creationId xmlns:a16="http://schemas.microsoft.com/office/drawing/2014/main" id="{00000000-0008-0000-0100-00000F000000}"/>
                </a:ext>
              </a:extLst>
            </xdr:cNvPr>
            <xdr:cNvPicPr>
              <a:picLocks noChangeAspect="1" noChangeArrowheads="1"/>
              <a:extLst>
                <a:ext uri="{84589F7E-364E-4C9E-8A38-B11213B215E9}">
                  <a14:cameraTool cellRange="'Inserimento dati'!$E$11:$G$19" spid="_x0000_s324860"/>
                </a:ext>
              </a:extLst>
            </xdr:cNvPicPr>
          </xdr:nvPicPr>
          <xdr:blipFill>
            <a:blip xmlns:r="http://schemas.openxmlformats.org/officeDocument/2006/relationships" r:embed="rId3"/>
            <a:srcRect/>
            <a:stretch>
              <a:fillRect/>
            </a:stretch>
          </xdr:blipFill>
          <xdr:spPr bwMode="auto">
            <a:xfrm>
              <a:off x="5591175" y="61421"/>
              <a:ext cx="2257425" cy="175369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6</xdr:col>
      <xdr:colOff>1511563</xdr:colOff>
      <xdr:row>1</xdr:row>
      <xdr:rowOff>247650</xdr:rowOff>
    </xdr:from>
    <xdr:to>
      <xdr:col>6</xdr:col>
      <xdr:colOff>2249132</xdr:colOff>
      <xdr:row>3</xdr:row>
      <xdr:rowOff>0</xdr:rowOff>
    </xdr:to>
    <xdr:pic>
      <xdr:nvPicPr>
        <xdr:cNvPr id="16" name="Immagine 2">
          <a:extLst>
            <a:ext uri="{FF2B5EF4-FFF2-40B4-BE49-F238E27FC236}">
              <a16:creationId xmlns:a16="http://schemas.microsoft.com/office/drawing/2014/main" id="{00000000-0008-0000-01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84408" y="1867995"/>
          <a:ext cx="737569" cy="4968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17" name="Immagin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102838" name="Button 3510" hidden="1">
              <a:extLst>
                <a:ext uri="{63B3BB69-23CF-44E3-9099-C40C66FF867C}">
                  <a14:compatExt spid="_x0000_s102838"/>
                </a:ext>
                <a:ext uri="{FF2B5EF4-FFF2-40B4-BE49-F238E27FC236}">
                  <a16:creationId xmlns:a16="http://schemas.microsoft.com/office/drawing/2014/main" id="{00000000-0008-0000-0100-0000B69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102839" name="Button 3511" hidden="1">
              <a:extLst>
                <a:ext uri="{63B3BB69-23CF-44E3-9099-C40C66FF867C}">
                  <a14:compatExt spid="_x0000_s102839"/>
                </a:ext>
                <a:ext uri="{FF2B5EF4-FFF2-40B4-BE49-F238E27FC236}">
                  <a16:creationId xmlns:a16="http://schemas.microsoft.com/office/drawing/2014/main" id="{00000000-0008-0000-0100-0000B79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102840" name="Button 3512" hidden="1">
              <a:extLst>
                <a:ext uri="{63B3BB69-23CF-44E3-9099-C40C66FF867C}">
                  <a14:compatExt spid="_x0000_s102840"/>
                </a:ext>
                <a:ext uri="{FF2B5EF4-FFF2-40B4-BE49-F238E27FC236}">
                  <a16:creationId xmlns:a16="http://schemas.microsoft.com/office/drawing/2014/main" id="{00000000-0008-0000-0100-0000B89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102841" name="Button 3513" hidden="1">
              <a:extLst>
                <a:ext uri="{63B3BB69-23CF-44E3-9099-C40C66FF867C}">
                  <a14:compatExt spid="_x0000_s102841"/>
                </a:ext>
                <a:ext uri="{FF2B5EF4-FFF2-40B4-BE49-F238E27FC236}">
                  <a16:creationId xmlns:a16="http://schemas.microsoft.com/office/drawing/2014/main" id="{00000000-0008-0000-0100-0000B99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102842" name="Button 3514" hidden="1">
              <a:extLst>
                <a:ext uri="{63B3BB69-23CF-44E3-9099-C40C66FF867C}">
                  <a14:compatExt spid="_x0000_s102842"/>
                </a:ext>
                <a:ext uri="{FF2B5EF4-FFF2-40B4-BE49-F238E27FC236}">
                  <a16:creationId xmlns:a16="http://schemas.microsoft.com/office/drawing/2014/main" id="{00000000-0008-0000-0100-0000BA9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103166" name="Button 3838" hidden="1">
              <a:extLst>
                <a:ext uri="{63B3BB69-23CF-44E3-9099-C40C66FF867C}">
                  <a14:compatExt spid="_x0000_s103166"/>
                </a:ext>
                <a:ext uri="{FF2B5EF4-FFF2-40B4-BE49-F238E27FC236}">
                  <a16:creationId xmlns:a16="http://schemas.microsoft.com/office/drawing/2014/main" id="{00000000-0008-0000-0100-0000FE92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103167" name="Button 3839" hidden="1">
              <a:extLst>
                <a:ext uri="{63B3BB69-23CF-44E3-9099-C40C66FF867C}">
                  <a14:compatExt spid="_x0000_s103167"/>
                </a:ext>
                <a:ext uri="{FF2B5EF4-FFF2-40B4-BE49-F238E27FC236}">
                  <a16:creationId xmlns:a16="http://schemas.microsoft.com/office/drawing/2014/main" id="{00000000-0008-0000-0100-0000FF9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103168" name="Button 3840" hidden="1">
              <a:extLst>
                <a:ext uri="{63B3BB69-23CF-44E3-9099-C40C66FF867C}">
                  <a14:compatExt spid="_x0000_s103168"/>
                </a:ext>
                <a:ext uri="{FF2B5EF4-FFF2-40B4-BE49-F238E27FC236}">
                  <a16:creationId xmlns:a16="http://schemas.microsoft.com/office/drawing/2014/main" id="{00000000-0008-0000-0100-0000009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103169" name="Button 3841" hidden="1">
              <a:extLst>
                <a:ext uri="{63B3BB69-23CF-44E3-9099-C40C66FF867C}">
                  <a14:compatExt spid="_x0000_s103169"/>
                </a:ext>
                <a:ext uri="{FF2B5EF4-FFF2-40B4-BE49-F238E27FC236}">
                  <a16:creationId xmlns:a16="http://schemas.microsoft.com/office/drawing/2014/main" id="{00000000-0008-0000-0100-00000193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103170" name="Button 3842" hidden="1">
              <a:extLst>
                <a:ext uri="{63B3BB69-23CF-44E3-9099-C40C66FF867C}">
                  <a14:compatExt spid="_x0000_s103170"/>
                </a:ext>
                <a:ext uri="{FF2B5EF4-FFF2-40B4-BE49-F238E27FC236}">
                  <a16:creationId xmlns:a16="http://schemas.microsoft.com/office/drawing/2014/main" id="{00000000-0008-0000-0100-0000029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103171" name="Button 3843" hidden="1">
              <a:extLst>
                <a:ext uri="{63B3BB69-23CF-44E3-9099-C40C66FF867C}">
                  <a14:compatExt spid="_x0000_s103171"/>
                </a:ext>
                <a:ext uri="{FF2B5EF4-FFF2-40B4-BE49-F238E27FC236}">
                  <a16:creationId xmlns:a16="http://schemas.microsoft.com/office/drawing/2014/main" id="{00000000-0008-0000-0100-00000393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1047750</xdr:rowOff>
        </xdr:from>
        <xdr:to>
          <xdr:col>3</xdr:col>
          <xdr:colOff>466725</xdr:colOff>
          <xdr:row>0</xdr:row>
          <xdr:rowOff>1314450</xdr:rowOff>
        </xdr:to>
        <xdr:sp macro="" textlink="">
          <xdr:nvSpPr>
            <xdr:cNvPr id="29423" name="Button 751" hidden="1">
              <a:extLst>
                <a:ext uri="{63B3BB69-23CF-44E3-9099-C40C66FF867C}">
                  <a14:compatExt spid="_x0000_s29423"/>
                </a:ext>
                <a:ext uri="{FF2B5EF4-FFF2-40B4-BE49-F238E27FC236}">
                  <a16:creationId xmlns:a16="http://schemas.microsoft.com/office/drawing/2014/main" id="{00000000-0008-0000-0200-0000EF72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455760</xdr:colOff>
      <xdr:row>0</xdr:row>
      <xdr:rowOff>1433235</xdr:rowOff>
    </xdr:to>
    <xdr:pic>
      <xdr:nvPicPr>
        <xdr:cNvPr id="17" name="Immagine 2">
          <a:extLst>
            <a:ext uri="{FF2B5EF4-FFF2-40B4-BE49-F238E27FC236}">
              <a16:creationId xmlns:a16="http://schemas.microsoft.com/office/drawing/2014/main" id="{00000000-0008-0000-02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964007" y="741376"/>
          <a:ext cx="997248" cy="6918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528028</xdr:colOff>
      <xdr:row>0</xdr:row>
      <xdr:rowOff>589863</xdr:rowOff>
    </xdr:from>
    <xdr:to>
      <xdr:col>11</xdr:col>
      <xdr:colOff>663987</xdr:colOff>
      <xdr:row>0</xdr:row>
      <xdr:rowOff>1411903</xdr:rowOff>
    </xdr:to>
    <xdr:pic>
      <xdr:nvPicPr>
        <xdr:cNvPr id="18" name="Immagine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34028" y="589863"/>
          <a:ext cx="819745" cy="82204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3015961</xdr:colOff>
          <xdr:row>0</xdr:row>
          <xdr:rowOff>29874</xdr:rowOff>
        </xdr:from>
        <xdr:to>
          <xdr:col>6</xdr:col>
          <xdr:colOff>5273386</xdr:colOff>
          <xdr:row>1</xdr:row>
          <xdr:rowOff>258474</xdr:rowOff>
        </xdr:to>
        <xdr:pic>
          <xdr:nvPicPr>
            <xdr:cNvPr id="16" name="Immagine 15">
              <a:extLst>
                <a:ext uri="{FF2B5EF4-FFF2-40B4-BE49-F238E27FC236}">
                  <a16:creationId xmlns:a16="http://schemas.microsoft.com/office/drawing/2014/main" id="{00000000-0008-0000-0200-000010000000}"/>
                </a:ext>
              </a:extLst>
            </xdr:cNvPr>
            <xdr:cNvPicPr>
              <a:picLocks noChangeAspect="1" noChangeArrowheads="1"/>
              <a:extLst>
                <a:ext uri="{84589F7E-364E-4C9E-8A38-B11213B215E9}">
                  <a14:cameraTool cellRange="'Inserimento dati'!$E$21:$G$29" spid="_x0000_s296773"/>
                </a:ext>
              </a:extLst>
            </xdr:cNvPicPr>
          </xdr:nvPicPr>
          <xdr:blipFill>
            <a:blip xmlns:r="http://schemas.openxmlformats.org/officeDocument/2006/relationships" r:embed="rId3"/>
            <a:srcRect/>
            <a:stretch>
              <a:fillRect/>
            </a:stretch>
          </xdr:blipFill>
          <xdr:spPr bwMode="auto">
            <a:xfrm>
              <a:off x="5494626" y="29874"/>
              <a:ext cx="2257425" cy="185218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6</xdr:col>
      <xdr:colOff>1511564</xdr:colOff>
      <xdr:row>1</xdr:row>
      <xdr:rowOff>247650</xdr:rowOff>
    </xdr:from>
    <xdr:to>
      <xdr:col>6</xdr:col>
      <xdr:colOff>2086842</xdr:colOff>
      <xdr:row>3</xdr:row>
      <xdr:rowOff>21548</xdr:rowOff>
    </xdr:to>
    <xdr:pic>
      <xdr:nvPicPr>
        <xdr:cNvPr id="21" name="Immagine 2">
          <a:extLst>
            <a:ext uri="{FF2B5EF4-FFF2-40B4-BE49-F238E27FC236}">
              <a16:creationId xmlns:a16="http://schemas.microsoft.com/office/drawing/2014/main" id="{00000000-0008-0000-02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14041" y="1866900"/>
          <a:ext cx="575278" cy="5445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22" name="Immagine 21">
          <a:extLst>
            <a:ext uri="{FF2B5EF4-FFF2-40B4-BE49-F238E27FC236}">
              <a16:creationId xmlns:a16="http://schemas.microsoft.com/office/drawing/2014/main" id="{00000000-0008-0000-0200-00001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90892" name="Button 3852" hidden="1">
              <a:extLst>
                <a:ext uri="{63B3BB69-23CF-44E3-9099-C40C66FF867C}">
                  <a14:compatExt spid="_x0000_s90892"/>
                </a:ext>
                <a:ext uri="{FF2B5EF4-FFF2-40B4-BE49-F238E27FC236}">
                  <a16:creationId xmlns:a16="http://schemas.microsoft.com/office/drawing/2014/main" id="{00000000-0008-0000-0200-00000C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90893" name="Button 3853" hidden="1">
              <a:extLst>
                <a:ext uri="{63B3BB69-23CF-44E3-9099-C40C66FF867C}">
                  <a14:compatExt spid="_x0000_s90893"/>
                </a:ext>
                <a:ext uri="{FF2B5EF4-FFF2-40B4-BE49-F238E27FC236}">
                  <a16:creationId xmlns:a16="http://schemas.microsoft.com/office/drawing/2014/main" id="{00000000-0008-0000-0200-00000D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90894" name="Button 3854" hidden="1">
              <a:extLst>
                <a:ext uri="{63B3BB69-23CF-44E3-9099-C40C66FF867C}">
                  <a14:compatExt spid="_x0000_s90894"/>
                </a:ext>
                <a:ext uri="{FF2B5EF4-FFF2-40B4-BE49-F238E27FC236}">
                  <a16:creationId xmlns:a16="http://schemas.microsoft.com/office/drawing/2014/main" id="{00000000-0008-0000-0200-00000E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90895" name="Button 3855" hidden="1">
              <a:extLst>
                <a:ext uri="{63B3BB69-23CF-44E3-9099-C40C66FF867C}">
                  <a14:compatExt spid="_x0000_s90895"/>
                </a:ext>
                <a:ext uri="{FF2B5EF4-FFF2-40B4-BE49-F238E27FC236}">
                  <a16:creationId xmlns:a16="http://schemas.microsoft.com/office/drawing/2014/main" id="{00000000-0008-0000-0200-00000F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90896" name="Button 3856" hidden="1">
              <a:extLst>
                <a:ext uri="{63B3BB69-23CF-44E3-9099-C40C66FF867C}">
                  <a14:compatExt spid="_x0000_s90896"/>
                </a:ext>
                <a:ext uri="{FF2B5EF4-FFF2-40B4-BE49-F238E27FC236}">
                  <a16:creationId xmlns:a16="http://schemas.microsoft.com/office/drawing/2014/main" id="{00000000-0008-0000-0200-000010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0</xdr:row>
          <xdr:rowOff>1466850</xdr:rowOff>
        </xdr:from>
        <xdr:to>
          <xdr:col>12</xdr:col>
          <xdr:colOff>1038225</xdr:colOff>
          <xdr:row>2</xdr:row>
          <xdr:rowOff>9525</xdr:rowOff>
        </xdr:to>
        <xdr:sp macro="" textlink="">
          <xdr:nvSpPr>
            <xdr:cNvPr id="90903" name="Button 3863" hidden="1">
              <a:extLst>
                <a:ext uri="{63B3BB69-23CF-44E3-9099-C40C66FF867C}">
                  <a14:compatExt spid="_x0000_s90903"/>
                </a:ext>
                <a:ext uri="{FF2B5EF4-FFF2-40B4-BE49-F238E27FC236}">
                  <a16:creationId xmlns:a16="http://schemas.microsoft.com/office/drawing/2014/main" id="{00000000-0008-0000-0200-00001763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PROG. SETTIMANALE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90904" name="Button 3864" hidden="1">
              <a:extLst>
                <a:ext uri="{63B3BB69-23CF-44E3-9099-C40C66FF867C}">
                  <a14:compatExt spid="_x0000_s90904"/>
                </a:ext>
                <a:ext uri="{FF2B5EF4-FFF2-40B4-BE49-F238E27FC236}">
                  <a16:creationId xmlns:a16="http://schemas.microsoft.com/office/drawing/2014/main" id="{00000000-0008-0000-0200-000018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90906" name="Button 3866" hidden="1">
              <a:extLst>
                <a:ext uri="{63B3BB69-23CF-44E3-9099-C40C66FF867C}">
                  <a14:compatExt spid="_x0000_s90906"/>
                </a:ext>
                <a:ext uri="{FF2B5EF4-FFF2-40B4-BE49-F238E27FC236}">
                  <a16:creationId xmlns:a16="http://schemas.microsoft.com/office/drawing/2014/main" id="{00000000-0008-0000-0200-00001A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xdr:twoCellAnchor>
    <xdr:from>
      <xdr:col>11</xdr:col>
      <xdr:colOff>691164</xdr:colOff>
      <xdr:row>0</xdr:row>
      <xdr:rowOff>0</xdr:rowOff>
    </xdr:from>
    <xdr:to>
      <xdr:col>13</xdr:col>
      <xdr:colOff>10948</xdr:colOff>
      <xdr:row>0</xdr:row>
      <xdr:rowOff>229914</xdr:rowOff>
    </xdr:to>
    <xdr:sp macro="" textlink="">
      <xdr:nvSpPr>
        <xdr:cNvPr id="4" name="Rettangolo 3">
          <a:extLst>
            <a:ext uri="{FF2B5EF4-FFF2-40B4-BE49-F238E27FC236}">
              <a16:creationId xmlns:a16="http://schemas.microsoft.com/office/drawing/2014/main" id="{00000000-0008-0000-0200-000004000000}"/>
            </a:ext>
          </a:extLst>
        </xdr:cNvPr>
        <xdr:cNvSpPr/>
      </xdr:nvSpPr>
      <xdr:spPr>
        <a:xfrm>
          <a:off x="11365733" y="0"/>
          <a:ext cx="1071508" cy="22991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000"/>
            <a:t>FILTRA PDL</a:t>
          </a:r>
        </a:p>
      </xdr:txBody>
    </xdr:sp>
    <xdr:clientData/>
  </xdr:twoCellAnchor>
  <xdr:twoCellAnchor>
    <xdr:from>
      <xdr:col>16</xdr:col>
      <xdr:colOff>1620345</xdr:colOff>
      <xdr:row>0</xdr:row>
      <xdr:rowOff>0</xdr:rowOff>
    </xdr:from>
    <xdr:to>
      <xdr:col>16</xdr:col>
      <xdr:colOff>2691853</xdr:colOff>
      <xdr:row>0</xdr:row>
      <xdr:rowOff>229914</xdr:rowOff>
    </xdr:to>
    <xdr:sp macro="" textlink="">
      <xdr:nvSpPr>
        <xdr:cNvPr id="23" name="Rettangolo 22">
          <a:extLst>
            <a:ext uri="{FF2B5EF4-FFF2-40B4-BE49-F238E27FC236}">
              <a16:creationId xmlns:a16="http://schemas.microsoft.com/office/drawing/2014/main" id="{00000000-0008-0000-0200-000017000000}"/>
            </a:ext>
          </a:extLst>
        </xdr:cNvPr>
        <xdr:cNvSpPr/>
      </xdr:nvSpPr>
      <xdr:spPr>
        <a:xfrm>
          <a:off x="15491811" y="0"/>
          <a:ext cx="1071508" cy="22991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000"/>
            <a:t>FILTRA ATTIVITA'</a:t>
          </a:r>
        </a:p>
      </xdr:txBody>
    </xdr:sp>
    <xdr:clientData/>
  </xdr:twoCellAnchor>
  <mc:AlternateContent xmlns:mc="http://schemas.openxmlformats.org/markup-compatibility/2006">
    <mc:Choice xmlns:a14="http://schemas.microsoft.com/office/drawing/2010/main" Requires="a14">
      <xdr:twoCellAnchor>
        <xdr:from>
          <xdr:col>12</xdr:col>
          <xdr:colOff>19050</xdr:colOff>
          <xdr:row>0</xdr:row>
          <xdr:rowOff>276225</xdr:rowOff>
        </xdr:from>
        <xdr:to>
          <xdr:col>12</xdr:col>
          <xdr:colOff>1047750</xdr:colOff>
          <xdr:row>0</xdr:row>
          <xdr:rowOff>514350</xdr:rowOff>
        </xdr:to>
        <xdr:sp macro="" textlink="">
          <xdr:nvSpPr>
            <xdr:cNvPr id="118615" name="Button 4951" hidden="1">
              <a:extLst>
                <a:ext uri="{63B3BB69-23CF-44E3-9099-C40C66FF867C}">
                  <a14:compatExt spid="_x0000_s118615"/>
                </a:ext>
                <a:ext uri="{FF2B5EF4-FFF2-40B4-BE49-F238E27FC236}">
                  <a16:creationId xmlns:a16="http://schemas.microsoft.com/office/drawing/2014/main" id="{00000000-0008-0000-0200-000057C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0</xdr:row>
          <xdr:rowOff>838200</xdr:rowOff>
        </xdr:from>
        <xdr:to>
          <xdr:col>12</xdr:col>
          <xdr:colOff>1047750</xdr:colOff>
          <xdr:row>0</xdr:row>
          <xdr:rowOff>1085850</xdr:rowOff>
        </xdr:to>
        <xdr:sp macro="" textlink="">
          <xdr:nvSpPr>
            <xdr:cNvPr id="118616" name="Button 4952" hidden="1">
              <a:extLst>
                <a:ext uri="{63B3BB69-23CF-44E3-9099-C40C66FF867C}">
                  <a14:compatExt spid="_x0000_s118616"/>
                </a:ext>
                <a:ext uri="{FF2B5EF4-FFF2-40B4-BE49-F238E27FC236}">
                  <a16:creationId xmlns:a16="http://schemas.microsoft.com/office/drawing/2014/main" id="{00000000-0008-0000-0200-000058C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0</xdr:row>
          <xdr:rowOff>561975</xdr:rowOff>
        </xdr:from>
        <xdr:to>
          <xdr:col>12</xdr:col>
          <xdr:colOff>1047750</xdr:colOff>
          <xdr:row>0</xdr:row>
          <xdr:rowOff>800100</xdr:rowOff>
        </xdr:to>
        <xdr:sp macro="" textlink="">
          <xdr:nvSpPr>
            <xdr:cNvPr id="118617" name="Button 4953" hidden="1">
              <a:extLst>
                <a:ext uri="{63B3BB69-23CF-44E3-9099-C40C66FF867C}">
                  <a14:compatExt spid="_x0000_s118617"/>
                </a:ext>
                <a:ext uri="{FF2B5EF4-FFF2-40B4-BE49-F238E27FC236}">
                  <a16:creationId xmlns:a16="http://schemas.microsoft.com/office/drawing/2014/main" id="{00000000-0008-0000-0200-000059C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xdr:twoCellAnchor>
    <xdr:from>
      <xdr:col>11</xdr:col>
      <xdr:colOff>691164</xdr:colOff>
      <xdr:row>0</xdr:row>
      <xdr:rowOff>0</xdr:rowOff>
    </xdr:from>
    <xdr:to>
      <xdr:col>13</xdr:col>
      <xdr:colOff>10948</xdr:colOff>
      <xdr:row>0</xdr:row>
      <xdr:rowOff>229914</xdr:rowOff>
    </xdr:to>
    <xdr:sp macro="" textlink="">
      <xdr:nvSpPr>
        <xdr:cNvPr id="27" name="Rettangolo 26">
          <a:extLst>
            <a:ext uri="{FF2B5EF4-FFF2-40B4-BE49-F238E27FC236}">
              <a16:creationId xmlns:a16="http://schemas.microsoft.com/office/drawing/2014/main" id="{00000000-0008-0000-0200-00001B000000}"/>
            </a:ext>
          </a:extLst>
        </xdr:cNvPr>
        <xdr:cNvSpPr/>
      </xdr:nvSpPr>
      <xdr:spPr>
        <a:xfrm>
          <a:off x="11330589" y="0"/>
          <a:ext cx="1062859" cy="22991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000"/>
            <a:t>FILTRA PDL</a:t>
          </a:r>
        </a:p>
      </xdr:txBody>
    </xdr:sp>
    <xdr:clientData/>
  </xdr:twoCellAnchor>
  <mc:AlternateContent xmlns:mc="http://schemas.openxmlformats.org/markup-compatibility/2006">
    <mc:Choice xmlns:a14="http://schemas.microsoft.com/office/drawing/2010/main" Requires="a14">
      <xdr:twoCellAnchor>
        <xdr:from>
          <xdr:col>12</xdr:col>
          <xdr:colOff>28575</xdr:colOff>
          <xdr:row>0</xdr:row>
          <xdr:rowOff>1219200</xdr:rowOff>
        </xdr:from>
        <xdr:to>
          <xdr:col>13</xdr:col>
          <xdr:colOff>9525</xdr:colOff>
          <xdr:row>0</xdr:row>
          <xdr:rowOff>1457325</xdr:rowOff>
        </xdr:to>
        <xdr:sp macro="" textlink="">
          <xdr:nvSpPr>
            <xdr:cNvPr id="118618" name="Button 4954" hidden="1">
              <a:extLst>
                <a:ext uri="{63B3BB69-23CF-44E3-9099-C40C66FF867C}">
                  <a14:compatExt spid="_x0000_s118618"/>
                </a:ext>
                <a:ext uri="{FF2B5EF4-FFF2-40B4-BE49-F238E27FC236}">
                  <a16:creationId xmlns:a16="http://schemas.microsoft.com/office/drawing/2014/main" id="{00000000-0008-0000-0200-00005AC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DESIDERATA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582930</xdr:colOff>
          <xdr:row>189</xdr:row>
          <xdr:rowOff>0</xdr:rowOff>
        </xdr:from>
        <xdr:to>
          <xdr:col>12</xdr:col>
          <xdr:colOff>3810</xdr:colOff>
          <xdr:row>189</xdr:row>
          <xdr:rowOff>3810</xdr:rowOff>
        </xdr:to>
        <xdr:grpSp>
          <xdr:nvGrpSpPr>
            <xdr:cNvPr id="26" name="Group 2143">
              <a:extLst>
                <a:ext uri="{FF2B5EF4-FFF2-40B4-BE49-F238E27FC236}">
                  <a16:creationId xmlns:a16="http://schemas.microsoft.com/office/drawing/2014/main" id="{00000000-0008-0000-0200-00001A000000}"/>
                </a:ext>
              </a:extLst>
            </xdr:cNvPr>
            <xdr:cNvGrpSpPr>
              <a:grpSpLocks/>
            </xdr:cNvGrpSpPr>
          </xdr:nvGrpSpPr>
          <xdr:grpSpPr bwMode="auto">
            <a:xfrm>
              <a:off x="3048224" y="71527147"/>
              <a:ext cx="8273527" cy="3810"/>
              <a:chOff x="91131" y="5472"/>
              <a:chExt cx="26039" cy="3289"/>
            </a:xfrm>
          </xdr:grpSpPr>
        </xdr:grp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1047750</xdr:rowOff>
        </xdr:from>
        <xdr:to>
          <xdr:col>3</xdr:col>
          <xdr:colOff>466725</xdr:colOff>
          <xdr:row>0</xdr:row>
          <xdr:rowOff>1314450</xdr:rowOff>
        </xdr:to>
        <xdr:sp macro="" textlink="">
          <xdr:nvSpPr>
            <xdr:cNvPr id="3729" name="Button 657" hidden="1">
              <a:extLst>
                <a:ext uri="{63B3BB69-23CF-44E3-9099-C40C66FF867C}">
                  <a14:compatExt spid="_x0000_s3729"/>
                </a:ext>
                <a:ext uri="{FF2B5EF4-FFF2-40B4-BE49-F238E27FC236}">
                  <a16:creationId xmlns:a16="http://schemas.microsoft.com/office/drawing/2014/main" id="{00000000-0008-0000-0300-0000910E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422993</xdr:colOff>
      <xdr:row>0</xdr:row>
      <xdr:rowOff>1433235</xdr:rowOff>
    </xdr:to>
    <xdr:pic>
      <xdr:nvPicPr>
        <xdr:cNvPr id="16" name="Immagine 2">
          <a:extLst>
            <a:ext uri="{FF2B5EF4-FFF2-40B4-BE49-F238E27FC236}">
              <a16:creationId xmlns:a16="http://schemas.microsoft.com/office/drawing/2014/main" id="{00000000-0008-0000-03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971851" y="741376"/>
          <a:ext cx="997808" cy="6918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528028</xdr:colOff>
      <xdr:row>0</xdr:row>
      <xdr:rowOff>589863</xdr:rowOff>
    </xdr:from>
    <xdr:to>
      <xdr:col>11</xdr:col>
      <xdr:colOff>631216</xdr:colOff>
      <xdr:row>0</xdr:row>
      <xdr:rowOff>1411903</xdr:rowOff>
    </xdr:to>
    <xdr:pic>
      <xdr:nvPicPr>
        <xdr:cNvPr id="17" name="Immagin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43553" y="589863"/>
          <a:ext cx="820305" cy="82204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3183649</xdr:colOff>
          <xdr:row>0</xdr:row>
          <xdr:rowOff>43792</xdr:rowOff>
        </xdr:from>
        <xdr:to>
          <xdr:col>6</xdr:col>
          <xdr:colOff>5250574</xdr:colOff>
          <xdr:row>1</xdr:row>
          <xdr:rowOff>243817</xdr:rowOff>
        </xdr:to>
        <xdr:pic>
          <xdr:nvPicPr>
            <xdr:cNvPr id="14" name="Immagine 13">
              <a:extLst>
                <a:ext uri="{FF2B5EF4-FFF2-40B4-BE49-F238E27FC236}">
                  <a16:creationId xmlns:a16="http://schemas.microsoft.com/office/drawing/2014/main" id="{00000000-0008-0000-0300-00000E000000}"/>
                </a:ext>
              </a:extLst>
            </xdr:cNvPr>
            <xdr:cNvPicPr>
              <a:picLocks noChangeAspect="1" noChangeArrowheads="1"/>
              <a:extLst>
                <a:ext uri="{84589F7E-364E-4C9E-8A38-B11213B215E9}">
                  <a14:cameraTool cellRange="'Inserimento dati'!$I$1:$K$9" spid="_x0000_s349196"/>
                </a:ext>
              </a:extLst>
            </xdr:cNvPicPr>
          </xdr:nvPicPr>
          <xdr:blipFill>
            <a:blip xmlns:r="http://schemas.openxmlformats.org/officeDocument/2006/relationships" r:embed="rId3"/>
            <a:srcRect/>
            <a:stretch>
              <a:fillRect/>
            </a:stretch>
          </xdr:blipFill>
          <xdr:spPr bwMode="auto">
            <a:xfrm>
              <a:off x="5756494" y="43792"/>
              <a:ext cx="2066925" cy="182037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6</xdr:col>
      <xdr:colOff>1511563</xdr:colOff>
      <xdr:row>1</xdr:row>
      <xdr:rowOff>247651</xdr:rowOff>
    </xdr:from>
    <xdr:to>
      <xdr:col>6</xdr:col>
      <xdr:colOff>2249132</xdr:colOff>
      <xdr:row>2</xdr:row>
      <xdr:rowOff>459829</xdr:rowOff>
    </xdr:to>
    <xdr:pic>
      <xdr:nvPicPr>
        <xdr:cNvPr id="19" name="Immagine 2">
          <a:extLst>
            <a:ext uri="{FF2B5EF4-FFF2-40B4-BE49-F238E27FC236}">
              <a16:creationId xmlns:a16="http://schemas.microsoft.com/office/drawing/2014/main" id="{00000000-0008-0000-03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84408" y="1867996"/>
          <a:ext cx="737569" cy="47493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20" name="Immagine 19">
          <a:extLst>
            <a:ext uri="{FF2B5EF4-FFF2-40B4-BE49-F238E27FC236}">
              <a16:creationId xmlns:a16="http://schemas.microsoft.com/office/drawing/2014/main" id="{00000000-0008-0000-0300-00001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112000" name="Button 3456" hidden="1">
              <a:extLst>
                <a:ext uri="{63B3BB69-23CF-44E3-9099-C40C66FF867C}">
                  <a14:compatExt spid="_x0000_s112000"/>
                </a:ext>
                <a:ext uri="{FF2B5EF4-FFF2-40B4-BE49-F238E27FC236}">
                  <a16:creationId xmlns:a16="http://schemas.microsoft.com/office/drawing/2014/main" id="{00000000-0008-0000-0300-000080B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112001" name="Button 3457" hidden="1">
              <a:extLst>
                <a:ext uri="{63B3BB69-23CF-44E3-9099-C40C66FF867C}">
                  <a14:compatExt spid="_x0000_s112001"/>
                </a:ext>
                <a:ext uri="{FF2B5EF4-FFF2-40B4-BE49-F238E27FC236}">
                  <a16:creationId xmlns:a16="http://schemas.microsoft.com/office/drawing/2014/main" id="{00000000-0008-0000-0300-000081B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112002" name="Button 3458" hidden="1">
              <a:extLst>
                <a:ext uri="{63B3BB69-23CF-44E3-9099-C40C66FF867C}">
                  <a14:compatExt spid="_x0000_s112002"/>
                </a:ext>
                <a:ext uri="{FF2B5EF4-FFF2-40B4-BE49-F238E27FC236}">
                  <a16:creationId xmlns:a16="http://schemas.microsoft.com/office/drawing/2014/main" id="{00000000-0008-0000-0300-000082B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112003" name="Button 3459" hidden="1">
              <a:extLst>
                <a:ext uri="{63B3BB69-23CF-44E3-9099-C40C66FF867C}">
                  <a14:compatExt spid="_x0000_s112003"/>
                </a:ext>
                <a:ext uri="{FF2B5EF4-FFF2-40B4-BE49-F238E27FC236}">
                  <a16:creationId xmlns:a16="http://schemas.microsoft.com/office/drawing/2014/main" id="{00000000-0008-0000-0300-000083B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112004" name="Button 3460" hidden="1">
              <a:extLst>
                <a:ext uri="{63B3BB69-23CF-44E3-9099-C40C66FF867C}">
                  <a14:compatExt spid="_x0000_s112004"/>
                </a:ext>
                <a:ext uri="{FF2B5EF4-FFF2-40B4-BE49-F238E27FC236}">
                  <a16:creationId xmlns:a16="http://schemas.microsoft.com/office/drawing/2014/main" id="{00000000-0008-0000-0300-000084B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112277" name="Button 3733" hidden="1">
              <a:extLst>
                <a:ext uri="{63B3BB69-23CF-44E3-9099-C40C66FF867C}">
                  <a14:compatExt spid="_x0000_s112277"/>
                </a:ext>
                <a:ext uri="{FF2B5EF4-FFF2-40B4-BE49-F238E27FC236}">
                  <a16:creationId xmlns:a16="http://schemas.microsoft.com/office/drawing/2014/main" id="{00000000-0008-0000-0300-000095B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112278" name="Button 3734" hidden="1">
              <a:extLst>
                <a:ext uri="{63B3BB69-23CF-44E3-9099-C40C66FF867C}">
                  <a14:compatExt spid="_x0000_s112278"/>
                </a:ext>
                <a:ext uri="{FF2B5EF4-FFF2-40B4-BE49-F238E27FC236}">
                  <a16:creationId xmlns:a16="http://schemas.microsoft.com/office/drawing/2014/main" id="{00000000-0008-0000-0300-000096B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112279" name="Button 3735" hidden="1">
              <a:extLst>
                <a:ext uri="{63B3BB69-23CF-44E3-9099-C40C66FF867C}">
                  <a14:compatExt spid="_x0000_s112279"/>
                </a:ext>
                <a:ext uri="{FF2B5EF4-FFF2-40B4-BE49-F238E27FC236}">
                  <a16:creationId xmlns:a16="http://schemas.microsoft.com/office/drawing/2014/main" id="{00000000-0008-0000-0300-000097B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112280" name="Button 3736" hidden="1">
              <a:extLst>
                <a:ext uri="{63B3BB69-23CF-44E3-9099-C40C66FF867C}">
                  <a14:compatExt spid="_x0000_s112280"/>
                </a:ext>
                <a:ext uri="{FF2B5EF4-FFF2-40B4-BE49-F238E27FC236}">
                  <a16:creationId xmlns:a16="http://schemas.microsoft.com/office/drawing/2014/main" id="{00000000-0008-0000-0300-000098B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112281" name="Button 3737" hidden="1">
              <a:extLst>
                <a:ext uri="{63B3BB69-23CF-44E3-9099-C40C66FF867C}">
                  <a14:compatExt spid="_x0000_s112281"/>
                </a:ext>
                <a:ext uri="{FF2B5EF4-FFF2-40B4-BE49-F238E27FC236}">
                  <a16:creationId xmlns:a16="http://schemas.microsoft.com/office/drawing/2014/main" id="{00000000-0008-0000-0300-000099B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112282" name="Button 3738" hidden="1">
              <a:extLst>
                <a:ext uri="{63B3BB69-23CF-44E3-9099-C40C66FF867C}">
                  <a14:compatExt spid="_x0000_s112282"/>
                </a:ext>
                <a:ext uri="{FF2B5EF4-FFF2-40B4-BE49-F238E27FC236}">
                  <a16:creationId xmlns:a16="http://schemas.microsoft.com/office/drawing/2014/main" id="{00000000-0008-0000-0300-00009AB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1047750</xdr:rowOff>
        </xdr:from>
        <xdr:to>
          <xdr:col>3</xdr:col>
          <xdr:colOff>466725</xdr:colOff>
          <xdr:row>0</xdr:row>
          <xdr:rowOff>1314450</xdr:rowOff>
        </xdr:to>
        <xdr:sp macro="" textlink="">
          <xdr:nvSpPr>
            <xdr:cNvPr id="316417" name="Button 1" hidden="1">
              <a:extLst>
                <a:ext uri="{63B3BB69-23CF-44E3-9099-C40C66FF867C}">
                  <a14:compatExt spid="_x0000_s316417"/>
                </a:ext>
                <a:ext uri="{FF2B5EF4-FFF2-40B4-BE49-F238E27FC236}">
                  <a16:creationId xmlns:a16="http://schemas.microsoft.com/office/drawing/2014/main" id="{00000000-0008-0000-0400-000001D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422993</xdr:colOff>
      <xdr:row>0</xdr:row>
      <xdr:rowOff>1433235</xdr:rowOff>
    </xdr:to>
    <xdr:pic>
      <xdr:nvPicPr>
        <xdr:cNvPr id="3" name="Immagin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086151" y="741376"/>
          <a:ext cx="976017" cy="6918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528028</xdr:colOff>
      <xdr:row>0</xdr:row>
      <xdr:rowOff>589863</xdr:rowOff>
    </xdr:from>
    <xdr:to>
      <xdr:col>11</xdr:col>
      <xdr:colOff>631216</xdr:colOff>
      <xdr:row>0</xdr:row>
      <xdr:rowOff>1411903</xdr:rowOff>
    </xdr:to>
    <xdr:pic>
      <xdr:nvPicPr>
        <xdr:cNvPr id="4" name="Immagin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557853" y="589863"/>
          <a:ext cx="798513" cy="82204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3183649</xdr:colOff>
          <xdr:row>0</xdr:row>
          <xdr:rowOff>43792</xdr:rowOff>
        </xdr:from>
        <xdr:to>
          <xdr:col>6</xdr:col>
          <xdr:colOff>5250574</xdr:colOff>
          <xdr:row>1</xdr:row>
          <xdr:rowOff>243817</xdr:rowOff>
        </xdr:to>
        <xdr:pic>
          <xdr:nvPicPr>
            <xdr:cNvPr id="5" name="Immagine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Inserimento dati'!$I$1:$K$9" spid="_x0000_s316774"/>
                </a:ext>
              </a:extLst>
            </xdr:cNvPicPr>
          </xdr:nvPicPr>
          <xdr:blipFill>
            <a:blip xmlns:r="http://schemas.openxmlformats.org/officeDocument/2006/relationships" r:embed="rId3"/>
            <a:srcRect/>
            <a:stretch>
              <a:fillRect/>
            </a:stretch>
          </xdr:blipFill>
          <xdr:spPr bwMode="auto">
            <a:xfrm>
              <a:off x="5745874" y="43792"/>
              <a:ext cx="2066925" cy="18192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6</xdr:col>
      <xdr:colOff>1511563</xdr:colOff>
      <xdr:row>1</xdr:row>
      <xdr:rowOff>247651</xdr:rowOff>
    </xdr:from>
    <xdr:to>
      <xdr:col>6</xdr:col>
      <xdr:colOff>2249132</xdr:colOff>
      <xdr:row>2</xdr:row>
      <xdr:rowOff>459829</xdr:rowOff>
    </xdr:to>
    <xdr:pic>
      <xdr:nvPicPr>
        <xdr:cNvPr id="6" name="Immagine 2">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73788" y="1866901"/>
          <a:ext cx="737569" cy="4788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7" name="Immagin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00103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316418" name="Button 2" hidden="1">
              <a:extLst>
                <a:ext uri="{63B3BB69-23CF-44E3-9099-C40C66FF867C}">
                  <a14:compatExt spid="_x0000_s316418"/>
                </a:ext>
                <a:ext uri="{FF2B5EF4-FFF2-40B4-BE49-F238E27FC236}">
                  <a16:creationId xmlns:a16="http://schemas.microsoft.com/office/drawing/2014/main" id="{00000000-0008-0000-0400-000002D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316419" name="Button 3" hidden="1">
              <a:extLst>
                <a:ext uri="{63B3BB69-23CF-44E3-9099-C40C66FF867C}">
                  <a14:compatExt spid="_x0000_s316419"/>
                </a:ext>
                <a:ext uri="{FF2B5EF4-FFF2-40B4-BE49-F238E27FC236}">
                  <a16:creationId xmlns:a16="http://schemas.microsoft.com/office/drawing/2014/main" id="{00000000-0008-0000-0400-000003D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316420" name="Button 4" hidden="1">
              <a:extLst>
                <a:ext uri="{63B3BB69-23CF-44E3-9099-C40C66FF867C}">
                  <a14:compatExt spid="_x0000_s316420"/>
                </a:ext>
                <a:ext uri="{FF2B5EF4-FFF2-40B4-BE49-F238E27FC236}">
                  <a16:creationId xmlns:a16="http://schemas.microsoft.com/office/drawing/2014/main" id="{00000000-0008-0000-0400-000004D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316421" name="Button 5" hidden="1">
              <a:extLst>
                <a:ext uri="{63B3BB69-23CF-44E3-9099-C40C66FF867C}">
                  <a14:compatExt spid="_x0000_s316421"/>
                </a:ext>
                <a:ext uri="{FF2B5EF4-FFF2-40B4-BE49-F238E27FC236}">
                  <a16:creationId xmlns:a16="http://schemas.microsoft.com/office/drawing/2014/main" id="{00000000-0008-0000-0400-000005D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316422" name="Button 6" hidden="1">
              <a:extLst>
                <a:ext uri="{63B3BB69-23CF-44E3-9099-C40C66FF867C}">
                  <a14:compatExt spid="_x0000_s316422"/>
                </a:ext>
                <a:ext uri="{FF2B5EF4-FFF2-40B4-BE49-F238E27FC236}">
                  <a16:creationId xmlns:a16="http://schemas.microsoft.com/office/drawing/2014/main" id="{00000000-0008-0000-0400-000006D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316423" name="Button 7" hidden="1">
              <a:extLst>
                <a:ext uri="{63B3BB69-23CF-44E3-9099-C40C66FF867C}">
                  <a14:compatExt spid="_x0000_s316423"/>
                </a:ext>
                <a:ext uri="{FF2B5EF4-FFF2-40B4-BE49-F238E27FC236}">
                  <a16:creationId xmlns:a16="http://schemas.microsoft.com/office/drawing/2014/main" id="{00000000-0008-0000-0400-000007D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316424" name="Button 8" hidden="1">
              <a:extLst>
                <a:ext uri="{63B3BB69-23CF-44E3-9099-C40C66FF867C}">
                  <a14:compatExt spid="_x0000_s316424"/>
                </a:ext>
                <a:ext uri="{FF2B5EF4-FFF2-40B4-BE49-F238E27FC236}">
                  <a16:creationId xmlns:a16="http://schemas.microsoft.com/office/drawing/2014/main" id="{00000000-0008-0000-0400-000008D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316425" name="Button 9" hidden="1">
              <a:extLst>
                <a:ext uri="{63B3BB69-23CF-44E3-9099-C40C66FF867C}">
                  <a14:compatExt spid="_x0000_s316425"/>
                </a:ext>
                <a:ext uri="{FF2B5EF4-FFF2-40B4-BE49-F238E27FC236}">
                  <a16:creationId xmlns:a16="http://schemas.microsoft.com/office/drawing/2014/main" id="{00000000-0008-0000-0400-000009D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316426" name="Button 10" hidden="1">
              <a:extLst>
                <a:ext uri="{63B3BB69-23CF-44E3-9099-C40C66FF867C}">
                  <a14:compatExt spid="_x0000_s316426"/>
                </a:ext>
                <a:ext uri="{FF2B5EF4-FFF2-40B4-BE49-F238E27FC236}">
                  <a16:creationId xmlns:a16="http://schemas.microsoft.com/office/drawing/2014/main" id="{00000000-0008-0000-0400-00000AD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316427" name="Button 11" hidden="1">
              <a:extLst>
                <a:ext uri="{63B3BB69-23CF-44E3-9099-C40C66FF867C}">
                  <a14:compatExt spid="_x0000_s316427"/>
                </a:ext>
                <a:ext uri="{FF2B5EF4-FFF2-40B4-BE49-F238E27FC236}">
                  <a16:creationId xmlns:a16="http://schemas.microsoft.com/office/drawing/2014/main" id="{00000000-0008-0000-0400-00000BD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316428" name="Button 12" hidden="1">
              <a:extLst>
                <a:ext uri="{63B3BB69-23CF-44E3-9099-C40C66FF867C}">
                  <a14:compatExt spid="_x0000_s316428"/>
                </a:ext>
                <a:ext uri="{FF2B5EF4-FFF2-40B4-BE49-F238E27FC236}">
                  <a16:creationId xmlns:a16="http://schemas.microsoft.com/office/drawing/2014/main" id="{00000000-0008-0000-0400-00000CD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1114425</xdr:rowOff>
        </xdr:from>
        <xdr:to>
          <xdr:col>4</xdr:col>
          <xdr:colOff>0</xdr:colOff>
          <xdr:row>0</xdr:row>
          <xdr:rowOff>1390650</xdr:rowOff>
        </xdr:to>
        <xdr:sp macro="" textlink="">
          <xdr:nvSpPr>
            <xdr:cNvPr id="4712" name="Button 616" hidden="1">
              <a:extLst>
                <a:ext uri="{63B3BB69-23CF-44E3-9099-C40C66FF867C}">
                  <a14:compatExt spid="_x0000_s4712"/>
                </a:ext>
                <a:ext uri="{FF2B5EF4-FFF2-40B4-BE49-F238E27FC236}">
                  <a16:creationId xmlns:a16="http://schemas.microsoft.com/office/drawing/2014/main" id="{00000000-0008-0000-0500-00006812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433967</xdr:colOff>
      <xdr:row>0</xdr:row>
      <xdr:rowOff>1433235</xdr:rowOff>
    </xdr:to>
    <xdr:pic>
      <xdr:nvPicPr>
        <xdr:cNvPr id="13" name="Immagine 2">
          <a:extLst>
            <a:ext uri="{FF2B5EF4-FFF2-40B4-BE49-F238E27FC236}">
              <a16:creationId xmlns:a16="http://schemas.microsoft.com/office/drawing/2014/main" id="{00000000-0008-0000-05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067101" y="741376"/>
          <a:ext cx="997808" cy="6918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528028</xdr:colOff>
      <xdr:row>0</xdr:row>
      <xdr:rowOff>589863</xdr:rowOff>
    </xdr:from>
    <xdr:to>
      <xdr:col>11</xdr:col>
      <xdr:colOff>642184</xdr:colOff>
      <xdr:row>0</xdr:row>
      <xdr:rowOff>1411903</xdr:rowOff>
    </xdr:to>
    <xdr:pic>
      <xdr:nvPicPr>
        <xdr:cNvPr id="14" name="Immagine 13">
          <a:extLst>
            <a:ext uri="{FF2B5EF4-FFF2-40B4-BE49-F238E27FC236}">
              <a16:creationId xmlns:a16="http://schemas.microsoft.com/office/drawing/2014/main" id="{00000000-0008-0000-05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538803" y="589863"/>
          <a:ext cx="820305" cy="82204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3077240</xdr:colOff>
          <xdr:row>0</xdr:row>
          <xdr:rowOff>53826</xdr:rowOff>
        </xdr:from>
        <xdr:to>
          <xdr:col>6</xdr:col>
          <xdr:colOff>5144165</xdr:colOff>
          <xdr:row>1</xdr:row>
          <xdr:rowOff>187176</xdr:rowOff>
        </xdr:to>
        <xdr:pic>
          <xdr:nvPicPr>
            <xdr:cNvPr id="15" name="Immagine 14">
              <a:extLst>
                <a:ext uri="{FF2B5EF4-FFF2-40B4-BE49-F238E27FC236}">
                  <a16:creationId xmlns:a16="http://schemas.microsoft.com/office/drawing/2014/main" id="{00000000-0008-0000-0500-00000F000000}"/>
                </a:ext>
              </a:extLst>
            </xdr:cNvPr>
            <xdr:cNvPicPr>
              <a:picLocks noChangeAspect="1" noChangeArrowheads="1"/>
              <a:extLst>
                <a:ext uri="{84589F7E-364E-4C9E-8A38-B11213B215E9}">
                  <a14:cameraTool cellRange="'Inserimento dati'!$I$11:$K$19" spid="_x0000_s336056"/>
                </a:ext>
              </a:extLst>
            </xdr:cNvPicPr>
          </xdr:nvPicPr>
          <xdr:blipFill>
            <a:blip xmlns:r="http://schemas.openxmlformats.org/officeDocument/2006/relationships" r:embed="rId3"/>
            <a:srcRect/>
            <a:stretch>
              <a:fillRect/>
            </a:stretch>
          </xdr:blipFill>
          <xdr:spPr bwMode="auto">
            <a:xfrm>
              <a:off x="5757531" y="53826"/>
              <a:ext cx="2066925" cy="175038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108972" name="Button 3500" hidden="1">
              <a:extLst>
                <a:ext uri="{63B3BB69-23CF-44E3-9099-C40C66FF867C}">
                  <a14:compatExt spid="_x0000_s108972"/>
                </a:ext>
                <a:ext uri="{FF2B5EF4-FFF2-40B4-BE49-F238E27FC236}">
                  <a16:creationId xmlns:a16="http://schemas.microsoft.com/office/drawing/2014/main" id="{00000000-0008-0000-0500-0000ACA9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108973" name="Button 3501" hidden="1">
              <a:extLst>
                <a:ext uri="{63B3BB69-23CF-44E3-9099-C40C66FF867C}">
                  <a14:compatExt spid="_x0000_s108973"/>
                </a:ext>
                <a:ext uri="{FF2B5EF4-FFF2-40B4-BE49-F238E27FC236}">
                  <a16:creationId xmlns:a16="http://schemas.microsoft.com/office/drawing/2014/main" id="{00000000-0008-0000-0500-0000ADA9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108974" name="Button 3502" hidden="1">
              <a:extLst>
                <a:ext uri="{63B3BB69-23CF-44E3-9099-C40C66FF867C}">
                  <a14:compatExt spid="_x0000_s108974"/>
                </a:ext>
                <a:ext uri="{FF2B5EF4-FFF2-40B4-BE49-F238E27FC236}">
                  <a16:creationId xmlns:a16="http://schemas.microsoft.com/office/drawing/2014/main" id="{00000000-0008-0000-0500-0000AEA9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108975" name="Button 3503" hidden="1">
              <a:extLst>
                <a:ext uri="{63B3BB69-23CF-44E3-9099-C40C66FF867C}">
                  <a14:compatExt spid="_x0000_s108975"/>
                </a:ext>
                <a:ext uri="{FF2B5EF4-FFF2-40B4-BE49-F238E27FC236}">
                  <a16:creationId xmlns:a16="http://schemas.microsoft.com/office/drawing/2014/main" id="{00000000-0008-0000-0500-0000AFA9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108976" name="Button 3504" hidden="1">
              <a:extLst>
                <a:ext uri="{63B3BB69-23CF-44E3-9099-C40C66FF867C}">
                  <a14:compatExt spid="_x0000_s108976"/>
                </a:ext>
                <a:ext uri="{FF2B5EF4-FFF2-40B4-BE49-F238E27FC236}">
                  <a16:creationId xmlns:a16="http://schemas.microsoft.com/office/drawing/2014/main" id="{00000000-0008-0000-0500-0000B0A9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xdr:twoCellAnchor editAs="oneCell">
    <xdr:from>
      <xdr:col>6</xdr:col>
      <xdr:colOff>1511563</xdr:colOff>
      <xdr:row>1</xdr:row>
      <xdr:rowOff>247650</xdr:rowOff>
    </xdr:from>
    <xdr:to>
      <xdr:col>6</xdr:col>
      <xdr:colOff>2249132</xdr:colOff>
      <xdr:row>3</xdr:row>
      <xdr:rowOff>22152</xdr:rowOff>
    </xdr:to>
    <xdr:pic>
      <xdr:nvPicPr>
        <xdr:cNvPr id="25" name="Immagine 2">
          <a:extLst>
            <a:ext uri="{FF2B5EF4-FFF2-40B4-BE49-F238E27FC236}">
              <a16:creationId xmlns:a16="http://schemas.microsoft.com/office/drawing/2014/main" id="{00000000-0008-0000-0500-00001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91854" y="1864685"/>
          <a:ext cx="737569" cy="5276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28" name="Immagine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109278" name="Button 3806" hidden="1">
              <a:extLst>
                <a:ext uri="{63B3BB69-23CF-44E3-9099-C40C66FF867C}">
                  <a14:compatExt spid="_x0000_s109278"/>
                </a:ext>
                <a:ext uri="{FF2B5EF4-FFF2-40B4-BE49-F238E27FC236}">
                  <a16:creationId xmlns:a16="http://schemas.microsoft.com/office/drawing/2014/main" id="{00000000-0008-0000-0500-0000DEAA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109279" name="Button 3807" hidden="1">
              <a:extLst>
                <a:ext uri="{63B3BB69-23CF-44E3-9099-C40C66FF867C}">
                  <a14:compatExt spid="_x0000_s109279"/>
                </a:ext>
                <a:ext uri="{FF2B5EF4-FFF2-40B4-BE49-F238E27FC236}">
                  <a16:creationId xmlns:a16="http://schemas.microsoft.com/office/drawing/2014/main" id="{00000000-0008-0000-0500-0000DFA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109280" name="Button 3808" hidden="1">
              <a:extLst>
                <a:ext uri="{63B3BB69-23CF-44E3-9099-C40C66FF867C}">
                  <a14:compatExt spid="_x0000_s109280"/>
                </a:ext>
                <a:ext uri="{FF2B5EF4-FFF2-40B4-BE49-F238E27FC236}">
                  <a16:creationId xmlns:a16="http://schemas.microsoft.com/office/drawing/2014/main" id="{00000000-0008-0000-0500-0000E0A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109281" name="Button 3809" hidden="1">
              <a:extLst>
                <a:ext uri="{63B3BB69-23CF-44E3-9099-C40C66FF867C}">
                  <a14:compatExt spid="_x0000_s109281"/>
                </a:ext>
                <a:ext uri="{FF2B5EF4-FFF2-40B4-BE49-F238E27FC236}">
                  <a16:creationId xmlns:a16="http://schemas.microsoft.com/office/drawing/2014/main" id="{00000000-0008-0000-0500-0000E1AA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109282" name="Button 3810" hidden="1">
              <a:extLst>
                <a:ext uri="{63B3BB69-23CF-44E3-9099-C40C66FF867C}">
                  <a14:compatExt spid="_x0000_s109282"/>
                </a:ext>
                <a:ext uri="{FF2B5EF4-FFF2-40B4-BE49-F238E27FC236}">
                  <a16:creationId xmlns:a16="http://schemas.microsoft.com/office/drawing/2014/main" id="{00000000-0008-0000-0500-0000E2A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109283" name="Button 3811" hidden="1">
              <a:extLst>
                <a:ext uri="{63B3BB69-23CF-44E3-9099-C40C66FF867C}">
                  <a14:compatExt spid="_x0000_s109283"/>
                </a:ext>
                <a:ext uri="{FF2B5EF4-FFF2-40B4-BE49-F238E27FC236}">
                  <a16:creationId xmlns:a16="http://schemas.microsoft.com/office/drawing/2014/main" id="{00000000-0008-0000-0500-0000E3AA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3078874</xdr:colOff>
          <xdr:row>0</xdr:row>
          <xdr:rowOff>34267</xdr:rowOff>
        </xdr:from>
        <xdr:to>
          <xdr:col>6</xdr:col>
          <xdr:colOff>5326774</xdr:colOff>
          <xdr:row>1</xdr:row>
          <xdr:rowOff>262867</xdr:rowOff>
        </xdr:to>
        <xdr:pic>
          <xdr:nvPicPr>
            <xdr:cNvPr id="5" name="Immagine 4">
              <a:extLst>
                <a:ext uri="{FF2B5EF4-FFF2-40B4-BE49-F238E27FC236}">
                  <a16:creationId xmlns:a16="http://schemas.microsoft.com/office/drawing/2014/main" id="{00000000-0008-0000-0600-000005000000}"/>
                </a:ext>
              </a:extLst>
            </xdr:cNvPr>
            <xdr:cNvPicPr>
              <a:picLocks noChangeAspect="1" noChangeArrowheads="1"/>
              <a:extLst>
                <a:ext uri="{84589F7E-364E-4C9E-8A38-B11213B215E9}">
                  <a14:cameraTool cellRange="'Inserimento dati'!$E$31:$G$39" spid="_x0000_s342162"/>
                </a:ext>
              </a:extLst>
            </xdr:cNvPicPr>
          </xdr:nvPicPr>
          <xdr:blipFill>
            <a:blip xmlns:r="http://schemas.openxmlformats.org/officeDocument/2006/relationships" r:embed="rId1"/>
            <a:srcRect/>
            <a:stretch>
              <a:fillRect/>
            </a:stretch>
          </xdr:blipFill>
          <xdr:spPr bwMode="auto">
            <a:xfrm>
              <a:off x="5641099" y="34267"/>
              <a:ext cx="2247900" cy="184785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342029" name="Button 13" hidden="1">
              <a:extLst>
                <a:ext uri="{63B3BB69-23CF-44E3-9099-C40C66FF867C}">
                  <a14:compatExt spid="_x0000_s342029"/>
                </a:ext>
                <a:ext uri="{FF2B5EF4-FFF2-40B4-BE49-F238E27FC236}">
                  <a16:creationId xmlns:a16="http://schemas.microsoft.com/office/drawing/2014/main" id="{00000000-0008-0000-0600-00000D38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342030" name="Button 14" hidden="1">
              <a:extLst>
                <a:ext uri="{63B3BB69-23CF-44E3-9099-C40C66FF867C}">
                  <a14:compatExt spid="_x0000_s342030"/>
                </a:ext>
                <a:ext uri="{FF2B5EF4-FFF2-40B4-BE49-F238E27FC236}">
                  <a16:creationId xmlns:a16="http://schemas.microsoft.com/office/drawing/2014/main" id="{00000000-0008-0000-0600-00000E38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342031" name="Button 15" hidden="1">
              <a:extLst>
                <a:ext uri="{63B3BB69-23CF-44E3-9099-C40C66FF867C}">
                  <a14:compatExt spid="_x0000_s342031"/>
                </a:ext>
                <a:ext uri="{FF2B5EF4-FFF2-40B4-BE49-F238E27FC236}">
                  <a16:creationId xmlns:a16="http://schemas.microsoft.com/office/drawing/2014/main" id="{00000000-0008-0000-0600-00000F38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342032" name="Button 16" hidden="1">
              <a:extLst>
                <a:ext uri="{63B3BB69-23CF-44E3-9099-C40C66FF867C}">
                  <a14:compatExt spid="_x0000_s342032"/>
                </a:ext>
                <a:ext uri="{FF2B5EF4-FFF2-40B4-BE49-F238E27FC236}">
                  <a16:creationId xmlns:a16="http://schemas.microsoft.com/office/drawing/2014/main" id="{00000000-0008-0000-0600-00001038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342033" name="Button 17" hidden="1">
              <a:extLst>
                <a:ext uri="{63B3BB69-23CF-44E3-9099-C40C66FF867C}">
                  <a14:compatExt spid="_x0000_s342033"/>
                </a:ext>
                <a:ext uri="{FF2B5EF4-FFF2-40B4-BE49-F238E27FC236}">
                  <a16:creationId xmlns:a16="http://schemas.microsoft.com/office/drawing/2014/main" id="{00000000-0008-0000-0600-00001138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342040" name="Button 24" hidden="1">
              <a:extLst>
                <a:ext uri="{63B3BB69-23CF-44E3-9099-C40C66FF867C}">
                  <a14:compatExt spid="_x0000_s342040"/>
                </a:ext>
                <a:ext uri="{FF2B5EF4-FFF2-40B4-BE49-F238E27FC236}">
                  <a16:creationId xmlns:a16="http://schemas.microsoft.com/office/drawing/2014/main" id="{00000000-0008-0000-0600-00001838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342041" name="Button 25" hidden="1">
              <a:extLst>
                <a:ext uri="{63B3BB69-23CF-44E3-9099-C40C66FF867C}">
                  <a14:compatExt spid="_x0000_s342041"/>
                </a:ext>
                <a:ext uri="{FF2B5EF4-FFF2-40B4-BE49-F238E27FC236}">
                  <a16:creationId xmlns:a16="http://schemas.microsoft.com/office/drawing/2014/main" id="{00000000-0008-0000-0600-00001938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342042" name="Button 26" hidden="1">
              <a:extLst>
                <a:ext uri="{63B3BB69-23CF-44E3-9099-C40C66FF867C}">
                  <a14:compatExt spid="_x0000_s342042"/>
                </a:ext>
                <a:ext uri="{FF2B5EF4-FFF2-40B4-BE49-F238E27FC236}">
                  <a16:creationId xmlns:a16="http://schemas.microsoft.com/office/drawing/2014/main" id="{00000000-0008-0000-0600-00001A38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342043" name="Button 27" hidden="1">
              <a:extLst>
                <a:ext uri="{63B3BB69-23CF-44E3-9099-C40C66FF867C}">
                  <a14:compatExt spid="_x0000_s342043"/>
                </a:ext>
                <a:ext uri="{FF2B5EF4-FFF2-40B4-BE49-F238E27FC236}">
                  <a16:creationId xmlns:a16="http://schemas.microsoft.com/office/drawing/2014/main" id="{00000000-0008-0000-0600-00001B38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342044" name="Button 28" hidden="1">
              <a:extLst>
                <a:ext uri="{63B3BB69-23CF-44E3-9099-C40C66FF867C}">
                  <a14:compatExt spid="_x0000_s342044"/>
                </a:ext>
                <a:ext uri="{FF2B5EF4-FFF2-40B4-BE49-F238E27FC236}">
                  <a16:creationId xmlns:a16="http://schemas.microsoft.com/office/drawing/2014/main" id="{00000000-0008-0000-0600-00001C38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342045" name="Button 29" hidden="1">
              <a:extLst>
                <a:ext uri="{63B3BB69-23CF-44E3-9099-C40C66FF867C}">
                  <a14:compatExt spid="_x0000_s342045"/>
                </a:ext>
                <a:ext uri="{FF2B5EF4-FFF2-40B4-BE49-F238E27FC236}">
                  <a16:creationId xmlns:a16="http://schemas.microsoft.com/office/drawing/2014/main" id="{00000000-0008-0000-0600-00001D38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33231" name="Button 463" hidden="1">
              <a:extLst>
                <a:ext uri="{63B3BB69-23CF-44E3-9099-C40C66FF867C}">
                  <a14:compatExt spid="_x0000_s33231"/>
                </a:ext>
                <a:ext uri="{FF2B5EF4-FFF2-40B4-BE49-F238E27FC236}">
                  <a16:creationId xmlns:a16="http://schemas.microsoft.com/office/drawing/2014/main" id="{00000000-0008-0000-0700-0000CF81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33342" name="Button 574" hidden="1">
              <a:extLst>
                <a:ext uri="{63B3BB69-23CF-44E3-9099-C40C66FF867C}">
                  <a14:compatExt spid="_x0000_s33342"/>
                </a:ext>
                <a:ext uri="{FF2B5EF4-FFF2-40B4-BE49-F238E27FC236}">
                  <a16:creationId xmlns:a16="http://schemas.microsoft.com/office/drawing/2014/main" id="{00000000-0008-0000-0700-00003E82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33347" name="Button 579" hidden="1">
              <a:extLst>
                <a:ext uri="{63B3BB69-23CF-44E3-9099-C40C66FF867C}">
                  <a14:compatExt spid="_x0000_s33347"/>
                </a:ext>
                <a:ext uri="{FF2B5EF4-FFF2-40B4-BE49-F238E27FC236}">
                  <a16:creationId xmlns:a16="http://schemas.microsoft.com/office/drawing/2014/main" id="{00000000-0008-0000-0700-00004382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6</xdr:col>
      <xdr:colOff>1511563</xdr:colOff>
      <xdr:row>1</xdr:row>
      <xdr:rowOff>247650</xdr:rowOff>
    </xdr:from>
    <xdr:to>
      <xdr:col>6</xdr:col>
      <xdr:colOff>2249132</xdr:colOff>
      <xdr:row>2</xdr:row>
      <xdr:rowOff>537882</xdr:rowOff>
    </xdr:to>
    <xdr:pic>
      <xdr:nvPicPr>
        <xdr:cNvPr id="18" name="Immagine 2">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00975" y="1872503"/>
          <a:ext cx="737569" cy="5591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470832</xdr:rowOff>
    </xdr:to>
    <xdr:pic>
      <xdr:nvPicPr>
        <xdr:cNvPr id="19" name="Immagine 18">
          <a:extLst>
            <a:ext uri="{FF2B5EF4-FFF2-40B4-BE49-F238E27FC236}">
              <a16:creationId xmlns:a16="http://schemas.microsoft.com/office/drawing/2014/main" id="{00000000-0008-0000-0700-00001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88889" name="Button 2873" hidden="1">
              <a:extLst>
                <a:ext uri="{63B3BB69-23CF-44E3-9099-C40C66FF867C}">
                  <a14:compatExt spid="_x0000_s88889"/>
                </a:ext>
                <a:ext uri="{FF2B5EF4-FFF2-40B4-BE49-F238E27FC236}">
                  <a16:creationId xmlns:a16="http://schemas.microsoft.com/office/drawing/2014/main" id="{00000000-0008-0000-0700-0000395B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180975</xdr:colOff>
          <xdr:row>0</xdr:row>
          <xdr:rowOff>304800</xdr:rowOff>
        </xdr:from>
        <xdr:to>
          <xdr:col>6</xdr:col>
          <xdr:colOff>9525</xdr:colOff>
          <xdr:row>0</xdr:row>
          <xdr:rowOff>523875</xdr:rowOff>
        </xdr:to>
        <xdr:sp macro="" textlink="">
          <xdr:nvSpPr>
            <xdr:cNvPr id="88917" name="Button 2901" hidden="1">
              <a:extLst>
                <a:ext uri="{63B3BB69-23CF-44E3-9099-C40C66FF867C}">
                  <a14:compatExt spid="_x0000_s88917"/>
                </a:ext>
                <a:ext uri="{FF2B5EF4-FFF2-40B4-BE49-F238E27FC236}">
                  <a16:creationId xmlns:a16="http://schemas.microsoft.com/office/drawing/2014/main" id="{00000000-0008-0000-0700-0000555B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INVIA PROGRAMMAZIONE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3260430</xdr:colOff>
          <xdr:row>0</xdr:row>
          <xdr:rowOff>0</xdr:rowOff>
        </xdr:from>
        <xdr:to>
          <xdr:col>6</xdr:col>
          <xdr:colOff>5327355</xdr:colOff>
          <xdr:row>1</xdr:row>
          <xdr:rowOff>227714</xdr:rowOff>
        </xdr:to>
        <xdr:pic>
          <xdr:nvPicPr>
            <xdr:cNvPr id="16" name="Immagine 15">
              <a:extLst>
                <a:ext uri="{FF2B5EF4-FFF2-40B4-BE49-F238E27FC236}">
                  <a16:creationId xmlns:a16="http://schemas.microsoft.com/office/drawing/2014/main" id="{00000000-0008-0000-0700-000010000000}"/>
                </a:ext>
              </a:extLst>
            </xdr:cNvPr>
            <xdr:cNvPicPr>
              <a:picLocks noChangeAspect="1" noChangeArrowheads="1"/>
              <a:extLst>
                <a:ext uri="{84589F7E-364E-4C9E-8A38-B11213B215E9}">
                  <a14:cameraTool cellRange="'Inserimento dati'!$I$21:$K$29" spid="_x0000_s290706"/>
                </a:ext>
              </a:extLst>
            </xdr:cNvPicPr>
          </xdr:nvPicPr>
          <xdr:blipFill>
            <a:blip xmlns:r="http://schemas.openxmlformats.org/officeDocument/2006/relationships" r:embed="rId3"/>
            <a:srcRect/>
            <a:stretch>
              <a:fillRect/>
            </a:stretch>
          </xdr:blipFill>
          <xdr:spPr bwMode="auto">
            <a:xfrm>
              <a:off x="5973947" y="0"/>
              <a:ext cx="2066925" cy="184474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3190875</xdr:colOff>
          <xdr:row>0</xdr:row>
          <xdr:rowOff>552450</xdr:rowOff>
        </xdr:to>
        <xdr:sp macro="" textlink="">
          <xdr:nvSpPr>
            <xdr:cNvPr id="115720" name="Button 3080" hidden="1">
              <a:extLst>
                <a:ext uri="{63B3BB69-23CF-44E3-9099-C40C66FF867C}">
                  <a14:compatExt spid="_x0000_s115720"/>
                </a:ext>
                <a:ext uri="{FF2B5EF4-FFF2-40B4-BE49-F238E27FC236}">
                  <a16:creationId xmlns:a16="http://schemas.microsoft.com/office/drawing/2014/main" id="{00000000-0008-0000-0700-000008C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PROG.GIORN. ATT.A4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180975</xdr:colOff>
          <xdr:row>0</xdr:row>
          <xdr:rowOff>0</xdr:rowOff>
        </xdr:from>
        <xdr:to>
          <xdr:col>6</xdr:col>
          <xdr:colOff>9525</xdr:colOff>
          <xdr:row>0</xdr:row>
          <xdr:rowOff>219075</xdr:rowOff>
        </xdr:to>
        <xdr:sp macro="" textlink="">
          <xdr:nvSpPr>
            <xdr:cNvPr id="115826" name="Button 3186" hidden="1">
              <a:extLst>
                <a:ext uri="{63B3BB69-23CF-44E3-9099-C40C66FF867C}">
                  <a14:compatExt spid="_x0000_s115826"/>
                </a:ext>
                <a:ext uri="{FF2B5EF4-FFF2-40B4-BE49-F238E27FC236}">
                  <a16:creationId xmlns:a16="http://schemas.microsoft.com/office/drawing/2014/main" id="{00000000-0008-0000-0700-000072C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PULISCI REGOLE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116240" name="Button 3600" hidden="1">
              <a:extLst>
                <a:ext uri="{63B3BB69-23CF-44E3-9099-C40C66FF867C}">
                  <a14:compatExt spid="_x0000_s116240"/>
                </a:ext>
                <a:ext uri="{FF2B5EF4-FFF2-40B4-BE49-F238E27FC236}">
                  <a16:creationId xmlns:a16="http://schemas.microsoft.com/office/drawing/2014/main" id="{00000000-0008-0000-0700-000010C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116241" name="Button 3601" hidden="1">
              <a:extLst>
                <a:ext uri="{63B3BB69-23CF-44E3-9099-C40C66FF867C}">
                  <a14:compatExt spid="_x0000_s116241"/>
                </a:ext>
                <a:ext uri="{FF2B5EF4-FFF2-40B4-BE49-F238E27FC236}">
                  <a16:creationId xmlns:a16="http://schemas.microsoft.com/office/drawing/2014/main" id="{00000000-0008-0000-0700-000011C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116242" name="Button 3602" hidden="1">
              <a:extLst>
                <a:ext uri="{63B3BB69-23CF-44E3-9099-C40C66FF867C}">
                  <a14:compatExt spid="_x0000_s116242"/>
                </a:ext>
                <a:ext uri="{FF2B5EF4-FFF2-40B4-BE49-F238E27FC236}">
                  <a16:creationId xmlns:a16="http://schemas.microsoft.com/office/drawing/2014/main" id="{00000000-0008-0000-0700-000012C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116243" name="Button 3603" hidden="1">
              <a:extLst>
                <a:ext uri="{63B3BB69-23CF-44E3-9099-C40C66FF867C}">
                  <a14:compatExt spid="_x0000_s116243"/>
                </a:ext>
                <a:ext uri="{FF2B5EF4-FFF2-40B4-BE49-F238E27FC236}">
                  <a16:creationId xmlns:a16="http://schemas.microsoft.com/office/drawing/2014/main" id="{00000000-0008-0000-0700-000013C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116244" name="Button 3604" hidden="1">
              <a:extLst>
                <a:ext uri="{63B3BB69-23CF-44E3-9099-C40C66FF867C}">
                  <a14:compatExt spid="_x0000_s116244"/>
                </a:ext>
                <a:ext uri="{FF2B5EF4-FFF2-40B4-BE49-F238E27FC236}">
                  <a16:creationId xmlns:a16="http://schemas.microsoft.com/office/drawing/2014/main" id="{00000000-0008-0000-0700-000014C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116245" name="Button 3605" hidden="1">
              <a:extLst>
                <a:ext uri="{63B3BB69-23CF-44E3-9099-C40C66FF867C}">
                  <a14:compatExt spid="_x0000_s116245"/>
                </a:ext>
                <a:ext uri="{FF2B5EF4-FFF2-40B4-BE49-F238E27FC236}">
                  <a16:creationId xmlns:a16="http://schemas.microsoft.com/office/drawing/2014/main" id="{00000000-0008-0000-0700-000015C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xdr:colOff>
          <xdr:row>0</xdr:row>
          <xdr:rowOff>228600</xdr:rowOff>
        </xdr:from>
        <xdr:to>
          <xdr:col>17</xdr:col>
          <xdr:colOff>1057275</xdr:colOff>
          <xdr:row>0</xdr:row>
          <xdr:rowOff>1152525</xdr:rowOff>
        </xdr:to>
        <xdr:sp macro="" textlink="">
          <xdr:nvSpPr>
            <xdr:cNvPr id="144559" name="Button 4271" hidden="1">
              <a:extLst>
                <a:ext uri="{63B3BB69-23CF-44E3-9099-C40C66FF867C}">
                  <a14:compatExt spid="_x0000_s144559"/>
                </a:ext>
                <a:ext uri="{FF2B5EF4-FFF2-40B4-BE49-F238E27FC236}">
                  <a16:creationId xmlns:a16="http://schemas.microsoft.com/office/drawing/2014/main" id="{00000000-0008-0000-0700-0000AF3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RISOLVI GESTIONE NOMI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0</xdr:row>
          <xdr:rowOff>0</xdr:rowOff>
        </xdr:from>
        <xdr:to>
          <xdr:col>12</xdr:col>
          <xdr:colOff>9525</xdr:colOff>
          <xdr:row>0</xdr:row>
          <xdr:rowOff>276225</xdr:rowOff>
        </xdr:to>
        <xdr:sp macro="" textlink="">
          <xdr:nvSpPr>
            <xdr:cNvPr id="145096" name="Button 4808" hidden="1">
              <a:extLst>
                <a:ext uri="{63B3BB69-23CF-44E3-9099-C40C66FF867C}">
                  <a14:compatExt spid="_x0000_s145096"/>
                </a:ext>
                <a:ext uri="{FF2B5EF4-FFF2-40B4-BE49-F238E27FC236}">
                  <a16:creationId xmlns:a16="http://schemas.microsoft.com/office/drawing/2014/main" id="{00000000-0008-0000-0700-0000C83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SMISTA DATI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161925</xdr:colOff>
          <xdr:row>0</xdr:row>
          <xdr:rowOff>695325</xdr:rowOff>
        </xdr:from>
        <xdr:to>
          <xdr:col>15</xdr:col>
          <xdr:colOff>400050</xdr:colOff>
          <xdr:row>0</xdr:row>
          <xdr:rowOff>1076325</xdr:rowOff>
        </xdr:to>
        <xdr:sp macro="" textlink="">
          <xdr:nvSpPr>
            <xdr:cNvPr id="192465" name="Button 6097" hidden="1">
              <a:extLst>
                <a:ext uri="{63B3BB69-23CF-44E3-9099-C40C66FF867C}">
                  <a14:compatExt spid="_x0000_s192465"/>
                </a:ext>
                <a:ext uri="{FF2B5EF4-FFF2-40B4-BE49-F238E27FC236}">
                  <a16:creationId xmlns:a16="http://schemas.microsoft.com/office/drawing/2014/main" id="{00000000-0008-0000-0700-0000D1EF02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it-IT" sz="2000" b="1" i="0" u="none" strike="noStrike" baseline="0">
                  <a:solidFill>
                    <a:srgbClr val="000000"/>
                  </a:solidFill>
                  <a:latin typeface="Calibri"/>
                  <a:ea typeface="Calibri"/>
                  <a:cs typeface="Calibri"/>
                </a:rPr>
                <a:t>RICERCA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9525</xdr:rowOff>
        </xdr:from>
        <xdr:to>
          <xdr:col>2</xdr:col>
          <xdr:colOff>0</xdr:colOff>
          <xdr:row>8</xdr:row>
          <xdr:rowOff>238125</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900-000001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PROGRAMMAZIONE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15</xdr:row>
          <xdr:rowOff>9525</xdr:rowOff>
        </xdr:from>
        <xdr:to>
          <xdr:col>2</xdr:col>
          <xdr:colOff>0</xdr:colOff>
          <xdr:row>16</xdr:row>
          <xdr:rowOff>209550</xdr:rowOff>
        </xdr:to>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0900-000002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REGISTRA PDL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28575</xdr:rowOff>
        </xdr:from>
        <xdr:to>
          <xdr:col>2</xdr:col>
          <xdr:colOff>9525</xdr:colOff>
          <xdr:row>23</xdr:row>
          <xdr:rowOff>9525</xdr:rowOff>
        </xdr:to>
        <xdr:sp macro="" textlink="">
          <xdr:nvSpPr>
            <xdr:cNvPr id="33797" name="Button 5" hidden="1">
              <a:extLst>
                <a:ext uri="{63B3BB69-23CF-44E3-9099-C40C66FF867C}">
                  <a14:compatExt spid="_x0000_s33797"/>
                </a:ext>
                <a:ext uri="{FF2B5EF4-FFF2-40B4-BE49-F238E27FC236}">
                  <a16:creationId xmlns:a16="http://schemas.microsoft.com/office/drawing/2014/main" id="{00000000-0008-0000-0900-000005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CARICA AVVISI</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4000500</xdr:colOff>
          <xdr:row>0</xdr:row>
          <xdr:rowOff>0</xdr:rowOff>
        </xdr:from>
        <xdr:to>
          <xdr:col>1</xdr:col>
          <xdr:colOff>5810250</xdr:colOff>
          <xdr:row>0</xdr:row>
          <xdr:rowOff>190500</xdr:rowOff>
        </xdr:to>
        <xdr:sp macro="" textlink="">
          <xdr:nvSpPr>
            <xdr:cNvPr id="165891" name="Button 3" hidden="1">
              <a:extLst>
                <a:ext uri="{63B3BB69-23CF-44E3-9099-C40C66FF867C}">
                  <a14:compatExt spid="_x0000_s165891"/>
                </a:ext>
                <a:ext uri="{FF2B5EF4-FFF2-40B4-BE49-F238E27FC236}">
                  <a16:creationId xmlns:a16="http://schemas.microsoft.com/office/drawing/2014/main" id="{00000000-0008-0000-0A00-0000038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CARICA PDL</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1695450</xdr:colOff>
          <xdr:row>0</xdr:row>
          <xdr:rowOff>171450</xdr:rowOff>
        </xdr:to>
        <xdr:sp macro="" textlink="">
          <xdr:nvSpPr>
            <xdr:cNvPr id="140290" name="Button 2" hidden="1">
              <a:extLst>
                <a:ext uri="{63B3BB69-23CF-44E3-9099-C40C66FF867C}">
                  <a14:compatExt spid="_x0000_s140290"/>
                </a:ext>
                <a:ext uri="{FF2B5EF4-FFF2-40B4-BE49-F238E27FC236}">
                  <a16:creationId xmlns:a16="http://schemas.microsoft.com/office/drawing/2014/main" id="{00000000-0008-0000-0B00-0000022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POPOLA DESIDERATA</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19050</xdr:colOff>
          <xdr:row>0</xdr:row>
          <xdr:rowOff>0</xdr:rowOff>
        </xdr:from>
        <xdr:to>
          <xdr:col>15</xdr:col>
          <xdr:colOff>371475</xdr:colOff>
          <xdr:row>1</xdr:row>
          <xdr:rowOff>0</xdr:rowOff>
        </xdr:to>
        <xdr:sp macro="" textlink="">
          <xdr:nvSpPr>
            <xdr:cNvPr id="147458" name="Button 2" hidden="1">
              <a:extLst>
                <a:ext uri="{63B3BB69-23CF-44E3-9099-C40C66FF867C}">
                  <a14:compatExt spid="_x0000_s147458"/>
                </a:ext>
                <a:ext uri="{FF2B5EF4-FFF2-40B4-BE49-F238E27FC236}">
                  <a16:creationId xmlns:a16="http://schemas.microsoft.com/office/drawing/2014/main" id="{00000000-0008-0000-0C00-0000024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CANCELLA DESIDERATA</a:t>
              </a:r>
            </a:p>
          </xdr:txBody>
        </xdr:sp>
        <xdr:clientData fPrintsWithSheet="0"/>
      </xdr:twoCellAnchor>
    </mc:Choice>
    <mc:Fallback/>
  </mc:AlternateContent>
  <xdr:twoCellAnchor editAs="oneCell">
    <xdr:from>
      <xdr:col>13</xdr:col>
      <xdr:colOff>1476375</xdr:colOff>
      <xdr:row>0</xdr:row>
      <xdr:rowOff>76200</xdr:rowOff>
    </xdr:from>
    <xdr:to>
      <xdr:col>13</xdr:col>
      <xdr:colOff>2776480</xdr:colOff>
      <xdr:row>10</xdr:row>
      <xdr:rowOff>131254</xdr:rowOff>
    </xdr:to>
    <xdr:pic>
      <xdr:nvPicPr>
        <xdr:cNvPr id="430" name="Picture 105" descr="img_9c4cfe9c-157a-405b-839a-ac95ce7b5ad3">
          <a:extLst>
            <a:ext uri="{FF2B5EF4-FFF2-40B4-BE49-F238E27FC236}">
              <a16:creationId xmlns:a16="http://schemas.microsoft.com/office/drawing/2014/main" id="{00000000-0008-0000-0C00-0000A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259300" y="76200"/>
          <a:ext cx="1300105" cy="12647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backgroundRefresh="0" adjustColumnWidth="0" connectionId="1" xr16:uid="{00000000-0016-0000-0500-000000000000}" autoFormatId="16" applyNumberFormats="0" applyBorderFormats="0" applyFontFormats="0" applyPatternFormats="0" applyAlignmentFormats="0" applyWidthHeightFormats="0">
  <queryTableRefresh preserveSortFilterLayout="0" nextId="22">
    <queryTableFields count="21">
      <queryTableField id="1" name="FERM" tableColumnId="22"/>
      <queryTableField id="2" name="MANUT" tableColumnId="23"/>
      <queryTableField id="3" name="PS" tableColumnId="24"/>
      <queryTableField id="4" name="AREA " tableColumnId="25"/>
      <queryTableField id="5" name="PdL" tableColumnId="26"/>
      <queryTableField id="6" name="IMP." tableColumnId="27"/>
      <queryTableField id="7" name="DESCRIZIONE_x000a_ATTIVITA'" tableColumnId="28"/>
      <queryTableField id="8" name="LUN" tableColumnId="29"/>
      <queryTableField id="9" name="MAR" tableColumnId="30"/>
      <queryTableField id="10" name="MER" tableColumnId="31"/>
      <queryTableField id="11" name="GIO" tableColumnId="32"/>
      <queryTableField id="12" name="VEN" tableColumnId="33"/>
      <queryTableField id="13" name="STATO_x000a_PdL" tableColumnId="34"/>
      <queryTableField id="14" name="ESE" tableColumnId="35"/>
      <queryTableField id="15" name="SAIT" tableColumnId="36"/>
      <queryTableField id="16" name="PONTEROSSO" tableColumnId="37"/>
      <queryTableField id="17" name="STATO_x000a_ATTIVITA'" tableColumnId="38"/>
      <queryTableField id="18" name="DATA_x000a_CONTROLLO" tableColumnId="39"/>
      <queryTableField id="19" name="PERSONALE_x000a_IMPIEGATO" tableColumnId="40"/>
      <queryTableField id="20" name="PO" tableColumnId="41"/>
      <queryTableField id="21" name="AVVISO" tableColumnId="42"/>
    </queryTableFields>
  </queryTableRefresh>
</queryTable>
</file>

<file path=xl/tables/_rels/table8.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ellaA1" displayName="TabellaA1" ref="A3:U301" dataDxfId="5997" totalsRowDxfId="5995" headerRowBorderDxfId="5998" tableBorderDxfId="5996">
  <autoFilter ref="A3:U301" xr:uid="{00000000-000C-0000-FFFF-FFFF00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301">
    <sortCondition ref="M3:M301"/>
  </sortState>
  <tableColumns count="21">
    <tableColumn id="17" xr3:uid="{00000000-0010-0000-0000-000011000000}" name="FERM" dataDxfId="5994" totalsRowDxfId="5993"/>
    <tableColumn id="16" xr3:uid="{00000000-0010-0000-0000-000010000000}" name="MANUT" dataDxfId="5992" totalsRowDxfId="5991"/>
    <tableColumn id="3" xr3:uid="{00000000-0010-0000-0000-000003000000}" name="PS" dataDxfId="5990" totalsRowDxfId="5989">
      <calculatedColumnFormula>IF(OR(TabellaA1[[#This Row],[LUN]]="X",TabellaA1[[#This Row],[MAR]]="X",TabellaA1[[#This Row],[MER]]="X",TabellaA1[[#This Row],[GIO]]="X",TabellaA1[[#This Row],[VEN]]="X",),"X","")</calculatedColumnFormula>
    </tableColumn>
    <tableColumn id="1" xr3:uid="{00000000-0010-0000-0000-000001000000}" name="AREA " totalsRowLabel="Totale" dataDxfId="5988" totalsRowDxfId="5987"/>
    <tableColumn id="7" xr3:uid="{00000000-0010-0000-0000-000007000000}" name="PdL" dataDxfId="5986" totalsRowDxfId="5985"/>
    <tableColumn id="12" xr3:uid="{00000000-0010-0000-0000-00000C000000}" name="IMP." dataDxfId="5984" totalsRowDxfId="5983"/>
    <tableColumn id="2" xr3:uid="{00000000-0010-0000-0000-000002000000}" name="DESCRIZIONE_x000a_ATTIVITA'" dataDxfId="5982" totalsRowDxfId="5981"/>
    <tableColumn id="14" xr3:uid="{00000000-0010-0000-0000-00000E000000}" name="LUN" dataDxfId="5980" totalsRowDxfId="5979"/>
    <tableColumn id="15" xr3:uid="{00000000-0010-0000-0000-00000F000000}" name="MAR" dataDxfId="5978" totalsRowDxfId="5977"/>
    <tableColumn id="5" xr3:uid="{00000000-0010-0000-0000-000005000000}" name="MER" dataDxfId="5976" totalsRowDxfId="5975"/>
    <tableColumn id="13" xr3:uid="{00000000-0010-0000-0000-00000D000000}" name="GIO" dataDxfId="5974" totalsRowDxfId="5973"/>
    <tableColumn id="4" xr3:uid="{00000000-0010-0000-0000-000004000000}" name="VEN" dataDxfId="5972" totalsRowDxfId="5971"/>
    <tableColumn id="9" xr3:uid="{00000000-0010-0000-0000-000009000000}" name="STATO_x000a_PdL" dataDxfId="5970" totalsRowDxfId="5969"/>
    <tableColumn id="20" xr3:uid="{00000000-0010-0000-0000-000014000000}" name="ESE" dataDxfId="5968" totalsRowDxfId="5967"/>
    <tableColumn id="19" xr3:uid="{00000000-0010-0000-0000-000013000000}" name="SAIT" dataDxfId="5966" totalsRowDxfId="5965"/>
    <tableColumn id="18" xr3:uid="{00000000-0010-0000-0000-000012000000}" name="PONTEROSSO" dataDxfId="5964" totalsRowDxfId="5963"/>
    <tableColumn id="10" xr3:uid="{00000000-0010-0000-0000-00000A000000}" name="STATO_x000a_ATTIVITA'" dataDxfId="5962" totalsRowDxfId="5961"/>
    <tableColumn id="6" xr3:uid="{00000000-0010-0000-0000-000006000000}" name="DATA_x000a_CONTROLLO" dataDxfId="5960" totalsRowDxfId="5959"/>
    <tableColumn id="8" xr3:uid="{00000000-0010-0000-0000-000008000000}" name="PERSONALE_x000a_IMPIEGATO" totalsRowFunction="count" dataDxfId="5958" totalsRowDxfId="5957"/>
    <tableColumn id="11" xr3:uid="{00000000-0010-0000-0000-00000B000000}" name="PO" dataDxfId="5956" totalsRowDxfId="5955">
      <calculatedColumnFormula>IF(AND('Inserimento dati'!$B$3=$H$2, TabellaA1[[#This Row],[LUN]]="X"), "X",IF(AND('Inserimento dati'!$B$3=$I$2, TabellaA1[[#This Row],[MAR]]="X"), "X", IF(AND('Inserimento dati'!$B$3=$J$2, TabellaA1[[#This Row],[MER]]="X"), "X",IF(AND('Inserimento dati'!$B$3=$K$2, TabellaA1[[#This Row],[GIO]]="X"), "X", IF(AND('Inserimento dati'!$B$3=$L$2, TabellaA1[[#This Row],[VEN]]="X"), "X","")))))</calculatedColumnFormula>
    </tableColumn>
    <tableColumn id="21" xr3:uid="{00000000-0010-0000-0000-000015000000}" name="AVVISO" dataDxfId="5954" totalsRowDxfId="5953"/>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ella1" displayName="Tabella1" ref="A3:U198" totalsRowShown="0" dataDxfId="5123" headerRowBorderDxfId="5124" tableBorderDxfId="5122">
  <autoFilter ref="A3:U198" xr:uid="{1CE07952-3E59-4589-91B6-021F7532E65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198">
    <sortCondition ref="M3:M198"/>
  </sortState>
  <tableColumns count="21">
    <tableColumn id="17" xr3:uid="{00000000-0010-0000-0100-000011000000}" name="FERM" dataDxfId="5121"/>
    <tableColumn id="16" xr3:uid="{00000000-0010-0000-0100-000010000000}" name="MANUT" dataDxfId="5120"/>
    <tableColumn id="1" xr3:uid="{00000000-0010-0000-0100-000001000000}" name="PS" dataDxfId="5119">
      <calculatedColumnFormula>IF(OR(Tabella1[[#This Row],[LUN]]="X",Tabella1[[#This Row],[MAR]]="X",Tabella1[[#This Row],[MER]]="X",Tabella1[[#This Row],[GIO]]="X",Tabella1[[#This Row],[VEN]]="X",),"X","")</calculatedColumnFormula>
    </tableColumn>
    <tableColumn id="2" xr3:uid="{00000000-0010-0000-0100-000002000000}" name="AREA " dataDxfId="5118"/>
    <tableColumn id="3" xr3:uid="{00000000-0010-0000-0100-000003000000}" name="PdL" dataDxfId="5117"/>
    <tableColumn id="4" xr3:uid="{00000000-0010-0000-0100-000004000000}" name="IMP." dataDxfId="5116"/>
    <tableColumn id="5" xr3:uid="{00000000-0010-0000-0100-000005000000}" name="DESCRIZIONE_x000a_ATTIVITA'" dataDxfId="5115"/>
    <tableColumn id="6" xr3:uid="{00000000-0010-0000-0100-000006000000}" name="LUN" dataDxfId="5114"/>
    <tableColumn id="7" xr3:uid="{00000000-0010-0000-0100-000007000000}" name="MAR" dataDxfId="5113"/>
    <tableColumn id="8" xr3:uid="{00000000-0010-0000-0100-000008000000}" name="MER" dataDxfId="5112"/>
    <tableColumn id="9" xr3:uid="{00000000-0010-0000-0100-000009000000}" name="GIO" dataDxfId="5111"/>
    <tableColumn id="10" xr3:uid="{00000000-0010-0000-0100-00000A000000}" name="VEN" dataDxfId="5110"/>
    <tableColumn id="11" xr3:uid="{00000000-0010-0000-0100-00000B000000}" name="STATO_x000a_PdL" dataDxfId="5109"/>
    <tableColumn id="20" xr3:uid="{00000000-0010-0000-0100-000014000000}" name="ESE" dataDxfId="5108"/>
    <tableColumn id="19" xr3:uid="{00000000-0010-0000-0100-000013000000}" name="SAIT" dataDxfId="5107"/>
    <tableColumn id="18" xr3:uid="{00000000-0010-0000-0100-000012000000}" name="PONTEROSSO" dataDxfId="5106"/>
    <tableColumn id="12" xr3:uid="{00000000-0010-0000-0100-00000C000000}" name="STATO_x000a_ATTIVITA'" dataDxfId="5105"/>
    <tableColumn id="13" xr3:uid="{00000000-0010-0000-0100-00000D000000}" name="DATA_x000a_CONTROLLO" dataDxfId="5104"/>
    <tableColumn id="14" xr3:uid="{00000000-0010-0000-0100-00000E000000}" name="PERSONALE_x000a_IMPIEGATO" dataDxfId="5103"/>
    <tableColumn id="15" xr3:uid="{00000000-0010-0000-0100-00000F000000}" name="PO" dataDxfId="5102">
      <calculatedColumnFormula>IF(AND('Inserimento dati'!$B$3=$H$2, Tabella1[[#This Row],[LUN]]="X"), "X",IF(AND('Inserimento dati'!$B$3=$I$2, Tabella1[[#This Row],[MAR]]="X"), "X", IF(AND('Inserimento dati'!$B$3=$J$2, Tabella1[[#This Row],[MER]]="X"), "X",IF(AND('Inserimento dati'!$B$3=$K$2, Tabella1[[#This Row],[GIO]]="X"), "X", IF(AND('Inserimento dati'!$B$3=$L$2, Tabella1[[#This Row],[VEN]]="X"), "X","")))))</calculatedColumnFormula>
    </tableColumn>
    <tableColumn id="21" xr3:uid="{00000000-0010-0000-0100-000015000000}" name="AVVISO" dataDxfId="5101"/>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ella3" displayName="Tabella3" ref="A3:U487" totalsRowShown="0" headerRowDxfId="4302" headerRowBorderDxfId="4301" tableBorderDxfId="4300">
  <autoFilter ref="A3:U487" xr:uid="{192D6E09-812B-4067-836D-9BF7335BA68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487">
    <sortCondition ref="M3:M487"/>
  </sortState>
  <tableColumns count="21">
    <tableColumn id="17" xr3:uid="{00000000-0010-0000-0200-000011000000}" name="FERM" dataDxfId="4299"/>
    <tableColumn id="16" xr3:uid="{00000000-0010-0000-0200-000010000000}" name="MANUT" dataDxfId="4298"/>
    <tableColumn id="1" xr3:uid="{00000000-0010-0000-0200-000001000000}" name="PS" dataDxfId="4297">
      <calculatedColumnFormula>IF(OR(Tabella3[[#This Row],[LUN]]="X",Tabella3[[#This Row],[MAR]]="X",Tabella3[[#This Row],[MER]]="X",Tabella3[[#This Row],[GIO]]="X",Tabella3[[#This Row],[VEN]]="X",),"X","")</calculatedColumnFormula>
    </tableColumn>
    <tableColumn id="2" xr3:uid="{00000000-0010-0000-0200-000002000000}" name="AREA " dataDxfId="4296"/>
    <tableColumn id="3" xr3:uid="{00000000-0010-0000-0200-000003000000}" name="PdL" dataDxfId="4295"/>
    <tableColumn id="4" xr3:uid="{00000000-0010-0000-0200-000004000000}" name="IMP." dataDxfId="4294"/>
    <tableColumn id="5" xr3:uid="{00000000-0010-0000-0200-000005000000}" name="DESCRIZIONE_x000a_ATTIVITA'" dataDxfId="4293"/>
    <tableColumn id="6" xr3:uid="{00000000-0010-0000-0200-000006000000}" name="LUN" dataDxfId="4292"/>
    <tableColumn id="7" xr3:uid="{00000000-0010-0000-0200-000007000000}" name="MAR" dataDxfId="4291"/>
    <tableColumn id="8" xr3:uid="{00000000-0010-0000-0200-000008000000}" name="MER" dataDxfId="4290"/>
    <tableColumn id="9" xr3:uid="{00000000-0010-0000-0200-000009000000}" name="GIO" dataDxfId="4289"/>
    <tableColumn id="10" xr3:uid="{00000000-0010-0000-0200-00000A000000}" name="VEN" dataDxfId="4288"/>
    <tableColumn id="11" xr3:uid="{00000000-0010-0000-0200-00000B000000}" name="STATO_x000a_PdL" dataDxfId="4287"/>
    <tableColumn id="20" xr3:uid="{00000000-0010-0000-0200-000014000000}" name="ESE" dataDxfId="4286"/>
    <tableColumn id="19" xr3:uid="{00000000-0010-0000-0200-000013000000}" name="SAIT" dataDxfId="4285"/>
    <tableColumn id="18" xr3:uid="{00000000-0010-0000-0200-000012000000}" name="PONTEROSSO" dataDxfId="4284"/>
    <tableColumn id="12" xr3:uid="{00000000-0010-0000-0200-00000C000000}" name="STATO_x000a_ATTIVITA'" dataDxfId="4283"/>
    <tableColumn id="13" xr3:uid="{00000000-0010-0000-0200-00000D000000}" name="DATA_x000a_CONTROLLO" dataDxfId="4282"/>
    <tableColumn id="14" xr3:uid="{00000000-0010-0000-0200-00000E000000}" name="PERSONALE_x000a_IMPIEGATO" dataDxfId="4281"/>
    <tableColumn id="15" xr3:uid="{00000000-0010-0000-0200-00000F000000}" name="PO" dataDxfId="4280">
      <calculatedColumnFormula>IF(AND('Inserimento dati'!$B$3=$H$2, Tabella3[[#This Row],[LUN]]="X"), "X",IF(AND('Inserimento dati'!$B$3=$I$2, Tabella3[[#This Row],[MAR]]="X"), "X", IF(AND('Inserimento dati'!$B$3=$J$2, Tabella3[[#This Row],[MER]]="X"), "X",IF(AND('Inserimento dati'!$B$3=$K$2, Tabella3[[#This Row],[GIO]]="X"), "X", IF(AND('Inserimento dati'!$B$3=$L$2, Tabella3[[#This Row],[VEN]]="X"), "X","")))))</calculatedColumnFormula>
    </tableColumn>
    <tableColumn id="21" xr3:uid="{00000000-0010-0000-0200-000015000000}" name="AVVISO" dataDxfId="4279">
      <calculatedColumnFormula>IFERROR(MID(G4,_xlfn.AGGREGATE(15,6,(ROW(INDIRECT("1:"&amp;LEN(G4)-7)))/(ISNUMBER(--MID(G4,ROW(INDIRECT("1:"&amp;LEN(G4)-7)),8))),1),8),"")</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ellaCTE" displayName="TabellaCTE" ref="A3:U28" totalsRowShown="0" headerRowBorderDxfId="4242" tableBorderDxfId="4241">
  <autoFilter ref="A3:U28" xr:uid="{7D59CEAD-6E70-4748-947F-C6FF9DA6026B}">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28">
    <sortCondition ref="M3:M28"/>
  </sortState>
  <tableColumns count="21">
    <tableColumn id="17" xr3:uid="{00000000-0010-0000-0300-000011000000}" name="FERM" dataDxfId="4240"/>
    <tableColumn id="16" xr3:uid="{00000000-0010-0000-0300-000010000000}" name="MANUT" dataDxfId="4239">
      <calculatedColumnFormula>IF(OR(A4="x",A4="X"),"",IF(ISBLANK(A4),"X",""))</calculatedColumnFormula>
    </tableColumn>
    <tableColumn id="11" xr3:uid="{00000000-0010-0000-0300-00000B000000}" name="PS" dataDxfId="4238">
      <calculatedColumnFormula>IF(OR(TabellaCTE[[#This Row],[LUN]]="X",TabellaCTE[[#This Row],[MAR]]="X",TabellaCTE[[#This Row],[MER]]="X",TabellaCTE[[#This Row],[GIO]]="X",TabellaCTE[[#This Row],[VEN]]="X",),"X","")</calculatedColumnFormula>
    </tableColumn>
    <tableColumn id="1" xr3:uid="{00000000-0010-0000-0300-000001000000}" name="AREA " dataDxfId="4237"/>
    <tableColumn id="7" xr3:uid="{00000000-0010-0000-0300-000007000000}" name="PdL" dataDxfId="4236"/>
    <tableColumn id="12" xr3:uid="{00000000-0010-0000-0300-00000C000000}" name="IMP." dataDxfId="4235"/>
    <tableColumn id="2" xr3:uid="{00000000-0010-0000-0300-000002000000}" name="DESCRIZIONE_x000a_ATTIVITA'" dataDxfId="4234"/>
    <tableColumn id="5" xr3:uid="{00000000-0010-0000-0300-000005000000}" name="LUN" dataDxfId="4233"/>
    <tableColumn id="13" xr3:uid="{00000000-0010-0000-0300-00000D000000}" name="MAR" dataDxfId="4232"/>
    <tableColumn id="14" xr3:uid="{00000000-0010-0000-0300-00000E000000}" name="MER" dataDxfId="4231"/>
    <tableColumn id="4" xr3:uid="{00000000-0010-0000-0300-000004000000}" name="GIO" dataDxfId="4230"/>
    <tableColumn id="3" xr3:uid="{00000000-0010-0000-0300-000003000000}" name="VEN" dataDxfId="4229"/>
    <tableColumn id="9" xr3:uid="{00000000-0010-0000-0300-000009000000}" name="STATO_x000a_PdL" dataDxfId="4228"/>
    <tableColumn id="20" xr3:uid="{00000000-0010-0000-0300-000014000000}" name="ESE" dataDxfId="4227"/>
    <tableColumn id="19" xr3:uid="{00000000-0010-0000-0300-000013000000}" name="SAIT" dataDxfId="4226"/>
    <tableColumn id="18" xr3:uid="{00000000-0010-0000-0300-000012000000}" name="PONTEROSSO" dataDxfId="4225"/>
    <tableColumn id="10" xr3:uid="{00000000-0010-0000-0300-00000A000000}" name="STATO_x000a_ATTIVITA'" dataDxfId="4224"/>
    <tableColumn id="6" xr3:uid="{00000000-0010-0000-0300-000006000000}" name="DATA_x000a_CONTROLLO" dataDxfId="4223"/>
    <tableColumn id="8" xr3:uid="{00000000-0010-0000-0300-000008000000}" name="PERSONALE_x000a_IMPIEGATO" dataDxfId="4222"/>
    <tableColumn id="15" xr3:uid="{00000000-0010-0000-0300-00000F000000}" name="PO" dataDxfId="4221">
      <calculatedColumnFormula>IF(AND('Inserimento dati'!$B$3=$H$2, TabellaCTE[[#This Row],[LUN]]="X"), "X",IF(AND('Inserimento dati'!$B$3=$I$2, TabellaCTE[[#This Row],[MAR]]="X"), "X", IF(AND('Inserimento dati'!$B$3=$J$2, TabellaCTE[[#This Row],[MER]]="X"), "X",IF(AND('Inserimento dati'!$B$3=$K$2, TabellaCTE[[#This Row],[GIO]]="X"), "X", IF(AND('Inserimento dati'!$B$3=$L$2, TabellaCTE[[#This Row],[VEN]]="X"), "X","")))))</calculatedColumnFormula>
    </tableColumn>
    <tableColumn id="21" xr3:uid="{00000000-0010-0000-0300-000015000000}" name="AVVISO" dataDxfId="4220"/>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8593283-1641-4CC6-9F87-A3031E524383}" name="TabellaCTE9" displayName="TabellaCTE9" ref="A3:U4" totalsRowShown="0" headerRowBorderDxfId="4213" tableBorderDxfId="4212">
  <autoFilter ref="A3:U4" xr:uid="{00000000-0009-0000-0100-000005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4">
    <sortCondition ref="M3:M4"/>
  </sortState>
  <tableColumns count="21">
    <tableColumn id="17" xr3:uid="{22EEA1EB-0685-426C-A727-A59E5CAAF56F}" name="FERM" dataDxfId="4211"/>
    <tableColumn id="16" xr3:uid="{BCA8D9BB-A0AB-4B2F-A075-D1B78EEFA1F5}" name="MANUT" dataDxfId="4210">
      <calculatedColumnFormula>IF(OR(A4="x",A4="X"),"",IF(ISBLANK(A4),"X",""))</calculatedColumnFormula>
    </tableColumn>
    <tableColumn id="11" xr3:uid="{5ACA4DCA-F30B-447E-BBE7-6F41593433AC}" name="PS" dataDxfId="4209">
      <calculatedColumnFormula>IF(OR(TabellaCTE9[[#This Row],[LUN]]="X",TabellaCTE9[[#This Row],[MAR]]="X",TabellaCTE9[[#This Row],[MER]]="X",TabellaCTE9[[#This Row],[GIO]]="X",TabellaCTE9[[#This Row],[VEN]]="X",),"X","")</calculatedColumnFormula>
    </tableColumn>
    <tableColumn id="1" xr3:uid="{82BA102C-96ED-4684-8FF0-6EEB686A6917}" name="AREA " dataDxfId="4208"/>
    <tableColumn id="7" xr3:uid="{E2893853-4CDC-422F-A3B6-40470C12E12F}" name="PdL" dataDxfId="4207"/>
    <tableColumn id="12" xr3:uid="{2CCF553A-482A-4282-B11C-9359D2064173}" name="IMP." dataDxfId="4206"/>
    <tableColumn id="2" xr3:uid="{7494B472-9128-4083-B945-DD4FF72291E1}" name="DESCRIZIONE_x000a_ATTIVITA'" dataDxfId="4205"/>
    <tableColumn id="5" xr3:uid="{9FDC870E-7297-4E72-A92E-50621D3ED571}" name="LUN" dataDxfId="4204"/>
    <tableColumn id="13" xr3:uid="{F5100E36-DB83-4D9D-80EC-FBC202A61204}" name="MAR" dataDxfId="4203"/>
    <tableColumn id="14" xr3:uid="{0B17723E-1073-4256-BBF3-5FCD7E6EDE07}" name="MER" dataDxfId="4202"/>
    <tableColumn id="4" xr3:uid="{1A26F968-530A-498B-83F6-047447384296}" name="GIO" dataDxfId="4201"/>
    <tableColumn id="3" xr3:uid="{0F31DCC3-C0CF-46E2-9019-E03DD91A93AD}" name="VEN" dataDxfId="4200"/>
    <tableColumn id="9" xr3:uid="{501FB2F3-55C3-4F18-97B1-2669B6A290B1}" name="STATO_x000a_PdL" dataDxfId="4199"/>
    <tableColumn id="20" xr3:uid="{123104D8-586B-4033-B023-4370AB1BA274}" name="ESE" dataDxfId="4198"/>
    <tableColumn id="19" xr3:uid="{19BFDBF3-23B4-4457-B6F5-DDE51956FE69}" name="SAIT" dataDxfId="4197"/>
    <tableColumn id="18" xr3:uid="{C9186312-7BA7-460F-BEB4-7462451BE728}" name="PONTEROSSO" dataDxfId="4196"/>
    <tableColumn id="10" xr3:uid="{319CAFE4-FAE5-4F56-A91D-2819572ECAC5}" name="STATO_x000a_ATTIVITA'" dataDxfId="4195"/>
    <tableColumn id="6" xr3:uid="{B718CEEC-FF66-4196-A610-9BC9438CC619}" name="DATA_x000a_CONTROLLO" dataDxfId="4194"/>
    <tableColumn id="8" xr3:uid="{9EE2A8CE-AFB9-4354-A103-DA87CDD427F0}" name="PERSONALE_x000a_IMPIEGATO" dataDxfId="4193"/>
    <tableColumn id="15" xr3:uid="{D9CDC717-C807-427C-8A9F-3C3C39A27152}" name="PO" dataDxfId="4192">
      <calculatedColumnFormula>IF(AND('Inserimento dati'!$B$3=$H$2, TabellaCTE9[[#This Row],[LUN]]="X"), "X",IF(AND('Inserimento dati'!$B$3=$I$2, TabellaCTE9[[#This Row],[MAR]]="X"), "X", IF(AND('Inserimento dati'!$B$3=$J$2, TabellaCTE9[[#This Row],[MER]]="X"), "X",IF(AND('Inserimento dati'!$B$3=$K$2, TabellaCTE9[[#This Row],[GIO]]="X"), "X", IF(AND('Inserimento dati'!$B$3=$L$2, TabellaCTE9[[#This Row],[VEN]]="X"), "X","")))))</calculatedColumnFormula>
    </tableColumn>
    <tableColumn id="21" xr3:uid="{618A2A70-EF15-461F-8BF8-767D0E227DA8}" name="AVVISO" dataDxfId="4191">
      <calculatedColumnFormula>IFERROR(MID(G4,_xlfn.AGGREGATE(15,6,(ROW(INDIRECT("1:"&amp;LEN(G4)-7)))/(ISNUMBER(--MID(G4,ROW(INDIRECT("1:"&amp;LEN(G4)-7)),8))),1),8),"")</calculatedColumnFormula>
    </tableColumn>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TabellaBLENDING" displayName="TabellaBLENDING" ref="A3:U204" totalsRowShown="0" headerRowBorderDxfId="452" tableBorderDxfId="451">
  <autoFilter ref="A3:U204" xr:uid="{D76F4055-C987-4E01-A7D3-A35394BA721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204">
    <sortCondition ref="M3:M204"/>
  </sortState>
  <tableColumns count="21">
    <tableColumn id="17" xr3:uid="{00000000-0010-0000-0400-000011000000}" name="FERM" dataDxfId="450"/>
    <tableColumn id="16" xr3:uid="{00000000-0010-0000-0400-000010000000}" name="MANUT" dataDxfId="449"/>
    <tableColumn id="11" xr3:uid="{00000000-0010-0000-0400-00000B000000}" name="PS" dataDxfId="448">
      <calculatedColumnFormula>IF(OR(TabellaBLENDING[[#This Row],[LUN]]="X",TabellaBLENDING[[#This Row],[MAR]]="X",TabellaBLENDING[[#This Row],[MER]]="X",TabellaBLENDING[[#This Row],[GIO]]="X",TabellaBLENDING[[#This Row],[VEN]]="X",),"X","")</calculatedColumnFormula>
    </tableColumn>
    <tableColumn id="1" xr3:uid="{00000000-0010-0000-0400-000001000000}" name="AREA " dataDxfId="447"/>
    <tableColumn id="7" xr3:uid="{00000000-0010-0000-0400-000007000000}" name="PdL" dataDxfId="446"/>
    <tableColumn id="12" xr3:uid="{00000000-0010-0000-0400-00000C000000}" name="IMP." dataDxfId="445"/>
    <tableColumn id="2" xr3:uid="{00000000-0010-0000-0400-000002000000}" name="DESCRIZIONE_x000a_ATTIVITA'" dataDxfId="444"/>
    <tableColumn id="5" xr3:uid="{00000000-0010-0000-0400-000005000000}" name="LUN" dataDxfId="443"/>
    <tableColumn id="13" xr3:uid="{00000000-0010-0000-0400-00000D000000}" name="MAR" dataDxfId="442"/>
    <tableColumn id="14" xr3:uid="{00000000-0010-0000-0400-00000E000000}" name="MER" dataDxfId="441"/>
    <tableColumn id="4" xr3:uid="{00000000-0010-0000-0400-000004000000}" name="GIO" dataDxfId="440"/>
    <tableColumn id="3" xr3:uid="{00000000-0010-0000-0400-000003000000}" name="VEN" dataDxfId="439"/>
    <tableColumn id="9" xr3:uid="{00000000-0010-0000-0400-000009000000}" name="STATO_x000a_PdL" dataDxfId="438"/>
    <tableColumn id="20" xr3:uid="{00000000-0010-0000-0400-000014000000}" name="ESE" dataDxfId="437"/>
    <tableColumn id="19" xr3:uid="{00000000-0010-0000-0400-000013000000}" name="SAIT" dataDxfId="436"/>
    <tableColumn id="18" xr3:uid="{00000000-0010-0000-0400-000012000000}" name="PONTEROSSO" dataDxfId="435"/>
    <tableColumn id="10" xr3:uid="{00000000-0010-0000-0400-00000A000000}" name="STATO_x000a_ATTIVITA'" dataDxfId="434"/>
    <tableColumn id="6" xr3:uid="{00000000-0010-0000-0400-000006000000}" name="DATA_x000a_CONTROLLO" dataDxfId="433"/>
    <tableColumn id="8" xr3:uid="{00000000-0010-0000-0400-000008000000}" name="PERSONALE_x000a_IMPIEGATO" dataDxfId="432"/>
    <tableColumn id="15" xr3:uid="{00000000-0010-0000-0400-00000F000000}" name="PO" dataDxfId="431">
      <calculatedColumnFormula>IF(AND('Inserimento dati'!$B$3=$H$2, TabellaBLENDING[[#This Row],[LUN]]="X"), "X",IF(AND('Inserimento dati'!$B$3=$I$2, TabellaBLENDING[[#This Row],[MAR]]="X"), "X", IF(AND('Inserimento dati'!$B$3=$J$2, TabellaBLENDING[[#This Row],[MER]]="X"), "X",IF(AND('Inserimento dati'!$B$3=$K$2, TabellaBLENDING[[#This Row],[GIO]]="X"), "X", IF(AND('Inserimento dati'!$B$3=$L$2, TabellaBLENDING[[#This Row],[VEN]]="X"), "X","")))))</calculatedColumnFormula>
    </tableColumn>
    <tableColumn id="21" xr3:uid="{00000000-0010-0000-0400-000015000000}" name="AVVISO" dataDxfId="430"/>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777819-D09E-4D67-9034-D10B0ED61AB4}" name="TabellaCTE910" displayName="TabellaCTE910" ref="A3:U22" totalsRowShown="0" headerRowBorderDxfId="87" tableBorderDxfId="86">
  <autoFilter ref="A3:U22" xr:uid="{77640A0A-475C-47D5-8833-4373D23300B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22">
    <sortCondition ref="M3:M22"/>
  </sortState>
  <tableColumns count="21">
    <tableColumn id="17" xr3:uid="{4C3127FE-E147-470F-878D-75A85EA1540E}" name="FERM" dataDxfId="85"/>
    <tableColumn id="16" xr3:uid="{24ABCEFD-5630-4ED5-980A-6637594812BD}" name="MANUT" dataDxfId="84">
      <calculatedColumnFormula>IF(OR(A4="x",A4="X"),"",IF(ISBLANK(A4),"X",""))</calculatedColumnFormula>
    </tableColumn>
    <tableColumn id="11" xr3:uid="{F9780EAD-1E60-47A6-B1C3-5A169A74AC66}" name="PS" dataDxfId="83">
      <calculatedColumnFormula>IF(OR(TabellaCTE910[[#This Row],[LUN]]="X",TabellaCTE910[[#This Row],[MAR]]="X",TabellaCTE910[[#This Row],[MER]]="X",TabellaCTE910[[#This Row],[GIO]]="X",TabellaCTE910[[#This Row],[VEN]]="X",),"X","")</calculatedColumnFormula>
    </tableColumn>
    <tableColumn id="1" xr3:uid="{AA69AA7F-4F3B-4118-9976-55C8A66F1D65}" name="AREA " dataDxfId="82"/>
    <tableColumn id="7" xr3:uid="{4E3E8C84-359A-4FFA-9ACC-CFE7C9177B03}" name="PdL" dataDxfId="81"/>
    <tableColumn id="12" xr3:uid="{4537FF7B-0A61-4F3D-A433-964BDF85A62D}" name="IMP." dataDxfId="80"/>
    <tableColumn id="2" xr3:uid="{CDB97DD1-A014-433D-9A91-37ECD97EA651}" name="DESCRIZIONE_x000a_ATTIVITA'" dataDxfId="79"/>
    <tableColumn id="5" xr3:uid="{570EAB3A-E877-4D9D-8AF0-C1F682F78CF9}" name="LUN" dataDxfId="78"/>
    <tableColumn id="13" xr3:uid="{FAC0C6AC-88D1-45FF-ABFF-C1DB34C9BEB7}" name="MAR" dataDxfId="77"/>
    <tableColumn id="14" xr3:uid="{CDBA59E7-BBA2-48A6-BE87-4323D6BBEC17}" name="MER" dataDxfId="76"/>
    <tableColumn id="4" xr3:uid="{17065573-9DD6-46DA-A120-1A7AE7C926F9}" name="GIO" dataDxfId="75"/>
    <tableColumn id="3" xr3:uid="{E886C821-0DBF-48FC-A636-770F11E5AB03}" name="VEN" dataDxfId="74"/>
    <tableColumn id="9" xr3:uid="{6C9BC91B-DD8F-4D24-B919-F31EA9BF3B87}" name="STATO_x000a_PdL" dataDxfId="73"/>
    <tableColumn id="20" xr3:uid="{779832A5-3DD2-43D2-A307-F37CDA5FE876}" name="ESE" dataDxfId="72"/>
    <tableColumn id="19" xr3:uid="{44B95C1F-F372-49FF-AED0-1EA112FC924F}" name="SAIT" dataDxfId="71"/>
    <tableColumn id="18" xr3:uid="{5CC9B2DC-8DFD-45EA-93A9-43212E56EC5C}" name="PONTEROSSO" dataDxfId="70"/>
    <tableColumn id="10" xr3:uid="{32E66125-C52E-4C8A-810A-72ACA0A8B153}" name="STATO_x000a_ATTIVITA'" dataDxfId="69"/>
    <tableColumn id="6" xr3:uid="{E65C97BB-65C6-492E-A724-FE81E272C929}" name="DATA_x000a_CONTROLLO" dataDxfId="68"/>
    <tableColumn id="8" xr3:uid="{270B0CB9-88C7-4E34-8524-DC282E8E0692}" name="PERSONALE_x000a_IMPIEGATO" dataDxfId="67"/>
    <tableColumn id="15" xr3:uid="{E126294D-F986-4D83-8CFA-CD2E1780B5B5}" name="PO" dataDxfId="66">
      <calculatedColumnFormula>IF(AND('Inserimento dati'!$B$3=$H$2, TabellaCTE910[[#This Row],[LUN]]="X"), "X",IF(AND('Inserimento dati'!$B$3=$I$2, TabellaCTE910[[#This Row],[MAR]]="X"), "X", IF(AND('Inserimento dati'!$B$3=$J$2, TabellaCTE910[[#This Row],[MER]]="X"), "X",IF(AND('Inserimento dati'!$B$3=$K$2, TabellaCTE910[[#This Row],[GIO]]="X"), "X", IF(AND('Inserimento dati'!$B$3=$L$2, TabellaCTE910[[#This Row],[VEN]]="X"), "X","")))))</calculatedColumnFormula>
    </tableColumn>
    <tableColumn id="21" xr3:uid="{5FD39D02-1A4A-4290-99D2-B5B9FFA94D74}" name="AVVISO" dataDxfId="65"/>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5000000}" name="QueryGenerale" displayName="QueryGenerale" ref="A3:U1226" tableType="queryTable" totalsRowShown="0" headerRowDxfId="58" dataDxfId="56" headerRowBorderDxfId="57">
  <autoFilter ref="A3:U1226" xr:uid="{99D0F63B-56AE-41B7-AF2E-543B9E199343}"/>
  <sortState ref="A4:U1226">
    <sortCondition ref="M3:M1226"/>
  </sortState>
  <tableColumns count="21">
    <tableColumn id="22" xr3:uid="{6B66B40B-58D1-44D4-BA89-4796507AA984}" uniqueName="22" name="FERM" queryTableFieldId="1" dataDxfId="55"/>
    <tableColumn id="23" xr3:uid="{A28117D5-B0F3-428E-808B-8DAF1D91A0AC}" uniqueName="23" name="MANUT" queryTableFieldId="2" dataDxfId="54"/>
    <tableColumn id="24" xr3:uid="{3DB5A9F8-915B-4327-8B33-45AD625903FA}" uniqueName="24" name="PS" queryTableFieldId="3" dataDxfId="53"/>
    <tableColumn id="25" xr3:uid="{2E2DBA00-DFF8-49A7-8231-39F5E40E21C4}" uniqueName="25" name="AREA " queryTableFieldId="4" dataDxfId="52"/>
    <tableColumn id="26" xr3:uid="{1DA8EA49-A605-4624-9F99-D93F6AFC5329}" uniqueName="26" name="PdL" queryTableFieldId="5" dataDxfId="51"/>
    <tableColumn id="27" xr3:uid="{84F7A506-BD1E-46A3-A6B6-60F44DC5CB54}" uniqueName="27" name="IMP." queryTableFieldId="6" dataDxfId="50"/>
    <tableColumn id="28" xr3:uid="{0ACA5E72-40FC-4117-AC59-24E0BC934F37}" uniqueName="28" name="DESCRIZIONE_x000a_ATTIVITA'" queryTableFieldId="7" dataDxfId="49"/>
    <tableColumn id="29" xr3:uid="{7962DA22-FB50-4686-9308-83E7994D7E6B}" uniqueName="29" name="LUN" queryTableFieldId="8" dataDxfId="48"/>
    <tableColumn id="30" xr3:uid="{8F0D94E1-2F1F-479B-9976-DE03B5282374}" uniqueName="30" name="MAR" queryTableFieldId="9" dataDxfId="47"/>
    <tableColumn id="31" xr3:uid="{34E8069D-CC29-46B8-B5D0-F3B0500EF669}" uniqueName="31" name="MER" queryTableFieldId="10" dataDxfId="46"/>
    <tableColumn id="32" xr3:uid="{C48179F4-8678-45EF-825A-EFD90FEA38F9}" uniqueName="32" name="GIO" queryTableFieldId="11" dataDxfId="45"/>
    <tableColumn id="33" xr3:uid="{F630D8AE-B8F8-43C7-9DEF-A3B6C902C52C}" uniqueName="33" name="VEN" queryTableFieldId="12" dataDxfId="44"/>
    <tableColumn id="34" xr3:uid="{8C7A437B-A50C-46F4-8CFA-B61828FF8505}" uniqueName="34" name="STATO_x000a_PdL" queryTableFieldId="13" dataDxfId="43"/>
    <tableColumn id="35" xr3:uid="{F7DBEC64-0DFE-4D96-B88F-F5199DB9F0CF}" uniqueName="35" name="ESE" queryTableFieldId="14" dataDxfId="42"/>
    <tableColumn id="36" xr3:uid="{6AF9EB47-F080-4D68-A93F-D8BA1740117F}" uniqueName="36" name="SAIT" queryTableFieldId="15" dataDxfId="41"/>
    <tableColumn id="37" xr3:uid="{DEE7ACB6-66EF-454C-8D58-7B442DE741FE}" uniqueName="37" name="PONTEROSSO" queryTableFieldId="16" dataDxfId="40"/>
    <tableColumn id="38" xr3:uid="{099A98F0-C3CB-4A94-9FD1-32E26FFDB316}" uniqueName="38" name="STATO_x000a_ATTIVITA'" queryTableFieldId="17" dataDxfId="39"/>
    <tableColumn id="39" xr3:uid="{AA38BA50-0E3B-4C42-9E6C-42F6745EAD28}" uniqueName="39" name="DATA_x000a_CONTROLLO" queryTableFieldId="18" dataDxfId="38"/>
    <tableColumn id="40" xr3:uid="{23ACDD97-8AF6-4719-B6C0-9347EC4E9621}" uniqueName="40" name="PERSONALE_x000a_IMPIEGATO" queryTableFieldId="19" dataDxfId="37"/>
    <tableColumn id="41" xr3:uid="{73A6C334-6BAE-4428-A73C-320BD5C755E6}" uniqueName="41" name="PO" queryTableFieldId="20" dataDxfId="36"/>
    <tableColumn id="42" xr3:uid="{256A9CDD-A193-4975-AAAA-1F3E2E5FBED6}" uniqueName="42" name="AVVISO" queryTableFieldId="21" dataDxfId="35"/>
  </tableColumns>
  <tableStyleInfo name="TableStyleMedium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88ABD69-639D-4CC6-A94D-5C0772C2D195}" name="Tabella4" displayName="Tabella4" ref="A2:S17" totalsRowShown="0" headerRowDxfId="20" dataDxfId="19">
  <autoFilter ref="A2:S17" xr:uid="{62061F4F-60A1-4AFA-9DD4-3EAC6263C89E}"/>
  <tableColumns count="19">
    <tableColumn id="1" xr3:uid="{C934B9D9-2705-4B6E-9B92-C1B959DA02EE}" name="N. PdL" dataDxfId="18"/>
    <tableColumn id="2" xr3:uid="{EC01FC21-F711-42B0-83FE-8AE30D510B65}" name="Descrizione PdL" dataDxfId="17"/>
    <tableColumn id="3" xr3:uid="{C854DBD1-BCCB-48FF-84BC-617AB85EB634}" name="Stato PdL" dataDxfId="16"/>
    <tableColumn id="4" xr3:uid="{AB3C2448-F429-4615-979F-F21BDE97BAA7}" name="OdC" dataDxfId="15"/>
    <tableColumn id="5" xr3:uid="{7CBCB13B-9FB4-4BD7-84B4-D397C1539D30}" name="Apparecchiatura" dataDxfId="14"/>
    <tableColumn id="6" xr3:uid="{7B30B6B4-13D2-4F39-B75E-2E72E8DB1135}" name="Unità" dataDxfId="13"/>
    <tableColumn id="7" xr3:uid="{461BB71B-63F1-4343-BC41-2C08FC37575E}" name="Area" dataDxfId="12"/>
    <tableColumn id="8" xr3:uid="{C5097F76-7E57-4E79-B9D2-9A133AA8EEA5}" name="Richiedente" dataDxfId="11"/>
    <tableColumn id="9" xr3:uid="{2F48FACE-15B1-4E35-9F6E-B18069B9EC9D}" name="AVVISO" dataDxfId="10"/>
    <tableColumn id="10" xr3:uid="{E2C1469A-88C8-49EF-967E-5B9A26EEF582}" name=".." dataDxfId="9"/>
    <tableColumn id="11" xr3:uid="{6F633B54-09BA-4C17-9BDD-280255CCFB53}" name="STATO PdL2" dataDxfId="8"/>
    <tableColumn id="12" xr3:uid="{9C642288-7B8B-47F0-81BF-7A5FBC0BF867}" name="ESE" dataDxfId="7"/>
    <tableColumn id="13" xr3:uid="{0D8403DF-32E2-4DFF-904F-8025B1A794B9}" name="SAIT" dataDxfId="6"/>
    <tableColumn id="14" xr3:uid="{B654058C-1EEC-4BF7-8AA4-8C67A7A9A4D9}" name="PR" dataDxfId="5"/>
    <tableColumn id="15" xr3:uid="{C4322CF6-701B-4709-A0F1-B552F7D40FA8}" name="AZIONE CORRETTIVA" dataDxfId="4"/>
    <tableColumn id="16" xr3:uid="{EB711042-0449-4C6A-B354-64588043D540}" name="DATA CONTROLLO" dataDxfId="3"/>
    <tableColumn id="17" xr3:uid="{BB2E7DD5-9923-445F-A211-EAC4CE8B5EB7}" name="PERSONALE IMPIEGATO" dataDxfId="2"/>
    <tableColumn id="18" xr3:uid="{1AF9FC7D-373B-4FAE-BBFB-E289C1805EF6}" name="." dataDxfId="1"/>
    <tableColumn id="19" xr3:uid="{E1D6563C-0D52-48B5-960D-CA91AE2B16DA}" name="CARICA?" dataDxfId="0"/>
  </tableColumns>
  <tableStyleInfo name="TableStyleLight9"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7.xml"/><Relationship Id="rId13" Type="http://schemas.openxmlformats.org/officeDocument/2006/relationships/ctrlProp" Target="../ctrlProps/ctrlProp22.xml"/><Relationship Id="rId3" Type="http://schemas.openxmlformats.org/officeDocument/2006/relationships/vmlDrawing" Target="../drawings/vmlDrawing2.vml"/><Relationship Id="rId7" Type="http://schemas.openxmlformats.org/officeDocument/2006/relationships/ctrlProp" Target="../ctrlProps/ctrlProp16.xml"/><Relationship Id="rId12" Type="http://schemas.openxmlformats.org/officeDocument/2006/relationships/ctrlProp" Target="../ctrlProps/ctrlProp21.xml"/><Relationship Id="rId2" Type="http://schemas.openxmlformats.org/officeDocument/2006/relationships/drawing" Target="../drawings/drawing2.xml"/><Relationship Id="rId16" Type="http://schemas.openxmlformats.org/officeDocument/2006/relationships/table" Target="../tables/table2.xml"/><Relationship Id="rId1" Type="http://schemas.openxmlformats.org/officeDocument/2006/relationships/printerSettings" Target="../printerSettings/printerSettings2.bin"/><Relationship Id="rId6" Type="http://schemas.openxmlformats.org/officeDocument/2006/relationships/ctrlProp" Target="../ctrlProps/ctrlProp15.xml"/><Relationship Id="rId11" Type="http://schemas.openxmlformats.org/officeDocument/2006/relationships/ctrlProp" Target="../ctrlProps/ctrlProp20.xml"/><Relationship Id="rId5" Type="http://schemas.openxmlformats.org/officeDocument/2006/relationships/ctrlProp" Target="../ctrlProps/ctrlProp14.xml"/><Relationship Id="rId15" Type="http://schemas.openxmlformats.org/officeDocument/2006/relationships/ctrlProp" Target="../ctrlProps/ctrlProp24.xml"/><Relationship Id="rId10" Type="http://schemas.openxmlformats.org/officeDocument/2006/relationships/ctrlProp" Target="../ctrlProps/ctrlProp19.xml"/><Relationship Id="rId4" Type="http://schemas.openxmlformats.org/officeDocument/2006/relationships/ctrlProp" Target="../ctrlProps/ctrlProp13.xml"/><Relationship Id="rId9" Type="http://schemas.openxmlformats.org/officeDocument/2006/relationships/ctrlProp" Target="../ctrlProps/ctrlProp18.xml"/><Relationship Id="rId14" Type="http://schemas.openxmlformats.org/officeDocument/2006/relationships/ctrlProp" Target="../ctrlProps/ctrlProp2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3" Type="http://schemas.openxmlformats.org/officeDocument/2006/relationships/vmlDrawing" Target="../drawings/vmlDrawing3.vml"/><Relationship Id="rId7" Type="http://schemas.openxmlformats.org/officeDocument/2006/relationships/ctrlProp" Target="../ctrlProps/ctrlProp28.xml"/><Relationship Id="rId12" Type="http://schemas.openxmlformats.org/officeDocument/2006/relationships/ctrlProp" Target="../ctrlProps/ctrlProp33.xml"/><Relationship Id="rId17" Type="http://schemas.openxmlformats.org/officeDocument/2006/relationships/table" Target="../tables/table3.xml"/><Relationship Id="rId2" Type="http://schemas.openxmlformats.org/officeDocument/2006/relationships/drawing" Target="../drawings/drawing3.xml"/><Relationship Id="rId16" Type="http://schemas.openxmlformats.org/officeDocument/2006/relationships/ctrlProp" Target="../ctrlProps/ctrlProp37.xml"/><Relationship Id="rId1" Type="http://schemas.openxmlformats.org/officeDocument/2006/relationships/printerSettings" Target="../printerSettings/printerSettings3.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5" Type="http://schemas.openxmlformats.org/officeDocument/2006/relationships/ctrlProp" Target="../ctrlProps/ctrlProp36.xml"/><Relationship Id="rId10" Type="http://schemas.openxmlformats.org/officeDocument/2006/relationships/ctrlProp" Target="../ctrlProps/ctrlProp31.xml"/><Relationship Id="rId4" Type="http://schemas.openxmlformats.org/officeDocument/2006/relationships/ctrlProp" Target="../ctrlProps/ctrlProp25.xml"/><Relationship Id="rId9" Type="http://schemas.openxmlformats.org/officeDocument/2006/relationships/ctrlProp" Target="../ctrlProps/ctrlProp30.xml"/><Relationship Id="rId14" Type="http://schemas.openxmlformats.org/officeDocument/2006/relationships/ctrlProp" Target="../ctrlProps/ctrlProp3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42.xml"/><Relationship Id="rId13" Type="http://schemas.openxmlformats.org/officeDocument/2006/relationships/ctrlProp" Target="../ctrlProps/ctrlProp47.xml"/><Relationship Id="rId3" Type="http://schemas.openxmlformats.org/officeDocument/2006/relationships/vmlDrawing" Target="../drawings/vmlDrawing4.vml"/><Relationship Id="rId7" Type="http://schemas.openxmlformats.org/officeDocument/2006/relationships/ctrlProp" Target="../ctrlProps/ctrlProp41.xml"/><Relationship Id="rId12" Type="http://schemas.openxmlformats.org/officeDocument/2006/relationships/ctrlProp" Target="../ctrlProps/ctrlProp46.xml"/><Relationship Id="rId2" Type="http://schemas.openxmlformats.org/officeDocument/2006/relationships/drawing" Target="../drawings/drawing4.xml"/><Relationship Id="rId16" Type="http://schemas.openxmlformats.org/officeDocument/2006/relationships/table" Target="../tables/table4.xml"/><Relationship Id="rId1" Type="http://schemas.openxmlformats.org/officeDocument/2006/relationships/printerSettings" Target="../printerSettings/printerSettings4.bin"/><Relationship Id="rId6" Type="http://schemas.openxmlformats.org/officeDocument/2006/relationships/ctrlProp" Target="../ctrlProps/ctrlProp40.xml"/><Relationship Id="rId11" Type="http://schemas.openxmlformats.org/officeDocument/2006/relationships/ctrlProp" Target="../ctrlProps/ctrlProp45.xml"/><Relationship Id="rId5" Type="http://schemas.openxmlformats.org/officeDocument/2006/relationships/ctrlProp" Target="../ctrlProps/ctrlProp39.xml"/><Relationship Id="rId15" Type="http://schemas.openxmlformats.org/officeDocument/2006/relationships/ctrlProp" Target="../ctrlProps/ctrlProp49.xml"/><Relationship Id="rId10" Type="http://schemas.openxmlformats.org/officeDocument/2006/relationships/ctrlProp" Target="../ctrlProps/ctrlProp44.xml"/><Relationship Id="rId4" Type="http://schemas.openxmlformats.org/officeDocument/2006/relationships/ctrlProp" Target="../ctrlProps/ctrlProp38.xml"/><Relationship Id="rId9" Type="http://schemas.openxmlformats.org/officeDocument/2006/relationships/ctrlProp" Target="../ctrlProps/ctrlProp43.xml"/><Relationship Id="rId14" Type="http://schemas.openxmlformats.org/officeDocument/2006/relationships/ctrlProp" Target="../ctrlProps/ctrlProp48.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4.xml"/><Relationship Id="rId13" Type="http://schemas.openxmlformats.org/officeDocument/2006/relationships/ctrlProp" Target="../ctrlProps/ctrlProp59.xml"/><Relationship Id="rId3" Type="http://schemas.openxmlformats.org/officeDocument/2006/relationships/vmlDrawing" Target="../drawings/vmlDrawing5.vml"/><Relationship Id="rId7" Type="http://schemas.openxmlformats.org/officeDocument/2006/relationships/ctrlProp" Target="../ctrlProps/ctrlProp53.xml"/><Relationship Id="rId12" Type="http://schemas.openxmlformats.org/officeDocument/2006/relationships/ctrlProp" Target="../ctrlProps/ctrlProp58.xml"/><Relationship Id="rId2" Type="http://schemas.openxmlformats.org/officeDocument/2006/relationships/drawing" Target="../drawings/drawing5.xml"/><Relationship Id="rId16" Type="http://schemas.openxmlformats.org/officeDocument/2006/relationships/table" Target="../tables/table5.xml"/><Relationship Id="rId1" Type="http://schemas.openxmlformats.org/officeDocument/2006/relationships/printerSettings" Target="../printerSettings/printerSettings5.bin"/><Relationship Id="rId6" Type="http://schemas.openxmlformats.org/officeDocument/2006/relationships/ctrlProp" Target="../ctrlProps/ctrlProp52.xml"/><Relationship Id="rId11" Type="http://schemas.openxmlformats.org/officeDocument/2006/relationships/ctrlProp" Target="../ctrlProps/ctrlProp57.xml"/><Relationship Id="rId5" Type="http://schemas.openxmlformats.org/officeDocument/2006/relationships/ctrlProp" Target="../ctrlProps/ctrlProp51.xml"/><Relationship Id="rId15" Type="http://schemas.openxmlformats.org/officeDocument/2006/relationships/ctrlProp" Target="../ctrlProps/ctrlProp61.xml"/><Relationship Id="rId10" Type="http://schemas.openxmlformats.org/officeDocument/2006/relationships/ctrlProp" Target="../ctrlProps/ctrlProp56.xml"/><Relationship Id="rId4" Type="http://schemas.openxmlformats.org/officeDocument/2006/relationships/ctrlProp" Target="../ctrlProps/ctrlProp50.xml"/><Relationship Id="rId9" Type="http://schemas.openxmlformats.org/officeDocument/2006/relationships/ctrlProp" Target="../ctrlProps/ctrlProp55.xml"/><Relationship Id="rId14" Type="http://schemas.openxmlformats.org/officeDocument/2006/relationships/ctrlProp" Target="../ctrlProps/ctrlProp60.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6.xml"/><Relationship Id="rId13" Type="http://schemas.openxmlformats.org/officeDocument/2006/relationships/ctrlProp" Target="../ctrlProps/ctrlProp71.xml"/><Relationship Id="rId3" Type="http://schemas.openxmlformats.org/officeDocument/2006/relationships/vmlDrawing" Target="../drawings/vmlDrawing6.vml"/><Relationship Id="rId7" Type="http://schemas.openxmlformats.org/officeDocument/2006/relationships/ctrlProp" Target="../ctrlProps/ctrlProp65.xml"/><Relationship Id="rId12" Type="http://schemas.openxmlformats.org/officeDocument/2006/relationships/ctrlProp" Target="../ctrlProps/ctrlProp70.xml"/><Relationship Id="rId2" Type="http://schemas.openxmlformats.org/officeDocument/2006/relationships/drawing" Target="../drawings/drawing6.xml"/><Relationship Id="rId16" Type="http://schemas.openxmlformats.org/officeDocument/2006/relationships/table" Target="../tables/table6.xml"/><Relationship Id="rId1" Type="http://schemas.openxmlformats.org/officeDocument/2006/relationships/printerSettings" Target="../printerSettings/printerSettings6.bin"/><Relationship Id="rId6" Type="http://schemas.openxmlformats.org/officeDocument/2006/relationships/ctrlProp" Target="../ctrlProps/ctrlProp64.xml"/><Relationship Id="rId11" Type="http://schemas.openxmlformats.org/officeDocument/2006/relationships/ctrlProp" Target="../ctrlProps/ctrlProp69.xml"/><Relationship Id="rId5" Type="http://schemas.openxmlformats.org/officeDocument/2006/relationships/ctrlProp" Target="../ctrlProps/ctrlProp63.xml"/><Relationship Id="rId15" Type="http://schemas.openxmlformats.org/officeDocument/2006/relationships/ctrlProp" Target="../ctrlProps/ctrlProp73.xml"/><Relationship Id="rId10" Type="http://schemas.openxmlformats.org/officeDocument/2006/relationships/ctrlProp" Target="../ctrlProps/ctrlProp68.xml"/><Relationship Id="rId4" Type="http://schemas.openxmlformats.org/officeDocument/2006/relationships/ctrlProp" Target="../ctrlProps/ctrlProp62.xml"/><Relationship Id="rId9" Type="http://schemas.openxmlformats.org/officeDocument/2006/relationships/ctrlProp" Target="../ctrlProps/ctrlProp67.xml"/><Relationship Id="rId14" Type="http://schemas.openxmlformats.org/officeDocument/2006/relationships/ctrlProp" Target="../ctrlProps/ctrlProp72.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78.xml"/><Relationship Id="rId13" Type="http://schemas.openxmlformats.org/officeDocument/2006/relationships/ctrlProp" Target="../ctrlProps/ctrlProp83.xml"/><Relationship Id="rId3" Type="http://schemas.openxmlformats.org/officeDocument/2006/relationships/vmlDrawing" Target="../drawings/vmlDrawing7.vml"/><Relationship Id="rId7" Type="http://schemas.openxmlformats.org/officeDocument/2006/relationships/ctrlProp" Target="../ctrlProps/ctrlProp77.xml"/><Relationship Id="rId12" Type="http://schemas.openxmlformats.org/officeDocument/2006/relationships/ctrlProp" Target="../ctrlProps/ctrlProp82.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76.xml"/><Relationship Id="rId11" Type="http://schemas.openxmlformats.org/officeDocument/2006/relationships/ctrlProp" Target="../ctrlProps/ctrlProp81.xml"/><Relationship Id="rId5" Type="http://schemas.openxmlformats.org/officeDocument/2006/relationships/ctrlProp" Target="../ctrlProps/ctrlProp75.xml"/><Relationship Id="rId15" Type="http://schemas.openxmlformats.org/officeDocument/2006/relationships/table" Target="../tables/table7.xml"/><Relationship Id="rId10" Type="http://schemas.openxmlformats.org/officeDocument/2006/relationships/ctrlProp" Target="../ctrlProps/ctrlProp80.xml"/><Relationship Id="rId4" Type="http://schemas.openxmlformats.org/officeDocument/2006/relationships/ctrlProp" Target="../ctrlProps/ctrlProp74.xml"/><Relationship Id="rId9" Type="http://schemas.openxmlformats.org/officeDocument/2006/relationships/ctrlProp" Target="../ctrlProps/ctrlProp79.xml"/><Relationship Id="rId14" Type="http://schemas.openxmlformats.org/officeDocument/2006/relationships/ctrlProp" Target="../ctrlProps/ctrlProp8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89.xml"/><Relationship Id="rId13" Type="http://schemas.openxmlformats.org/officeDocument/2006/relationships/ctrlProp" Target="../ctrlProps/ctrlProp94.xml"/><Relationship Id="rId18" Type="http://schemas.openxmlformats.org/officeDocument/2006/relationships/ctrlProp" Target="../ctrlProps/ctrlProp99.xml"/><Relationship Id="rId3" Type="http://schemas.openxmlformats.org/officeDocument/2006/relationships/vmlDrawing" Target="../drawings/vmlDrawing8.vml"/><Relationship Id="rId7" Type="http://schemas.openxmlformats.org/officeDocument/2006/relationships/ctrlProp" Target="../ctrlProps/ctrlProp88.xml"/><Relationship Id="rId12" Type="http://schemas.openxmlformats.org/officeDocument/2006/relationships/ctrlProp" Target="../ctrlProps/ctrlProp93.xml"/><Relationship Id="rId17" Type="http://schemas.openxmlformats.org/officeDocument/2006/relationships/ctrlProp" Target="../ctrlProps/ctrlProp98.xml"/><Relationship Id="rId2" Type="http://schemas.openxmlformats.org/officeDocument/2006/relationships/drawing" Target="../drawings/drawing8.xml"/><Relationship Id="rId16" Type="http://schemas.openxmlformats.org/officeDocument/2006/relationships/ctrlProp" Target="../ctrlProps/ctrlProp97.xml"/><Relationship Id="rId20" Type="http://schemas.openxmlformats.org/officeDocument/2006/relationships/table" Target="../tables/table8.xml"/><Relationship Id="rId1" Type="http://schemas.openxmlformats.org/officeDocument/2006/relationships/printerSettings" Target="../printerSettings/printerSettings8.bin"/><Relationship Id="rId6" Type="http://schemas.openxmlformats.org/officeDocument/2006/relationships/ctrlProp" Target="../ctrlProps/ctrlProp87.xml"/><Relationship Id="rId11" Type="http://schemas.openxmlformats.org/officeDocument/2006/relationships/ctrlProp" Target="../ctrlProps/ctrlProp92.xml"/><Relationship Id="rId5" Type="http://schemas.openxmlformats.org/officeDocument/2006/relationships/ctrlProp" Target="../ctrlProps/ctrlProp86.xml"/><Relationship Id="rId15" Type="http://schemas.openxmlformats.org/officeDocument/2006/relationships/ctrlProp" Target="../ctrlProps/ctrlProp96.xml"/><Relationship Id="rId10" Type="http://schemas.openxmlformats.org/officeDocument/2006/relationships/ctrlProp" Target="../ctrlProps/ctrlProp91.xml"/><Relationship Id="rId19" Type="http://schemas.openxmlformats.org/officeDocument/2006/relationships/ctrlProp" Target="../ctrlProps/ctrlProp100.xml"/><Relationship Id="rId4" Type="http://schemas.openxmlformats.org/officeDocument/2006/relationships/ctrlProp" Target="../ctrlProps/ctrlProp85.xml"/><Relationship Id="rId9" Type="http://schemas.openxmlformats.org/officeDocument/2006/relationships/ctrlProp" Target="../ctrlProps/ctrlProp90.xml"/><Relationship Id="rId14" Type="http://schemas.openxmlformats.org/officeDocument/2006/relationships/ctrlProp" Target="../ctrlProps/ctrlProp9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103.xml"/><Relationship Id="rId5" Type="http://schemas.openxmlformats.org/officeDocument/2006/relationships/ctrlProp" Target="../ctrlProps/ctrlProp102.xml"/><Relationship Id="rId4" Type="http://schemas.openxmlformats.org/officeDocument/2006/relationships/ctrlProp" Target="../ctrlProps/ctrlProp10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table" Target="../tables/table9.xml"/><Relationship Id="rId4" Type="http://schemas.openxmlformats.org/officeDocument/2006/relationships/ctrlProp" Target="../ctrlProps/ctrlProp10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trlProp" Target="../ctrlProps/ctrlProp10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trlProp" Target="../ctrlProps/ctrlProp10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1">
    <tabColor theme="3"/>
    <pageSetUpPr fitToPage="1"/>
  </sheetPr>
  <dimension ref="A1:V301"/>
  <sheetViews>
    <sheetView topLeftCell="E4" zoomScale="85" zoomScaleNormal="85" workbookViewId="0">
      <selection activeCell="A4" sqref="A4:U301"/>
    </sheetView>
  </sheetViews>
  <sheetFormatPr defaultColWidth="10.75" defaultRowHeight="15" x14ac:dyDescent="0.25"/>
  <cols>
    <col min="1" max="1" width="3.125" style="3" customWidth="1"/>
    <col min="2" max="2" width="3.125" style="1" customWidth="1"/>
    <col min="3" max="3" width="3.125" style="4" customWidth="1"/>
    <col min="4" max="4" width="6.625" style="5" bestFit="1" customWidth="1"/>
    <col min="5" max="5" width="9" style="5" customWidth="1"/>
    <col min="6" max="6" width="7.5" style="5" customWidth="1"/>
    <col min="7" max="7" width="70.625" style="5" customWidth="1"/>
    <col min="8" max="9" width="9.125" style="5" customWidth="1"/>
    <col min="10" max="11" width="9.125" style="4" customWidth="1"/>
    <col min="12" max="12" width="9.125" style="6" customWidth="1"/>
    <col min="13" max="13" width="13.75" style="6" customWidth="1"/>
    <col min="14" max="14" width="6.375" style="2" customWidth="1"/>
    <col min="15" max="16" width="6.375" style="105" customWidth="1"/>
    <col min="17" max="17" width="55.625" style="2" customWidth="1"/>
    <col min="18" max="18" width="11.375" style="27" bestFit="1" customWidth="1"/>
    <col min="19" max="19" width="13.125" style="2" customWidth="1"/>
    <col min="20" max="20" width="3.125" style="2" customWidth="1"/>
    <col min="21" max="21" width="10.75" style="2"/>
    <col min="22" max="22" width="17.125" style="2" bestFit="1" customWidth="1"/>
    <col min="23" max="16384" width="10.75" style="2"/>
  </cols>
  <sheetData>
    <row r="1" spans="1:22" ht="128.1" customHeight="1" x14ac:dyDescent="0.35">
      <c r="A1" s="193"/>
      <c r="B1" s="193"/>
      <c r="C1" s="193"/>
      <c r="D1" s="193"/>
      <c r="G1" s="10"/>
      <c r="L1" s="19"/>
      <c r="M1" s="39" t="s">
        <v>55</v>
      </c>
      <c r="N1" s="7"/>
      <c r="O1" s="104"/>
      <c r="P1" s="104"/>
      <c r="Q1" s="39" t="s">
        <v>56</v>
      </c>
    </row>
    <row r="2" spans="1:22" s="7" customFormat="1" ht="21" x14ac:dyDescent="0.35">
      <c r="E2" s="17" t="s">
        <v>13</v>
      </c>
      <c r="F2" s="10">
        <f>'Inserimento dati'!B5</f>
        <v>2025</v>
      </c>
      <c r="G2" s="38" t="str">
        <f ca="1">"REDATTO IL " &amp; TEXT(INDIRECT("'Inserimento dati'!B3"), "gg/mm/aaaa")</f>
        <v>REDATTO IL 25/10/2025</v>
      </c>
      <c r="H2" s="11">
        <f ca="1">INDIRECT("'Inserimento dati'!B1")</f>
        <v>45957</v>
      </c>
      <c r="I2" s="11">
        <f ca="1">H2 + 1</f>
        <v>45958</v>
      </c>
      <c r="J2" s="11">
        <f ca="1">I2 + 1</f>
        <v>45959</v>
      </c>
      <c r="K2" s="11">
        <f ca="1">J2 + 1</f>
        <v>45960</v>
      </c>
      <c r="L2" s="11">
        <f ca="1">K2 + 1</f>
        <v>45961</v>
      </c>
      <c r="M2" s="19"/>
      <c r="N2" s="194" t="s">
        <v>50</v>
      </c>
      <c r="O2" s="194"/>
      <c r="P2" s="194"/>
      <c r="Q2" s="21"/>
      <c r="R2" s="28"/>
    </row>
    <row r="3" spans="1:22" s="13" customFormat="1" ht="38.25" x14ac:dyDescent="0.2">
      <c r="A3" s="114" t="s">
        <v>53</v>
      </c>
      <c r="B3" s="115" t="s">
        <v>54</v>
      </c>
      <c r="C3" s="122" t="s">
        <v>32</v>
      </c>
      <c r="D3" s="119" t="s">
        <v>0</v>
      </c>
      <c r="E3" s="119" t="s">
        <v>1</v>
      </c>
      <c r="F3" s="119" t="s">
        <v>2</v>
      </c>
      <c r="G3" s="119" t="s">
        <v>16</v>
      </c>
      <c r="H3" s="117" t="s">
        <v>3</v>
      </c>
      <c r="I3" s="117" t="s">
        <v>4</v>
      </c>
      <c r="J3" s="117" t="s">
        <v>5</v>
      </c>
      <c r="K3" s="117" t="s">
        <v>6</v>
      </c>
      <c r="L3" s="117" t="s">
        <v>7</v>
      </c>
      <c r="M3" s="117" t="s">
        <v>18</v>
      </c>
      <c r="N3" s="117" t="s">
        <v>39</v>
      </c>
      <c r="O3" s="117" t="s">
        <v>40</v>
      </c>
      <c r="P3" s="117" t="s">
        <v>41</v>
      </c>
      <c r="Q3" s="117" t="s">
        <v>14</v>
      </c>
      <c r="R3" s="118" t="s">
        <v>15</v>
      </c>
      <c r="S3" s="117" t="s">
        <v>17</v>
      </c>
      <c r="T3" s="123" t="s">
        <v>33</v>
      </c>
      <c r="U3" s="124" t="s">
        <v>61</v>
      </c>
      <c r="V3" s="13" t="s">
        <v>141</v>
      </c>
    </row>
    <row r="4" spans="1:22" s="13" customFormat="1" ht="45" x14ac:dyDescent="0.2">
      <c r="A4" s="84"/>
      <c r="B4" s="84"/>
      <c r="C4" s="84" t="str">
        <f>IF(OR(TabellaA1[[#This Row],[LUN]]="X",TabellaA1[[#This Row],[MAR]]="X",TabellaA1[[#This Row],[MER]]="X",TabellaA1[[#This Row],[GIO]]="X",TabellaA1[[#This Row],[VEN]]="X",),"X","")</f>
        <v>X</v>
      </c>
      <c r="D4" s="85" t="s">
        <v>143</v>
      </c>
      <c r="E4" s="81" t="s">
        <v>205</v>
      </c>
      <c r="F4" s="81">
        <v>900</v>
      </c>
      <c r="G4" s="81" t="s">
        <v>206</v>
      </c>
      <c r="H4" s="83"/>
      <c r="I4" s="83"/>
      <c r="J4" s="83" t="s">
        <v>8</v>
      </c>
      <c r="K4" s="83" t="s">
        <v>8</v>
      </c>
      <c r="L4" s="83" t="s">
        <v>8</v>
      </c>
      <c r="M4" s="81" t="s">
        <v>52</v>
      </c>
      <c r="N4" s="82"/>
      <c r="O4" s="103"/>
      <c r="P4" s="103"/>
      <c r="Q4" s="82" t="s">
        <v>207</v>
      </c>
      <c r="R4" s="82">
        <v>45951</v>
      </c>
      <c r="S4" s="82" t="s">
        <v>20</v>
      </c>
      <c r="T4" s="132" t="str">
        <f ca="1">IF(AND('Inserimento dati'!$B$3=$H$2, TabellaA1[[#This Row],[LUN]]="X"), "X",IF(AND('Inserimento dati'!$B$3=$I$2, TabellaA1[[#This Row],[MAR]]="X"), "X", IF(AND('Inserimento dati'!$B$3=$J$2, TabellaA1[[#This Row],[MER]]="X"), "X",IF(AND('Inserimento dati'!$B$3=$K$2, TabellaA1[[#This Row],[GIO]]="X"), "X", IF(AND('Inserimento dati'!$B$3=$L$2, TabellaA1[[#This Row],[VEN]]="X"), "X","")))))</f>
        <v/>
      </c>
      <c r="U4" s="133"/>
      <c r="V4" s="109">
        <v>45955.43377314815</v>
      </c>
    </row>
    <row r="5" spans="1:22" s="13" customFormat="1" ht="23.25" x14ac:dyDescent="0.2">
      <c r="A5" s="84"/>
      <c r="B5" s="84"/>
      <c r="C5" s="84" t="str">
        <f>IF(OR(TabellaA1[[#This Row],[LUN]]="X",TabellaA1[[#This Row],[MAR]]="X",TabellaA1[[#This Row],[MER]]="X",TabellaA1[[#This Row],[GIO]]="X",TabellaA1[[#This Row],[VEN]]="X",),"X","")</f>
        <v/>
      </c>
      <c r="D5" s="85" t="s">
        <v>143</v>
      </c>
      <c r="E5" s="81" t="s">
        <v>208</v>
      </c>
      <c r="F5" s="81">
        <v>900</v>
      </c>
      <c r="G5" s="81" t="s">
        <v>206</v>
      </c>
      <c r="H5" s="83"/>
      <c r="I5" s="83"/>
      <c r="J5" s="83"/>
      <c r="K5" s="83"/>
      <c r="L5" s="83"/>
      <c r="M5" s="81" t="s">
        <v>52</v>
      </c>
      <c r="N5" s="82"/>
      <c r="O5" s="103"/>
      <c r="P5" s="103"/>
      <c r="Q5" s="82" t="s">
        <v>209</v>
      </c>
      <c r="R5" s="82">
        <v>45951</v>
      </c>
      <c r="S5" s="82" t="s">
        <v>20</v>
      </c>
      <c r="T5" s="132" t="str">
        <f ca="1">IF(AND('Inserimento dati'!$B$3=$H$2, TabellaA1[[#This Row],[LUN]]="X"), "X",IF(AND('Inserimento dati'!$B$3=$I$2, TabellaA1[[#This Row],[MAR]]="X"), "X", IF(AND('Inserimento dati'!$B$3=$J$2, TabellaA1[[#This Row],[MER]]="X"), "X",IF(AND('Inserimento dati'!$B$3=$K$2, TabellaA1[[#This Row],[GIO]]="X"), "X", IF(AND('Inserimento dati'!$B$3=$L$2, TabellaA1[[#This Row],[VEN]]="X"), "X","")))))</f>
        <v/>
      </c>
      <c r="U5" s="133"/>
      <c r="V5" s="109">
        <v>45955.409942129627</v>
      </c>
    </row>
    <row r="6" spans="1:22" s="13" customFormat="1" ht="23.25" x14ac:dyDescent="0.2">
      <c r="A6" s="84"/>
      <c r="B6" s="84"/>
      <c r="C6" s="84" t="str">
        <f>IF(OR(TabellaA1[[#This Row],[LUN]]="X",TabellaA1[[#This Row],[MAR]]="X",TabellaA1[[#This Row],[MER]]="X",TabellaA1[[#This Row],[GIO]]="X",TabellaA1[[#This Row],[VEN]]="X",),"X","")</f>
        <v/>
      </c>
      <c r="D6" s="85" t="s">
        <v>143</v>
      </c>
      <c r="E6" s="81" t="s">
        <v>210</v>
      </c>
      <c r="F6" s="81">
        <v>100</v>
      </c>
      <c r="G6" s="81" t="s">
        <v>211</v>
      </c>
      <c r="H6" s="83"/>
      <c r="I6" s="83"/>
      <c r="J6" s="83"/>
      <c r="K6" s="83"/>
      <c r="L6" s="83"/>
      <c r="M6" s="81" t="s">
        <v>52</v>
      </c>
      <c r="N6" s="82"/>
      <c r="O6" s="103"/>
      <c r="P6" s="103"/>
      <c r="Q6" s="82" t="s">
        <v>212</v>
      </c>
      <c r="R6" s="82"/>
      <c r="S6" s="82"/>
      <c r="T6" s="132" t="str">
        <f ca="1">IF(AND('Inserimento dati'!$B$3=$H$2, TabellaA1[[#This Row],[LUN]]="X"), "X",IF(AND('Inserimento dati'!$B$3=$I$2, TabellaA1[[#This Row],[MAR]]="X"), "X", IF(AND('Inserimento dati'!$B$3=$J$2, TabellaA1[[#This Row],[MER]]="X"), "X",IF(AND('Inserimento dati'!$B$3=$K$2, TabellaA1[[#This Row],[GIO]]="X"), "X", IF(AND('Inserimento dati'!$B$3=$L$2, TabellaA1[[#This Row],[VEN]]="X"), "X","")))))</f>
        <v/>
      </c>
      <c r="U6" s="133"/>
      <c r="V6" s="109">
        <v>45951.914421296293</v>
      </c>
    </row>
    <row r="7" spans="1:22" s="13" customFormat="1" ht="30" x14ac:dyDescent="0.2">
      <c r="A7" s="84"/>
      <c r="B7" s="84"/>
      <c r="C7" s="84" t="str">
        <f>IF(OR(TabellaA1[[#This Row],[LUN]]="X",TabellaA1[[#This Row],[MAR]]="X",TabellaA1[[#This Row],[MER]]="X",TabellaA1[[#This Row],[GIO]]="X",TabellaA1[[#This Row],[VEN]]="X",),"X","")</f>
        <v/>
      </c>
      <c r="D7" s="85" t="s">
        <v>143</v>
      </c>
      <c r="E7" s="81" t="s">
        <v>213</v>
      </c>
      <c r="F7" s="81">
        <v>400</v>
      </c>
      <c r="G7" s="81" t="s">
        <v>214</v>
      </c>
      <c r="H7" s="83"/>
      <c r="I7" s="83"/>
      <c r="J7" s="83"/>
      <c r="K7" s="83"/>
      <c r="L7" s="83"/>
      <c r="M7" s="81" t="s">
        <v>52</v>
      </c>
      <c r="N7" s="82"/>
      <c r="O7" s="103"/>
      <c r="P7" s="103"/>
      <c r="Q7" s="82" t="s">
        <v>215</v>
      </c>
      <c r="R7" s="82">
        <v>45880</v>
      </c>
      <c r="S7" s="82" t="s">
        <v>23</v>
      </c>
      <c r="T7" s="132" t="str">
        <f ca="1">IF(AND('Inserimento dati'!$B$3=$H$2, TabellaA1[[#This Row],[LUN]]="X"), "X",IF(AND('Inserimento dati'!$B$3=$I$2, TabellaA1[[#This Row],[MAR]]="X"), "X", IF(AND('Inserimento dati'!$B$3=$J$2, TabellaA1[[#This Row],[MER]]="X"), "X",IF(AND('Inserimento dati'!$B$3=$K$2, TabellaA1[[#This Row],[GIO]]="X"), "X", IF(AND('Inserimento dati'!$B$3=$L$2, TabellaA1[[#This Row],[VEN]]="X"), "X","")))))</f>
        <v/>
      </c>
      <c r="U7" s="133"/>
      <c r="V7" s="109">
        <v>45951.914375</v>
      </c>
    </row>
    <row r="8" spans="1:22" s="13" customFormat="1" ht="30" x14ac:dyDescent="0.2">
      <c r="A8" s="84"/>
      <c r="B8" s="84"/>
      <c r="C8" s="84" t="str">
        <f>IF(OR(TabellaA1[[#This Row],[LUN]]="X",TabellaA1[[#This Row],[MAR]]="X",TabellaA1[[#This Row],[MER]]="X",TabellaA1[[#This Row],[GIO]]="X",TabellaA1[[#This Row],[VEN]]="X",),"X","")</f>
        <v/>
      </c>
      <c r="D8" s="85" t="s">
        <v>143</v>
      </c>
      <c r="E8" s="81" t="s">
        <v>216</v>
      </c>
      <c r="F8" s="81">
        <v>900</v>
      </c>
      <c r="G8" s="81" t="s">
        <v>217</v>
      </c>
      <c r="H8" s="83"/>
      <c r="I8" s="83"/>
      <c r="J8" s="83"/>
      <c r="K8" s="83"/>
      <c r="L8" s="83"/>
      <c r="M8" s="81" t="s">
        <v>52</v>
      </c>
      <c r="N8" s="82"/>
      <c r="O8" s="103"/>
      <c r="P8" s="103"/>
      <c r="Q8" s="82" t="s">
        <v>215</v>
      </c>
      <c r="R8" s="82"/>
      <c r="S8" s="82"/>
      <c r="T8" s="132" t="str">
        <f ca="1">IF(AND('Inserimento dati'!$B$3=$H$2, TabellaA1[[#This Row],[LUN]]="X"), "X",IF(AND('Inserimento dati'!$B$3=$I$2, TabellaA1[[#This Row],[MAR]]="X"), "X", IF(AND('Inserimento dati'!$B$3=$J$2, TabellaA1[[#This Row],[MER]]="X"), "X",IF(AND('Inserimento dati'!$B$3=$K$2, TabellaA1[[#This Row],[GIO]]="X"), "X", IF(AND('Inserimento dati'!$B$3=$L$2, TabellaA1[[#This Row],[VEN]]="X"), "X","")))))</f>
        <v/>
      </c>
      <c r="U8" s="133"/>
      <c r="V8" s="109">
        <v>45951.914340277777</v>
      </c>
    </row>
    <row r="9" spans="1:22" s="13" customFormat="1" ht="23.25" x14ac:dyDescent="0.2">
      <c r="A9" s="84"/>
      <c r="B9" s="84"/>
      <c r="C9" s="84" t="str">
        <f>IF(OR(TabellaA1[[#This Row],[LUN]]="X",TabellaA1[[#This Row],[MAR]]="X",TabellaA1[[#This Row],[MER]]="X",TabellaA1[[#This Row],[GIO]]="X",TabellaA1[[#This Row],[VEN]]="X",),"X","")</f>
        <v/>
      </c>
      <c r="D9" s="85" t="s">
        <v>143</v>
      </c>
      <c r="E9" s="81" t="s">
        <v>218</v>
      </c>
      <c r="F9" s="81">
        <v>400</v>
      </c>
      <c r="G9" s="81" t="s">
        <v>219</v>
      </c>
      <c r="H9" s="83"/>
      <c r="I9" s="83"/>
      <c r="J9" s="83"/>
      <c r="K9" s="83"/>
      <c r="L9" s="83"/>
      <c r="M9" s="81" t="s">
        <v>52</v>
      </c>
      <c r="N9" s="82"/>
      <c r="O9" s="103"/>
      <c r="P9" s="103"/>
      <c r="Q9" s="82"/>
      <c r="R9" s="82"/>
      <c r="S9" s="82"/>
      <c r="T9" s="132" t="str">
        <f ca="1">IF(AND('Inserimento dati'!$B$3=$H$2, TabellaA1[[#This Row],[LUN]]="X"), "X",IF(AND('Inserimento dati'!$B$3=$I$2, TabellaA1[[#This Row],[MAR]]="X"), "X", IF(AND('Inserimento dati'!$B$3=$J$2, TabellaA1[[#This Row],[MER]]="X"), "X",IF(AND('Inserimento dati'!$B$3=$K$2, TabellaA1[[#This Row],[GIO]]="X"), "X", IF(AND('Inserimento dati'!$B$3=$L$2, TabellaA1[[#This Row],[VEN]]="X"), "X","")))))</f>
        <v/>
      </c>
      <c r="U9" s="133"/>
      <c r="V9" s="109">
        <v>45950.309259259258</v>
      </c>
    </row>
    <row r="10" spans="1:22" s="13" customFormat="1" ht="23.25" x14ac:dyDescent="0.2">
      <c r="A10" s="84"/>
      <c r="B10" s="84"/>
      <c r="C10" s="84" t="str">
        <f>IF(OR(TabellaA1[[#This Row],[LUN]]="X",TabellaA1[[#This Row],[MAR]]="X",TabellaA1[[#This Row],[MER]]="X",TabellaA1[[#This Row],[GIO]]="X",TabellaA1[[#This Row],[VEN]]="X",),"X","")</f>
        <v/>
      </c>
      <c r="D10" s="85" t="s">
        <v>143</v>
      </c>
      <c r="E10" s="81" t="s">
        <v>220</v>
      </c>
      <c r="F10" s="81">
        <v>300</v>
      </c>
      <c r="G10" s="81" t="s">
        <v>221</v>
      </c>
      <c r="H10" s="83"/>
      <c r="I10" s="83"/>
      <c r="J10" s="83"/>
      <c r="K10" s="83"/>
      <c r="L10" s="83"/>
      <c r="M10" s="81" t="s">
        <v>52</v>
      </c>
      <c r="N10" s="82"/>
      <c r="O10" s="103"/>
      <c r="P10" s="103"/>
      <c r="Q10" s="82" t="s">
        <v>222</v>
      </c>
      <c r="R10" s="82">
        <v>45825</v>
      </c>
      <c r="S10" s="82" t="s">
        <v>20</v>
      </c>
      <c r="T10" s="132" t="str">
        <f ca="1">IF(AND('Inserimento dati'!$B$3=$H$2, TabellaA1[[#This Row],[LUN]]="X"), "X",IF(AND('Inserimento dati'!$B$3=$I$2, TabellaA1[[#This Row],[MAR]]="X"), "X", IF(AND('Inserimento dati'!$B$3=$J$2, TabellaA1[[#This Row],[MER]]="X"), "X",IF(AND('Inserimento dati'!$B$3=$K$2, TabellaA1[[#This Row],[GIO]]="X"), "X", IF(AND('Inserimento dati'!$B$3=$L$2, TabellaA1[[#This Row],[VEN]]="X"), "X","")))))</f>
        <v/>
      </c>
      <c r="U10" s="134" t="str">
        <f t="shared" ref="U10:U41" ca="1" si="0">IFERROR(MID(G10,_xlfn.AGGREGATE(15,6,(ROW(INDIRECT("1:"&amp;LEN(G10)-7)))/(ISNUMBER(--MID(G10,ROW(INDIRECT("1:"&amp;LEN(G10)-7)),8))),1),8),"")</f>
        <v/>
      </c>
      <c r="V10" s="109">
        <v>45946.542442129627</v>
      </c>
    </row>
    <row r="11" spans="1:22" s="13" customFormat="1" ht="30" x14ac:dyDescent="0.2">
      <c r="A11" s="84"/>
      <c r="B11" s="84" t="str">
        <f>IF(OR(A11="x",A11="X"),"",IF(ISBLANK(A11),"X",""))</f>
        <v>X</v>
      </c>
      <c r="C11" s="84" t="str">
        <f>IF(OR(TabellaA1[[#This Row],[LUN]]="X",TabellaA1[[#This Row],[MAR]]="X",TabellaA1[[#This Row],[MER]]="X",TabellaA1[[#This Row],[GIO]]="X",TabellaA1[[#This Row],[VEN]]="X",),"X","")</f>
        <v/>
      </c>
      <c r="D11" s="85" t="s">
        <v>143</v>
      </c>
      <c r="E11" s="81" t="s">
        <v>223</v>
      </c>
      <c r="F11" s="81">
        <v>400</v>
      </c>
      <c r="G11" s="81" t="s">
        <v>224</v>
      </c>
      <c r="H11" s="83"/>
      <c r="I11" s="83"/>
      <c r="J11" s="83"/>
      <c r="K11" s="83"/>
      <c r="L11" s="83"/>
      <c r="M11" s="81" t="s">
        <v>52</v>
      </c>
      <c r="N11" s="82"/>
      <c r="O11" s="103"/>
      <c r="P11" s="103"/>
      <c r="Q11" s="82"/>
      <c r="R11" s="82">
        <v>45814</v>
      </c>
      <c r="S11" s="82" t="s">
        <v>23</v>
      </c>
      <c r="T11" s="132" t="str">
        <f ca="1">IF(AND('Inserimento dati'!$B$3=$H$2, TabellaA1[[#This Row],[LUN]]="X"), "X",IF(AND('Inserimento dati'!$B$3=$I$2, TabellaA1[[#This Row],[MAR]]="X"), "X", IF(AND('Inserimento dati'!$B$3=$J$2, TabellaA1[[#This Row],[MER]]="X"), "X",IF(AND('Inserimento dati'!$B$3=$K$2, TabellaA1[[#This Row],[GIO]]="X"), "X", IF(AND('Inserimento dati'!$B$3=$L$2, TabellaA1[[#This Row],[VEN]]="X"), "X","")))))</f>
        <v/>
      </c>
      <c r="U11" s="134" t="str">
        <f t="shared" ca="1" si="0"/>
        <v/>
      </c>
      <c r="V11" s="109">
        <v>45946.54241898148</v>
      </c>
    </row>
    <row r="12" spans="1:22" s="13" customFormat="1" ht="23.25" x14ac:dyDescent="0.2">
      <c r="A12" s="84"/>
      <c r="B12" s="84"/>
      <c r="C12" s="84" t="str">
        <f>IF(OR(TabellaA1[[#This Row],[LUN]]="X",TabellaA1[[#This Row],[MAR]]="X",TabellaA1[[#This Row],[MER]]="X",TabellaA1[[#This Row],[GIO]]="X",TabellaA1[[#This Row],[VEN]]="X",),"X","")</f>
        <v/>
      </c>
      <c r="D12" s="85" t="s">
        <v>143</v>
      </c>
      <c r="E12" s="81" t="s">
        <v>225</v>
      </c>
      <c r="F12" s="81">
        <v>200</v>
      </c>
      <c r="G12" s="81" t="s">
        <v>226</v>
      </c>
      <c r="H12" s="83"/>
      <c r="I12" s="83"/>
      <c r="J12" s="83"/>
      <c r="K12" s="83"/>
      <c r="L12" s="83"/>
      <c r="M12" s="81" t="s">
        <v>52</v>
      </c>
      <c r="N12" s="82"/>
      <c r="O12" s="103"/>
      <c r="P12" s="103"/>
      <c r="Q12" s="82"/>
      <c r="R12" s="82">
        <v>45813</v>
      </c>
      <c r="S12" s="82" t="s">
        <v>227</v>
      </c>
      <c r="T12" s="132" t="str">
        <f ca="1">IF(AND('Inserimento dati'!$B$3=$H$2, TabellaA1[[#This Row],[LUN]]="X"), "X",IF(AND('Inserimento dati'!$B$3=$I$2, TabellaA1[[#This Row],[MAR]]="X"), "X", IF(AND('Inserimento dati'!$B$3=$J$2, TabellaA1[[#This Row],[MER]]="X"), "X",IF(AND('Inserimento dati'!$B$3=$K$2, TabellaA1[[#This Row],[GIO]]="X"), "X", IF(AND('Inserimento dati'!$B$3=$L$2, TabellaA1[[#This Row],[VEN]]="X"), "X","")))))</f>
        <v/>
      </c>
      <c r="U12" s="134" t="str">
        <f t="shared" ca="1" si="0"/>
        <v/>
      </c>
      <c r="V12" s="109">
        <v>45938.304062499999</v>
      </c>
    </row>
    <row r="13" spans="1:22" s="13" customFormat="1" ht="30" x14ac:dyDescent="0.2">
      <c r="A13" s="84"/>
      <c r="B13" s="84" t="str">
        <f>IF(OR(A13="x",A13="X"),"",IF(ISBLANK(A13),"X",""))</f>
        <v>X</v>
      </c>
      <c r="C13" s="84" t="str">
        <f>IF(OR(TabellaA1[[#This Row],[LUN]]="X",TabellaA1[[#This Row],[MAR]]="X",TabellaA1[[#This Row],[MER]]="X",TabellaA1[[#This Row],[GIO]]="X",TabellaA1[[#This Row],[VEN]]="X",),"X","")</f>
        <v/>
      </c>
      <c r="D13" s="85" t="s">
        <v>143</v>
      </c>
      <c r="E13" s="81" t="s">
        <v>228</v>
      </c>
      <c r="F13" s="81">
        <v>400</v>
      </c>
      <c r="G13" s="81" t="s">
        <v>229</v>
      </c>
      <c r="H13" s="83"/>
      <c r="I13" s="83"/>
      <c r="J13" s="83"/>
      <c r="K13" s="83"/>
      <c r="L13" s="83"/>
      <c r="M13" s="81" t="s">
        <v>52</v>
      </c>
      <c r="N13" s="82"/>
      <c r="O13" s="103"/>
      <c r="P13" s="103"/>
      <c r="Q13" s="82"/>
      <c r="R13" s="82"/>
      <c r="S13" s="82"/>
      <c r="T13" s="135" t="str">
        <f ca="1">IF(AND('Inserimento dati'!$B$3=$H$2, TabellaA1[[#This Row],[LUN]]="X"), "X",IF(AND('Inserimento dati'!$B$3=$I$2, TabellaA1[[#This Row],[MAR]]="X"), "X", IF(AND('Inserimento dati'!$B$3=$J$2, TabellaA1[[#This Row],[MER]]="X"), "X",IF(AND('Inserimento dati'!$B$3=$K$2, TabellaA1[[#This Row],[GIO]]="X"), "X", IF(AND('Inserimento dati'!$B$3=$L$2, TabellaA1[[#This Row],[VEN]]="X"), "X","")))))</f>
        <v/>
      </c>
      <c r="U13" s="136" t="str">
        <f t="shared" ca="1" si="0"/>
        <v/>
      </c>
      <c r="V13" s="109">
        <v>45938.304039351853</v>
      </c>
    </row>
    <row r="14" spans="1:22" s="13" customFormat="1" ht="23.25" x14ac:dyDescent="0.2">
      <c r="A14" s="84"/>
      <c r="B14" s="84"/>
      <c r="C14" s="84" t="str">
        <f>IF(OR(TabellaA1[[#This Row],[LUN]]="X",TabellaA1[[#This Row],[MAR]]="X",TabellaA1[[#This Row],[MER]]="X",TabellaA1[[#This Row],[GIO]]="X",TabellaA1[[#This Row],[VEN]]="X",),"X","")</f>
        <v/>
      </c>
      <c r="D14" s="85" t="s">
        <v>143</v>
      </c>
      <c r="E14" s="81" t="s">
        <v>230</v>
      </c>
      <c r="F14" s="81">
        <v>300</v>
      </c>
      <c r="G14" s="81" t="s">
        <v>231</v>
      </c>
      <c r="H14" s="83"/>
      <c r="I14" s="83"/>
      <c r="J14" s="83"/>
      <c r="K14" s="83"/>
      <c r="L14" s="83"/>
      <c r="M14" s="81" t="s">
        <v>52</v>
      </c>
      <c r="N14" s="82"/>
      <c r="O14" s="103"/>
      <c r="P14" s="103"/>
      <c r="Q14" s="82"/>
      <c r="R14" s="82"/>
      <c r="S14" s="82"/>
      <c r="T14" s="132" t="str">
        <f ca="1">IF(AND('Inserimento dati'!$B$3=$H$2, TabellaA1[[#This Row],[LUN]]="X"), "X",IF(AND('Inserimento dati'!$B$3=$I$2, TabellaA1[[#This Row],[MAR]]="X"), "X", IF(AND('Inserimento dati'!$B$3=$J$2, TabellaA1[[#This Row],[MER]]="X"), "X",IF(AND('Inserimento dati'!$B$3=$K$2, TabellaA1[[#This Row],[GIO]]="X"), "X", IF(AND('Inserimento dati'!$B$3=$L$2, TabellaA1[[#This Row],[VEN]]="X"), "X","")))))</f>
        <v/>
      </c>
      <c r="U14" s="134" t="str">
        <f t="shared" ca="1" si="0"/>
        <v/>
      </c>
      <c r="V14" s="109">
        <v>45938.299201388887</v>
      </c>
    </row>
    <row r="15" spans="1:22" s="13" customFormat="1" ht="30" x14ac:dyDescent="0.2">
      <c r="A15" s="84"/>
      <c r="B15" s="84" t="str">
        <f t="shared" ref="B15:B46" si="1">IF(OR(A15="x",A15="X"),"",IF(ISBLANK(A15),"X",""))</f>
        <v>X</v>
      </c>
      <c r="C15" s="84" t="str">
        <f>IF(OR(TabellaA1[[#This Row],[LUN]]="X",TabellaA1[[#This Row],[MAR]]="X",TabellaA1[[#This Row],[MER]]="X",TabellaA1[[#This Row],[GIO]]="X",TabellaA1[[#This Row],[VEN]]="X",),"X","")</f>
        <v/>
      </c>
      <c r="D15" s="85" t="s">
        <v>143</v>
      </c>
      <c r="E15" s="81" t="s">
        <v>232</v>
      </c>
      <c r="F15" s="81">
        <v>100</v>
      </c>
      <c r="G15" s="81" t="s">
        <v>233</v>
      </c>
      <c r="H15" s="83"/>
      <c r="I15" s="83"/>
      <c r="J15" s="83"/>
      <c r="K15" s="83"/>
      <c r="L15" s="83"/>
      <c r="M15" s="81" t="s">
        <v>52</v>
      </c>
      <c r="N15" s="82"/>
      <c r="O15" s="103"/>
      <c r="P15" s="103"/>
      <c r="Q15" s="82" t="s">
        <v>234</v>
      </c>
      <c r="R15" s="82">
        <v>45782</v>
      </c>
      <c r="S15" s="82" t="s">
        <v>11</v>
      </c>
      <c r="T15" s="84" t="str">
        <f ca="1">IF(AND('Inserimento dati'!$B$3=$H$2, TabellaA1[[#This Row],[LUN]]="X"), "X",IF(AND('Inserimento dati'!$B$3=$I$2, TabellaA1[[#This Row],[MAR]]="X"), "X", IF(AND('Inserimento dati'!$B$3=$J$2, TabellaA1[[#This Row],[MER]]="X"), "X",IF(AND('Inserimento dati'!$B$3=$K$2, TabellaA1[[#This Row],[GIO]]="X"), "X", IF(AND('Inserimento dati'!$B$3=$L$2, TabellaA1[[#This Row],[VEN]]="X"), "X","")))))</f>
        <v/>
      </c>
      <c r="U15" s="137" t="str">
        <f t="shared" ca="1" si="0"/>
        <v/>
      </c>
      <c r="V15" s="109">
        <v>45936.960405092592</v>
      </c>
    </row>
    <row r="16" spans="1:22" s="13" customFormat="1" ht="23.25" x14ac:dyDescent="0.2">
      <c r="A16" s="84"/>
      <c r="B16" s="84" t="str">
        <f t="shared" si="1"/>
        <v>X</v>
      </c>
      <c r="C16" s="84" t="str">
        <f>IF(OR(TabellaA1[[#This Row],[LUN]]="X",TabellaA1[[#This Row],[MAR]]="X",TabellaA1[[#This Row],[MER]]="X",TabellaA1[[#This Row],[GIO]]="X",TabellaA1[[#This Row],[VEN]]="X",),"X","")</f>
        <v/>
      </c>
      <c r="D16" s="85" t="s">
        <v>143</v>
      </c>
      <c r="E16" s="81" t="s">
        <v>235</v>
      </c>
      <c r="F16" s="81">
        <v>100</v>
      </c>
      <c r="G16" s="81" t="s">
        <v>236</v>
      </c>
      <c r="H16" s="83"/>
      <c r="I16" s="83"/>
      <c r="J16" s="83"/>
      <c r="K16" s="83"/>
      <c r="L16" s="83"/>
      <c r="M16" s="82" t="s">
        <v>52</v>
      </c>
      <c r="N16" s="82"/>
      <c r="O16" s="103"/>
      <c r="P16" s="103"/>
      <c r="Q16" s="82" t="s">
        <v>237</v>
      </c>
      <c r="R16" s="82">
        <v>45783</v>
      </c>
      <c r="S16" s="82" t="s">
        <v>238</v>
      </c>
      <c r="T16" s="84" t="str">
        <f ca="1">IF(AND('Inserimento dati'!$B$3=$H$2, TabellaA1[[#This Row],[LUN]]="X"), "X",IF(AND('Inserimento dati'!$B$3=$I$2, TabellaA1[[#This Row],[MAR]]="X"), "X", IF(AND('Inserimento dati'!$B$3=$J$2, TabellaA1[[#This Row],[MER]]="X"), "X",IF(AND('Inserimento dati'!$B$3=$K$2, TabellaA1[[#This Row],[GIO]]="X"), "X", IF(AND('Inserimento dati'!$B$3=$L$2, TabellaA1[[#This Row],[VEN]]="X"), "X","")))))</f>
        <v/>
      </c>
      <c r="U16" s="137" t="str">
        <f t="shared" ca="1" si="0"/>
        <v/>
      </c>
      <c r="V16" s="109">
        <v>45936.960393518515</v>
      </c>
    </row>
    <row r="17" spans="1:22" s="13" customFormat="1" ht="30" x14ac:dyDescent="0.2">
      <c r="A17" s="84"/>
      <c r="B17" s="84" t="str">
        <f t="shared" si="1"/>
        <v>X</v>
      </c>
      <c r="C17" s="84" t="str">
        <f>IF(OR(TabellaA1[[#This Row],[LUN]]="X",TabellaA1[[#This Row],[MAR]]="X",TabellaA1[[#This Row],[MER]]="X",TabellaA1[[#This Row],[GIO]]="X",TabellaA1[[#This Row],[VEN]]="X",),"X","")</f>
        <v/>
      </c>
      <c r="D17" s="85" t="s">
        <v>143</v>
      </c>
      <c r="E17" s="81" t="s">
        <v>239</v>
      </c>
      <c r="F17" s="81">
        <v>300</v>
      </c>
      <c r="G17" s="81" t="s">
        <v>240</v>
      </c>
      <c r="H17" s="83"/>
      <c r="I17" s="83"/>
      <c r="J17" s="83"/>
      <c r="K17" s="83"/>
      <c r="L17" s="83"/>
      <c r="M17" s="82" t="s">
        <v>52</v>
      </c>
      <c r="N17" s="82"/>
      <c r="O17" s="103"/>
      <c r="P17" s="103"/>
      <c r="Q17" s="82" t="s">
        <v>241</v>
      </c>
      <c r="R17" s="82">
        <v>45777</v>
      </c>
      <c r="S17" s="82" t="s">
        <v>242</v>
      </c>
      <c r="T17" s="84" t="str">
        <f ca="1">IF(AND('Inserimento dati'!$B$3=$H$2, TabellaA1[[#This Row],[LUN]]="X"), "X",IF(AND('Inserimento dati'!$B$3=$I$2, TabellaA1[[#This Row],[MAR]]="X"), "X", IF(AND('Inserimento dati'!$B$3=$J$2, TabellaA1[[#This Row],[MER]]="X"), "X",IF(AND('Inserimento dati'!$B$3=$K$2, TabellaA1[[#This Row],[GIO]]="X"), "X", IF(AND('Inserimento dati'!$B$3=$L$2, TabellaA1[[#This Row],[VEN]]="X"), "X","")))))</f>
        <v/>
      </c>
      <c r="U17" s="137" t="str">
        <f t="shared" ca="1" si="0"/>
        <v/>
      </c>
      <c r="V17" s="109">
        <v>45936.960370370369</v>
      </c>
    </row>
    <row r="18" spans="1:22" s="13" customFormat="1" ht="30" x14ac:dyDescent="0.2">
      <c r="A18" s="84"/>
      <c r="B18" s="84" t="str">
        <f t="shared" si="1"/>
        <v>X</v>
      </c>
      <c r="C18" s="84" t="str">
        <f>IF(OR(TabellaA1[[#This Row],[LUN]]="X",TabellaA1[[#This Row],[MAR]]="X",TabellaA1[[#This Row],[MER]]="X",TabellaA1[[#This Row],[GIO]]="X",TabellaA1[[#This Row],[VEN]]="X",),"X","")</f>
        <v/>
      </c>
      <c r="D18" s="85" t="s">
        <v>143</v>
      </c>
      <c r="E18" s="81" t="s">
        <v>243</v>
      </c>
      <c r="F18" s="81">
        <v>900</v>
      </c>
      <c r="G18" s="81" t="s">
        <v>244</v>
      </c>
      <c r="H18" s="83"/>
      <c r="I18" s="83"/>
      <c r="J18" s="83"/>
      <c r="K18" s="83"/>
      <c r="L18" s="83"/>
      <c r="M18" s="82" t="s">
        <v>52</v>
      </c>
      <c r="N18" s="82"/>
      <c r="O18" s="103"/>
      <c r="P18" s="103"/>
      <c r="Q18" s="82" t="s">
        <v>245</v>
      </c>
      <c r="R18" s="82">
        <v>45777</v>
      </c>
      <c r="S18" s="82" t="s">
        <v>9</v>
      </c>
      <c r="T18" s="84" t="str">
        <f ca="1">IF(AND('Inserimento dati'!$B$3=$H$2, TabellaA1[[#This Row],[LUN]]="X"), "X",IF(AND('Inserimento dati'!$B$3=$I$2, TabellaA1[[#This Row],[MAR]]="X"), "X", IF(AND('Inserimento dati'!$B$3=$J$2, TabellaA1[[#This Row],[MER]]="X"), "X",IF(AND('Inserimento dati'!$B$3=$K$2, TabellaA1[[#This Row],[GIO]]="X"), "X", IF(AND('Inserimento dati'!$B$3=$L$2, TabellaA1[[#This Row],[VEN]]="X"), "X","")))))</f>
        <v/>
      </c>
      <c r="U18" s="137" t="str">
        <f t="shared" ca="1" si="0"/>
        <v/>
      </c>
      <c r="V18" s="109">
        <v>45936.960347222222</v>
      </c>
    </row>
    <row r="19" spans="1:22" s="13" customFormat="1" ht="30" x14ac:dyDescent="0.2">
      <c r="A19" s="167"/>
      <c r="B19" s="167" t="str">
        <f t="shared" si="1"/>
        <v>X</v>
      </c>
      <c r="C19" s="167" t="str">
        <f>IF(OR(TabellaA1[[#This Row],[LUN]]="X",TabellaA1[[#This Row],[MAR]]="X",TabellaA1[[#This Row],[MER]]="X",TabellaA1[[#This Row],[GIO]]="X",TabellaA1[[#This Row],[VEN]]="X",),"X","")</f>
        <v/>
      </c>
      <c r="D19" s="168" t="s">
        <v>143</v>
      </c>
      <c r="E19" s="170" t="s">
        <v>246</v>
      </c>
      <c r="F19" s="170">
        <v>100</v>
      </c>
      <c r="G19" s="170" t="s">
        <v>247</v>
      </c>
      <c r="H19" s="171"/>
      <c r="I19" s="171"/>
      <c r="J19" s="171"/>
      <c r="K19" s="171"/>
      <c r="L19" s="169"/>
      <c r="M19" s="129" t="s">
        <v>52</v>
      </c>
      <c r="N19" s="129"/>
      <c r="O19" s="172"/>
      <c r="P19" s="172"/>
      <c r="Q19" s="129" t="s">
        <v>52</v>
      </c>
      <c r="R19" s="129">
        <v>45764</v>
      </c>
      <c r="S19" s="129" t="s">
        <v>20</v>
      </c>
      <c r="T19" s="173" t="str">
        <f ca="1">IF(AND('Inserimento dati'!$B$3=$H$2, TabellaA1[[#This Row],[LUN]]="X"), "X",IF(AND('Inserimento dati'!$B$3=$I$2, TabellaA1[[#This Row],[MAR]]="X"), "X", IF(AND('Inserimento dati'!$B$3=$J$2, TabellaA1[[#This Row],[MER]]="X"), "X",IF(AND('Inserimento dati'!$B$3=$K$2, TabellaA1[[#This Row],[GIO]]="X"), "X", IF(AND('Inserimento dati'!$B$3=$L$2, TabellaA1[[#This Row],[VEN]]="X"), "X","")))))</f>
        <v/>
      </c>
      <c r="U19" s="136" t="str">
        <f t="shared" ca="1" si="0"/>
        <v/>
      </c>
      <c r="V19" s="109">
        <v>45934.68550925926</v>
      </c>
    </row>
    <row r="20" spans="1:22" s="13" customFormat="1" ht="30" x14ac:dyDescent="0.2">
      <c r="A20" s="183"/>
      <c r="B20" s="183" t="str">
        <f t="shared" si="1"/>
        <v>X</v>
      </c>
      <c r="C20" s="183" t="str">
        <f>IF(OR(TabellaA1[[#This Row],[LUN]]="X",TabellaA1[[#This Row],[MAR]]="X",TabellaA1[[#This Row],[MER]]="X",TabellaA1[[#This Row],[GIO]]="X",TabellaA1[[#This Row],[VEN]]="X",),"X","")</f>
        <v/>
      </c>
      <c r="D20" s="184" t="s">
        <v>143</v>
      </c>
      <c r="E20" s="185" t="s">
        <v>248</v>
      </c>
      <c r="F20" s="185">
        <v>100</v>
      </c>
      <c r="G20" s="185" t="s">
        <v>249</v>
      </c>
      <c r="H20" s="186"/>
      <c r="I20" s="186"/>
      <c r="J20" s="186"/>
      <c r="K20" s="186"/>
      <c r="L20" s="187"/>
      <c r="M20" s="188" t="s">
        <v>52</v>
      </c>
      <c r="N20" s="188"/>
      <c r="O20" s="189"/>
      <c r="P20" s="189"/>
      <c r="Q20" s="188" t="s">
        <v>250</v>
      </c>
      <c r="R20" s="188">
        <v>45764</v>
      </c>
      <c r="S20" s="188" t="s">
        <v>20</v>
      </c>
      <c r="T20" s="190" t="str">
        <f ca="1">IF(AND('Inserimento dati'!$B$3=$H$2, TabellaA1[[#This Row],[LUN]]="X"), "X",IF(AND('Inserimento dati'!$B$3=$I$2, TabellaA1[[#This Row],[MAR]]="X"), "X", IF(AND('Inserimento dati'!$B$3=$J$2, TabellaA1[[#This Row],[MER]]="X"), "X",IF(AND('Inserimento dati'!$B$3=$K$2, TabellaA1[[#This Row],[GIO]]="X"), "X", IF(AND('Inserimento dati'!$B$3=$L$2, TabellaA1[[#This Row],[VEN]]="X"), "X","")))))</f>
        <v/>
      </c>
      <c r="U20" s="136" t="str">
        <f t="shared" ca="1" si="0"/>
        <v/>
      </c>
      <c r="V20" s="109">
        <v>45934.685474537036</v>
      </c>
    </row>
    <row r="21" spans="1:22" ht="23.25" x14ac:dyDescent="0.25">
      <c r="A21" s="167"/>
      <c r="B21" s="167" t="str">
        <f t="shared" si="1"/>
        <v>X</v>
      </c>
      <c r="C21" s="167" t="str">
        <f>IF(OR(TabellaA1[[#This Row],[LUN]]="X",TabellaA1[[#This Row],[MAR]]="X",TabellaA1[[#This Row],[MER]]="X",TabellaA1[[#This Row],[GIO]]="X",TabellaA1[[#This Row],[VEN]]="X",),"X","")</f>
        <v/>
      </c>
      <c r="D21" s="168" t="s">
        <v>143</v>
      </c>
      <c r="E21" s="170" t="s">
        <v>251</v>
      </c>
      <c r="F21" s="170">
        <v>200</v>
      </c>
      <c r="G21" s="170" t="s">
        <v>252</v>
      </c>
      <c r="H21" s="171"/>
      <c r="I21" s="171"/>
      <c r="J21" s="171"/>
      <c r="K21" s="171"/>
      <c r="L21" s="169"/>
      <c r="M21" s="129" t="s">
        <v>52</v>
      </c>
      <c r="N21" s="129"/>
      <c r="O21" s="172"/>
      <c r="P21" s="172"/>
      <c r="Q21" s="129" t="s">
        <v>253</v>
      </c>
      <c r="R21" s="129">
        <v>45775</v>
      </c>
      <c r="S21" s="129" t="s">
        <v>254</v>
      </c>
      <c r="T21" s="173" t="str">
        <f ca="1">IF(AND('Inserimento dati'!$B$3=$H$2, TabellaA1[[#This Row],[LUN]]="X"), "X",IF(AND('Inserimento dati'!$B$3=$I$2, TabellaA1[[#This Row],[MAR]]="X"), "X", IF(AND('Inserimento dati'!$B$3=$J$2, TabellaA1[[#This Row],[MER]]="X"), "X",IF(AND('Inserimento dati'!$B$3=$K$2, TabellaA1[[#This Row],[GIO]]="X"), "X", IF(AND('Inserimento dati'!$B$3=$L$2, TabellaA1[[#This Row],[VEN]]="X"), "X","")))))</f>
        <v/>
      </c>
      <c r="U21" s="139" t="str">
        <f t="shared" ca="1" si="0"/>
        <v/>
      </c>
    </row>
    <row r="22" spans="1:22" ht="30" x14ac:dyDescent="0.25">
      <c r="A22" s="167"/>
      <c r="B22" s="167" t="str">
        <f t="shared" si="1"/>
        <v>X</v>
      </c>
      <c r="C22" s="167" t="str">
        <f>IF(OR(TabellaA1[[#This Row],[LUN]]="X",TabellaA1[[#This Row],[MAR]]="X",TabellaA1[[#This Row],[MER]]="X",TabellaA1[[#This Row],[GIO]]="X",TabellaA1[[#This Row],[VEN]]="X",),"X","")</f>
        <v/>
      </c>
      <c r="D22" s="168" t="s">
        <v>143</v>
      </c>
      <c r="E22" s="170" t="s">
        <v>255</v>
      </c>
      <c r="F22" s="170">
        <v>200</v>
      </c>
      <c r="G22" s="170" t="s">
        <v>256</v>
      </c>
      <c r="H22" s="171"/>
      <c r="I22" s="171"/>
      <c r="J22" s="171"/>
      <c r="K22" s="171"/>
      <c r="L22" s="169"/>
      <c r="M22" s="129" t="s">
        <v>52</v>
      </c>
      <c r="N22" s="129"/>
      <c r="O22" s="172"/>
      <c r="P22" s="172"/>
      <c r="Q22" s="129" t="s">
        <v>257</v>
      </c>
      <c r="R22" s="129">
        <v>45771</v>
      </c>
      <c r="S22" s="129" t="s">
        <v>20</v>
      </c>
      <c r="T22" s="173" t="str">
        <f ca="1">IF(AND('Inserimento dati'!$B$3=$H$2, TabellaA1[[#This Row],[LUN]]="X"), "X",IF(AND('Inserimento dati'!$B$3=$I$2, TabellaA1[[#This Row],[MAR]]="X"), "X", IF(AND('Inserimento dati'!$B$3=$J$2, TabellaA1[[#This Row],[MER]]="X"), "X",IF(AND('Inserimento dati'!$B$3=$K$2, TabellaA1[[#This Row],[GIO]]="X"), "X", IF(AND('Inserimento dati'!$B$3=$L$2, TabellaA1[[#This Row],[VEN]]="X"), "X","")))))</f>
        <v/>
      </c>
      <c r="U22" s="139" t="str">
        <f t="shared" ca="1" si="0"/>
        <v/>
      </c>
    </row>
    <row r="23" spans="1:22" ht="30" x14ac:dyDescent="0.25">
      <c r="A23" s="167"/>
      <c r="B23" s="167" t="str">
        <f t="shared" si="1"/>
        <v>X</v>
      </c>
      <c r="C23" s="167" t="str">
        <f>IF(OR(TabellaA1[[#This Row],[LUN]]="X",TabellaA1[[#This Row],[MAR]]="X",TabellaA1[[#This Row],[MER]]="X",TabellaA1[[#This Row],[GIO]]="X",TabellaA1[[#This Row],[VEN]]="X",),"X","")</f>
        <v/>
      </c>
      <c r="D23" s="168" t="s">
        <v>143</v>
      </c>
      <c r="E23" s="170" t="s">
        <v>258</v>
      </c>
      <c r="F23" s="170">
        <v>200</v>
      </c>
      <c r="G23" s="170" t="s">
        <v>259</v>
      </c>
      <c r="H23" s="171"/>
      <c r="I23" s="171"/>
      <c r="J23" s="171"/>
      <c r="K23" s="171"/>
      <c r="L23" s="169"/>
      <c r="M23" s="129" t="s">
        <v>52</v>
      </c>
      <c r="N23" s="129"/>
      <c r="O23" s="172"/>
      <c r="P23" s="172"/>
      <c r="Q23" s="129" t="s">
        <v>260</v>
      </c>
      <c r="R23" s="129">
        <v>45771</v>
      </c>
      <c r="S23" s="129" t="s">
        <v>20</v>
      </c>
      <c r="T23" s="173" t="str">
        <f ca="1">IF(AND('Inserimento dati'!$B$3=$H$2, TabellaA1[[#This Row],[LUN]]="X"), "X",IF(AND('Inserimento dati'!$B$3=$I$2, TabellaA1[[#This Row],[MAR]]="X"), "X", IF(AND('Inserimento dati'!$B$3=$J$2, TabellaA1[[#This Row],[MER]]="X"), "X",IF(AND('Inserimento dati'!$B$3=$K$2, TabellaA1[[#This Row],[GIO]]="X"), "X", IF(AND('Inserimento dati'!$B$3=$L$2, TabellaA1[[#This Row],[VEN]]="X"), "X","")))))</f>
        <v/>
      </c>
      <c r="U23" s="139" t="str">
        <f t="shared" ca="1" si="0"/>
        <v/>
      </c>
    </row>
    <row r="24" spans="1:22" ht="23.25" x14ac:dyDescent="0.25">
      <c r="A24" s="167"/>
      <c r="B24" s="167" t="str">
        <f t="shared" si="1"/>
        <v>X</v>
      </c>
      <c r="C24" s="167" t="str">
        <f>IF(OR(TabellaA1[[#This Row],[LUN]]="X",TabellaA1[[#This Row],[MAR]]="X",TabellaA1[[#This Row],[MER]]="X",TabellaA1[[#This Row],[GIO]]="X",TabellaA1[[#This Row],[VEN]]="X",),"X","")</f>
        <v/>
      </c>
      <c r="D24" s="168" t="s">
        <v>143</v>
      </c>
      <c r="E24" s="170" t="s">
        <v>261</v>
      </c>
      <c r="F24" s="170" t="s">
        <v>262</v>
      </c>
      <c r="G24" s="170" t="s">
        <v>263</v>
      </c>
      <c r="H24" s="171"/>
      <c r="I24" s="171"/>
      <c r="J24" s="171"/>
      <c r="K24" s="171"/>
      <c r="L24" s="169"/>
      <c r="M24" s="129" t="s">
        <v>52</v>
      </c>
      <c r="N24" s="129"/>
      <c r="O24" s="172"/>
      <c r="P24" s="172"/>
      <c r="Q24" s="129"/>
      <c r="R24" s="129"/>
      <c r="S24" s="129"/>
      <c r="T24" s="173" t="str">
        <f ca="1">IF(AND('Inserimento dati'!$B$3=$H$2, TabellaA1[[#This Row],[LUN]]="X"), "X",IF(AND('Inserimento dati'!$B$3=$I$2, TabellaA1[[#This Row],[MAR]]="X"), "X", IF(AND('Inserimento dati'!$B$3=$J$2, TabellaA1[[#This Row],[MER]]="X"), "X",IF(AND('Inserimento dati'!$B$3=$K$2, TabellaA1[[#This Row],[GIO]]="X"), "X", IF(AND('Inserimento dati'!$B$3=$L$2, TabellaA1[[#This Row],[VEN]]="X"), "X","")))))</f>
        <v/>
      </c>
      <c r="U24" s="139" t="str">
        <f t="shared" ca="1" si="0"/>
        <v/>
      </c>
    </row>
    <row r="25" spans="1:22" ht="30" x14ac:dyDescent="0.25">
      <c r="A25" s="167"/>
      <c r="B25" s="167" t="str">
        <f t="shared" si="1"/>
        <v>X</v>
      </c>
      <c r="C25" s="167" t="str">
        <f>IF(OR(TabellaA1[[#This Row],[LUN]]="X",TabellaA1[[#This Row],[MAR]]="X",TabellaA1[[#This Row],[MER]]="X",TabellaA1[[#This Row],[GIO]]="X",TabellaA1[[#This Row],[VEN]]="X",),"X","")</f>
        <v/>
      </c>
      <c r="D25" s="168" t="s">
        <v>143</v>
      </c>
      <c r="E25" s="170" t="s">
        <v>264</v>
      </c>
      <c r="F25" s="170">
        <v>100</v>
      </c>
      <c r="G25" s="170" t="s">
        <v>265</v>
      </c>
      <c r="H25" s="171"/>
      <c r="I25" s="171"/>
      <c r="J25" s="171"/>
      <c r="K25" s="171"/>
      <c r="L25" s="169"/>
      <c r="M25" s="129" t="s">
        <v>52</v>
      </c>
      <c r="N25" s="129"/>
      <c r="O25" s="172"/>
      <c r="P25" s="172"/>
      <c r="Q25" s="129" t="s">
        <v>266</v>
      </c>
      <c r="R25" s="129">
        <v>45771</v>
      </c>
      <c r="S25" s="129" t="s">
        <v>267</v>
      </c>
      <c r="T25" s="173" t="str">
        <f ca="1">IF(AND('Inserimento dati'!$B$3=$H$2, TabellaA1[[#This Row],[LUN]]="X"), "X",IF(AND('Inserimento dati'!$B$3=$I$2, TabellaA1[[#This Row],[MAR]]="X"), "X", IF(AND('Inserimento dati'!$B$3=$J$2, TabellaA1[[#This Row],[MER]]="X"), "X",IF(AND('Inserimento dati'!$B$3=$K$2, TabellaA1[[#This Row],[GIO]]="X"), "X", IF(AND('Inserimento dati'!$B$3=$L$2, TabellaA1[[#This Row],[VEN]]="X"), "X","")))))</f>
        <v/>
      </c>
      <c r="U25" s="139" t="str">
        <f t="shared" ca="1" si="0"/>
        <v/>
      </c>
    </row>
    <row r="26" spans="1:22" ht="30" x14ac:dyDescent="0.25">
      <c r="A26" s="167"/>
      <c r="B26" s="167" t="str">
        <f t="shared" si="1"/>
        <v>X</v>
      </c>
      <c r="C26" s="167" t="str">
        <f>IF(OR(TabellaA1[[#This Row],[LUN]]="X",TabellaA1[[#This Row],[MAR]]="X",TabellaA1[[#This Row],[MER]]="X",TabellaA1[[#This Row],[GIO]]="X",TabellaA1[[#This Row],[VEN]]="X",),"X","")</f>
        <v/>
      </c>
      <c r="D26" s="168" t="s">
        <v>143</v>
      </c>
      <c r="E26" s="170" t="s">
        <v>268</v>
      </c>
      <c r="F26" s="170">
        <v>100</v>
      </c>
      <c r="G26" s="170" t="s">
        <v>269</v>
      </c>
      <c r="H26" s="171"/>
      <c r="I26" s="171"/>
      <c r="J26" s="171"/>
      <c r="K26" s="171"/>
      <c r="L26" s="169"/>
      <c r="M26" s="129" t="s">
        <v>52</v>
      </c>
      <c r="N26" s="129"/>
      <c r="O26" s="172"/>
      <c r="P26" s="172"/>
      <c r="Q26" s="129" t="s">
        <v>270</v>
      </c>
      <c r="R26" s="129"/>
      <c r="S26" s="129"/>
      <c r="T26" s="173" t="str">
        <f ca="1">IF(AND('Inserimento dati'!$B$3=$H$2, TabellaA1[[#This Row],[LUN]]="X"), "X",IF(AND('Inserimento dati'!$B$3=$I$2, TabellaA1[[#This Row],[MAR]]="X"), "X", IF(AND('Inserimento dati'!$B$3=$J$2, TabellaA1[[#This Row],[MER]]="X"), "X",IF(AND('Inserimento dati'!$B$3=$K$2, TabellaA1[[#This Row],[GIO]]="X"), "X", IF(AND('Inserimento dati'!$B$3=$L$2, TabellaA1[[#This Row],[VEN]]="X"), "X","")))))</f>
        <v/>
      </c>
      <c r="U26" s="139" t="str">
        <f t="shared" ca="1" si="0"/>
        <v/>
      </c>
    </row>
    <row r="27" spans="1:22" ht="30" x14ac:dyDescent="0.25">
      <c r="A27" s="167"/>
      <c r="B27" s="167" t="str">
        <f t="shared" si="1"/>
        <v>X</v>
      </c>
      <c r="C27" s="167" t="str">
        <f>IF(OR(TabellaA1[[#This Row],[LUN]]="X",TabellaA1[[#This Row],[MAR]]="X",TabellaA1[[#This Row],[MER]]="X",TabellaA1[[#This Row],[GIO]]="X",TabellaA1[[#This Row],[VEN]]="X",),"X","")</f>
        <v/>
      </c>
      <c r="D27" s="168" t="s">
        <v>143</v>
      </c>
      <c r="E27" s="170" t="s">
        <v>271</v>
      </c>
      <c r="F27" s="170">
        <v>100</v>
      </c>
      <c r="G27" s="170" t="s">
        <v>272</v>
      </c>
      <c r="H27" s="171"/>
      <c r="I27" s="171"/>
      <c r="J27" s="171"/>
      <c r="K27" s="171"/>
      <c r="L27" s="169"/>
      <c r="M27" s="129" t="s">
        <v>52</v>
      </c>
      <c r="N27" s="129"/>
      <c r="O27" s="172"/>
      <c r="P27" s="172"/>
      <c r="Q27" s="129"/>
      <c r="R27" s="129"/>
      <c r="S27" s="129"/>
      <c r="T27" s="173" t="str">
        <f ca="1">IF(AND('Inserimento dati'!$B$3=$H$2, TabellaA1[[#This Row],[LUN]]="X"), "X",IF(AND('Inserimento dati'!$B$3=$I$2, TabellaA1[[#This Row],[MAR]]="X"), "X", IF(AND('Inserimento dati'!$B$3=$J$2, TabellaA1[[#This Row],[MER]]="X"), "X",IF(AND('Inserimento dati'!$B$3=$K$2, TabellaA1[[#This Row],[GIO]]="X"), "X", IF(AND('Inserimento dati'!$B$3=$L$2, TabellaA1[[#This Row],[VEN]]="X"), "X","")))))</f>
        <v/>
      </c>
      <c r="U27" s="139" t="str">
        <f t="shared" ca="1" si="0"/>
        <v/>
      </c>
    </row>
    <row r="28" spans="1:22" ht="23.25" x14ac:dyDescent="0.25">
      <c r="A28" s="167"/>
      <c r="B28" s="167" t="str">
        <f t="shared" si="1"/>
        <v>X</v>
      </c>
      <c r="C28" s="167" t="str">
        <f>IF(OR(TabellaA1[[#This Row],[LUN]]="X",TabellaA1[[#This Row],[MAR]]="X",TabellaA1[[#This Row],[MER]]="X",TabellaA1[[#This Row],[GIO]]="X",TabellaA1[[#This Row],[VEN]]="X",),"X","")</f>
        <v/>
      </c>
      <c r="D28" s="168" t="s">
        <v>143</v>
      </c>
      <c r="E28" s="170" t="s">
        <v>273</v>
      </c>
      <c r="F28" s="170">
        <v>900</v>
      </c>
      <c r="G28" s="170" t="s">
        <v>274</v>
      </c>
      <c r="H28" s="171"/>
      <c r="I28" s="171"/>
      <c r="J28" s="171"/>
      <c r="K28" s="171"/>
      <c r="L28" s="169"/>
      <c r="M28" s="129" t="s">
        <v>52</v>
      </c>
      <c r="N28" s="129"/>
      <c r="O28" s="172"/>
      <c r="P28" s="172"/>
      <c r="Q28" s="129" t="s">
        <v>275</v>
      </c>
      <c r="R28" s="129">
        <v>45762</v>
      </c>
      <c r="S28" s="129" t="s">
        <v>254</v>
      </c>
      <c r="T28" s="173" t="str">
        <f ca="1">IF(AND('Inserimento dati'!$B$3=$H$2, TabellaA1[[#This Row],[LUN]]="X"), "X",IF(AND('Inserimento dati'!$B$3=$I$2, TabellaA1[[#This Row],[MAR]]="X"), "X", IF(AND('Inserimento dati'!$B$3=$J$2, TabellaA1[[#This Row],[MER]]="X"), "X",IF(AND('Inserimento dati'!$B$3=$K$2, TabellaA1[[#This Row],[GIO]]="X"), "X", IF(AND('Inserimento dati'!$B$3=$L$2, TabellaA1[[#This Row],[VEN]]="X"), "X","")))))</f>
        <v/>
      </c>
      <c r="U28" s="139" t="str">
        <f t="shared" ca="1" si="0"/>
        <v/>
      </c>
    </row>
    <row r="29" spans="1:22" ht="30" x14ac:dyDescent="0.25">
      <c r="A29" s="167"/>
      <c r="B29" s="167" t="str">
        <f t="shared" si="1"/>
        <v>X</v>
      </c>
      <c r="C29" s="167" t="str">
        <f>IF(OR(TabellaA1[[#This Row],[LUN]]="X",TabellaA1[[#This Row],[MAR]]="X",TabellaA1[[#This Row],[MER]]="X",TabellaA1[[#This Row],[GIO]]="X",TabellaA1[[#This Row],[VEN]]="X",),"X","")</f>
        <v/>
      </c>
      <c r="D29" s="168" t="s">
        <v>143</v>
      </c>
      <c r="E29" s="170" t="s">
        <v>276</v>
      </c>
      <c r="F29" s="170" t="s">
        <v>262</v>
      </c>
      <c r="G29" s="170" t="s">
        <v>277</v>
      </c>
      <c r="H29" s="171"/>
      <c r="I29" s="171"/>
      <c r="J29" s="171"/>
      <c r="K29" s="171"/>
      <c r="L29" s="169"/>
      <c r="M29" s="129" t="s">
        <v>52</v>
      </c>
      <c r="N29" s="129"/>
      <c r="O29" s="172" t="s">
        <v>8</v>
      </c>
      <c r="P29" s="172"/>
      <c r="Q29" s="129" t="s">
        <v>278</v>
      </c>
      <c r="R29" s="129">
        <v>45680</v>
      </c>
      <c r="S29" s="129" t="s">
        <v>11</v>
      </c>
      <c r="T29" s="173" t="str">
        <f ca="1">IF(AND('Inserimento dati'!$B$3=$H$2, TabellaA1[[#This Row],[LUN]]="X"), "X",IF(AND('Inserimento dati'!$B$3=$I$2, TabellaA1[[#This Row],[MAR]]="X"), "X", IF(AND('Inserimento dati'!$B$3=$J$2, TabellaA1[[#This Row],[MER]]="X"), "X",IF(AND('Inserimento dati'!$B$3=$K$2, TabellaA1[[#This Row],[GIO]]="X"), "X", IF(AND('Inserimento dati'!$B$3=$L$2, TabellaA1[[#This Row],[VEN]]="X"), "X","")))))</f>
        <v/>
      </c>
      <c r="U29" s="139" t="str">
        <f t="shared" ca="1" si="0"/>
        <v/>
      </c>
    </row>
    <row r="30" spans="1:22" ht="23.25" x14ac:dyDescent="0.25">
      <c r="A30" s="167"/>
      <c r="B30" s="167" t="str">
        <f t="shared" si="1"/>
        <v>X</v>
      </c>
      <c r="C30" s="167" t="str">
        <f>IF(OR(TabellaA1[[#This Row],[LUN]]="X",TabellaA1[[#This Row],[MAR]]="X",TabellaA1[[#This Row],[MER]]="X",TabellaA1[[#This Row],[GIO]]="X",TabellaA1[[#This Row],[VEN]]="X",),"X","")</f>
        <v/>
      </c>
      <c r="D30" s="168" t="s">
        <v>143</v>
      </c>
      <c r="E30" s="170" t="s">
        <v>279</v>
      </c>
      <c r="F30" s="170">
        <v>200</v>
      </c>
      <c r="G30" s="170" t="s">
        <v>280</v>
      </c>
      <c r="H30" s="171"/>
      <c r="I30" s="171"/>
      <c r="J30" s="171"/>
      <c r="K30" s="171"/>
      <c r="L30" s="169"/>
      <c r="M30" s="129" t="s">
        <v>52</v>
      </c>
      <c r="N30" s="129"/>
      <c r="O30" s="172"/>
      <c r="P30" s="172"/>
      <c r="Q30" s="129" t="s">
        <v>281</v>
      </c>
      <c r="R30" s="129">
        <v>45715</v>
      </c>
      <c r="S30" s="129" t="s">
        <v>254</v>
      </c>
      <c r="T30" s="173" t="str">
        <f ca="1">IF(AND('Inserimento dati'!$B$3=$H$2, TabellaA1[[#This Row],[LUN]]="X"), "X",IF(AND('Inserimento dati'!$B$3=$I$2, TabellaA1[[#This Row],[MAR]]="X"), "X", IF(AND('Inserimento dati'!$B$3=$J$2, TabellaA1[[#This Row],[MER]]="X"), "X",IF(AND('Inserimento dati'!$B$3=$K$2, TabellaA1[[#This Row],[GIO]]="X"), "X", IF(AND('Inserimento dati'!$B$3=$L$2, TabellaA1[[#This Row],[VEN]]="X"), "X","")))))</f>
        <v/>
      </c>
      <c r="U30" s="139" t="str">
        <f t="shared" ca="1" si="0"/>
        <v/>
      </c>
    </row>
    <row r="31" spans="1:22" ht="45" x14ac:dyDescent="0.25">
      <c r="A31" s="167"/>
      <c r="B31" s="167" t="str">
        <f t="shared" si="1"/>
        <v>X</v>
      </c>
      <c r="C31" s="167" t="str">
        <f>IF(OR(TabellaA1[[#This Row],[LUN]]="X",TabellaA1[[#This Row],[MAR]]="X",TabellaA1[[#This Row],[MER]]="X",TabellaA1[[#This Row],[GIO]]="X",TabellaA1[[#This Row],[VEN]]="X",),"X","")</f>
        <v/>
      </c>
      <c r="D31" s="168" t="s">
        <v>143</v>
      </c>
      <c r="E31" s="170" t="s">
        <v>282</v>
      </c>
      <c r="F31" s="170">
        <v>900</v>
      </c>
      <c r="G31" s="170" t="s">
        <v>283</v>
      </c>
      <c r="H31" s="171"/>
      <c r="I31" s="171"/>
      <c r="J31" s="171"/>
      <c r="K31" s="171"/>
      <c r="L31" s="169"/>
      <c r="M31" s="129" t="s">
        <v>52</v>
      </c>
      <c r="N31" s="129"/>
      <c r="O31" s="172"/>
      <c r="P31" s="172"/>
      <c r="Q31" s="129"/>
      <c r="R31" s="129"/>
      <c r="S31" s="129"/>
      <c r="T31" s="173" t="str">
        <f ca="1">IF(AND('Inserimento dati'!$B$3=$H$2, TabellaA1[[#This Row],[LUN]]="X"), "X",IF(AND('Inserimento dati'!$B$3=$I$2, TabellaA1[[#This Row],[MAR]]="X"), "X", IF(AND('Inserimento dati'!$B$3=$J$2, TabellaA1[[#This Row],[MER]]="X"), "X",IF(AND('Inserimento dati'!$B$3=$K$2, TabellaA1[[#This Row],[GIO]]="X"), "X", IF(AND('Inserimento dati'!$B$3=$L$2, TabellaA1[[#This Row],[VEN]]="X"), "X","")))))</f>
        <v/>
      </c>
      <c r="U31" s="139" t="str">
        <f t="shared" ca="1" si="0"/>
        <v/>
      </c>
    </row>
    <row r="32" spans="1:22" ht="30" x14ac:dyDescent="0.25">
      <c r="A32" s="167"/>
      <c r="B32" s="167" t="str">
        <f t="shared" si="1"/>
        <v>X</v>
      </c>
      <c r="C32" s="167" t="str">
        <f>IF(OR(TabellaA1[[#This Row],[LUN]]="X",TabellaA1[[#This Row],[MAR]]="X",TabellaA1[[#This Row],[MER]]="X",TabellaA1[[#This Row],[GIO]]="X",TabellaA1[[#This Row],[VEN]]="X",),"X","")</f>
        <v/>
      </c>
      <c r="D32" s="168" t="s">
        <v>143</v>
      </c>
      <c r="E32" s="170" t="s">
        <v>284</v>
      </c>
      <c r="F32" s="170">
        <v>900</v>
      </c>
      <c r="G32" s="170" t="s">
        <v>285</v>
      </c>
      <c r="H32" s="171"/>
      <c r="I32" s="171"/>
      <c r="J32" s="171"/>
      <c r="K32" s="171"/>
      <c r="L32" s="169"/>
      <c r="M32" s="129" t="s">
        <v>52</v>
      </c>
      <c r="N32" s="129"/>
      <c r="O32" s="172"/>
      <c r="P32" s="172"/>
      <c r="Q32" s="129"/>
      <c r="R32" s="129"/>
      <c r="S32" s="129"/>
      <c r="T32" s="173" t="str">
        <f ca="1">IF(AND('Inserimento dati'!$B$3=$H$2, TabellaA1[[#This Row],[LUN]]="X"), "X",IF(AND('Inserimento dati'!$B$3=$I$2, TabellaA1[[#This Row],[MAR]]="X"), "X", IF(AND('Inserimento dati'!$B$3=$J$2, TabellaA1[[#This Row],[MER]]="X"), "X",IF(AND('Inserimento dati'!$B$3=$K$2, TabellaA1[[#This Row],[GIO]]="X"), "X", IF(AND('Inserimento dati'!$B$3=$L$2, TabellaA1[[#This Row],[VEN]]="X"), "X","")))))</f>
        <v/>
      </c>
      <c r="U32" s="139" t="str">
        <f t="shared" ca="1" si="0"/>
        <v/>
      </c>
    </row>
    <row r="33" spans="1:21" ht="23.25" x14ac:dyDescent="0.25">
      <c r="A33" s="167"/>
      <c r="B33" s="167" t="str">
        <f t="shared" si="1"/>
        <v>X</v>
      </c>
      <c r="C33" s="167" t="str">
        <f>IF(OR(TabellaA1[[#This Row],[LUN]]="X",TabellaA1[[#This Row],[MAR]]="X",TabellaA1[[#This Row],[MER]]="X",TabellaA1[[#This Row],[GIO]]="X",TabellaA1[[#This Row],[VEN]]="X",),"X","")</f>
        <v/>
      </c>
      <c r="D33" s="168" t="s">
        <v>143</v>
      </c>
      <c r="E33" s="170" t="s">
        <v>286</v>
      </c>
      <c r="F33" s="170">
        <v>100</v>
      </c>
      <c r="G33" s="170" t="s">
        <v>287</v>
      </c>
      <c r="H33" s="171"/>
      <c r="I33" s="171"/>
      <c r="J33" s="171"/>
      <c r="K33" s="171"/>
      <c r="L33" s="169"/>
      <c r="M33" s="129" t="s">
        <v>52</v>
      </c>
      <c r="N33" s="129"/>
      <c r="O33" s="172"/>
      <c r="P33" s="172"/>
      <c r="Q33" s="129"/>
      <c r="R33" s="129"/>
      <c r="S33" s="129"/>
      <c r="T33" s="173" t="str">
        <f ca="1">IF(AND('Inserimento dati'!$B$3=$H$2, TabellaA1[[#This Row],[LUN]]="X"), "X",IF(AND('Inserimento dati'!$B$3=$I$2, TabellaA1[[#This Row],[MAR]]="X"), "X", IF(AND('Inserimento dati'!$B$3=$J$2, TabellaA1[[#This Row],[MER]]="X"), "X",IF(AND('Inserimento dati'!$B$3=$K$2, TabellaA1[[#This Row],[GIO]]="X"), "X", IF(AND('Inserimento dati'!$B$3=$L$2, TabellaA1[[#This Row],[VEN]]="X"), "X","")))))</f>
        <v/>
      </c>
      <c r="U33" s="139" t="str">
        <f t="shared" ca="1" si="0"/>
        <v/>
      </c>
    </row>
    <row r="34" spans="1:21" ht="23.25" x14ac:dyDescent="0.25">
      <c r="A34" s="167"/>
      <c r="B34" s="167" t="str">
        <f t="shared" si="1"/>
        <v>X</v>
      </c>
      <c r="C34" s="167" t="str">
        <f>IF(OR(TabellaA1[[#This Row],[LUN]]="X",TabellaA1[[#This Row],[MAR]]="X",TabellaA1[[#This Row],[MER]]="X",TabellaA1[[#This Row],[GIO]]="X",TabellaA1[[#This Row],[VEN]]="X",),"X","")</f>
        <v/>
      </c>
      <c r="D34" s="168" t="s">
        <v>143</v>
      </c>
      <c r="E34" s="170" t="s">
        <v>288</v>
      </c>
      <c r="F34" s="170">
        <v>100</v>
      </c>
      <c r="G34" s="170" t="s">
        <v>289</v>
      </c>
      <c r="H34" s="171"/>
      <c r="I34" s="171"/>
      <c r="J34" s="171"/>
      <c r="K34" s="171"/>
      <c r="L34" s="169"/>
      <c r="M34" s="129" t="s">
        <v>52</v>
      </c>
      <c r="N34" s="129"/>
      <c r="O34" s="172"/>
      <c r="P34" s="172"/>
      <c r="Q34" s="129"/>
      <c r="R34" s="129"/>
      <c r="S34" s="129"/>
      <c r="T34" s="173" t="str">
        <f ca="1">IF(AND('Inserimento dati'!$B$3=$H$2, TabellaA1[[#This Row],[LUN]]="X"), "X",IF(AND('Inserimento dati'!$B$3=$I$2, TabellaA1[[#This Row],[MAR]]="X"), "X", IF(AND('Inserimento dati'!$B$3=$J$2, TabellaA1[[#This Row],[MER]]="X"), "X",IF(AND('Inserimento dati'!$B$3=$K$2, TabellaA1[[#This Row],[GIO]]="X"), "X", IF(AND('Inserimento dati'!$B$3=$L$2, TabellaA1[[#This Row],[VEN]]="X"), "X","")))))</f>
        <v/>
      </c>
      <c r="U34" s="139" t="str">
        <f t="shared" ca="1" si="0"/>
        <v/>
      </c>
    </row>
    <row r="35" spans="1:21" ht="30" x14ac:dyDescent="0.25">
      <c r="A35" s="167"/>
      <c r="B35" s="167" t="str">
        <f t="shared" si="1"/>
        <v>X</v>
      </c>
      <c r="C35" s="167" t="str">
        <f>IF(OR(TabellaA1[[#This Row],[LUN]]="X",TabellaA1[[#This Row],[MAR]]="X",TabellaA1[[#This Row],[MER]]="X",TabellaA1[[#This Row],[GIO]]="X",TabellaA1[[#This Row],[VEN]]="X",),"X","")</f>
        <v/>
      </c>
      <c r="D35" s="168" t="s">
        <v>143</v>
      </c>
      <c r="E35" s="170" t="s">
        <v>290</v>
      </c>
      <c r="F35" s="170">
        <v>900</v>
      </c>
      <c r="G35" s="170" t="s">
        <v>291</v>
      </c>
      <c r="H35" s="171"/>
      <c r="I35" s="171"/>
      <c r="J35" s="171"/>
      <c r="K35" s="171"/>
      <c r="L35" s="169"/>
      <c r="M35" s="129" t="s">
        <v>52</v>
      </c>
      <c r="N35" s="129"/>
      <c r="O35" s="172"/>
      <c r="P35" s="172"/>
      <c r="Q35" s="129"/>
      <c r="R35" s="129"/>
      <c r="S35" s="129"/>
      <c r="T35" s="173" t="str">
        <f ca="1">IF(AND('Inserimento dati'!$B$3=$H$2, TabellaA1[[#This Row],[LUN]]="X"), "X",IF(AND('Inserimento dati'!$B$3=$I$2, TabellaA1[[#This Row],[MAR]]="X"), "X", IF(AND('Inserimento dati'!$B$3=$J$2, TabellaA1[[#This Row],[MER]]="X"), "X",IF(AND('Inserimento dati'!$B$3=$K$2, TabellaA1[[#This Row],[GIO]]="X"), "X", IF(AND('Inserimento dati'!$B$3=$L$2, TabellaA1[[#This Row],[VEN]]="X"), "X","")))))</f>
        <v/>
      </c>
      <c r="U35" s="139" t="str">
        <f t="shared" ca="1" si="0"/>
        <v/>
      </c>
    </row>
    <row r="36" spans="1:21" ht="23.25" x14ac:dyDescent="0.25">
      <c r="A36" s="167"/>
      <c r="B36" s="167" t="str">
        <f t="shared" si="1"/>
        <v>X</v>
      </c>
      <c r="C36" s="167" t="str">
        <f>IF(OR(TabellaA1[[#This Row],[LUN]]="X",TabellaA1[[#This Row],[MAR]]="X",TabellaA1[[#This Row],[MER]]="X",TabellaA1[[#This Row],[GIO]]="X",TabellaA1[[#This Row],[VEN]]="X",),"X","")</f>
        <v/>
      </c>
      <c r="D36" s="168" t="s">
        <v>143</v>
      </c>
      <c r="E36" s="170" t="s">
        <v>292</v>
      </c>
      <c r="F36" s="170">
        <v>100</v>
      </c>
      <c r="G36" s="170" t="s">
        <v>293</v>
      </c>
      <c r="H36" s="171"/>
      <c r="I36" s="171"/>
      <c r="J36" s="171"/>
      <c r="K36" s="171"/>
      <c r="L36" s="169"/>
      <c r="M36" s="129" t="s">
        <v>52</v>
      </c>
      <c r="N36" s="129"/>
      <c r="O36" s="172"/>
      <c r="P36" s="172"/>
      <c r="Q36" s="129"/>
      <c r="R36" s="129"/>
      <c r="S36" s="129"/>
      <c r="T36" s="173" t="str">
        <f ca="1">IF(AND('Inserimento dati'!$B$3=$H$2, TabellaA1[[#This Row],[LUN]]="X"), "X",IF(AND('Inserimento dati'!$B$3=$I$2, TabellaA1[[#This Row],[MAR]]="X"), "X", IF(AND('Inserimento dati'!$B$3=$J$2, TabellaA1[[#This Row],[MER]]="X"), "X",IF(AND('Inserimento dati'!$B$3=$K$2, TabellaA1[[#This Row],[GIO]]="X"), "X", IF(AND('Inserimento dati'!$B$3=$L$2, TabellaA1[[#This Row],[VEN]]="X"), "X","")))))</f>
        <v/>
      </c>
      <c r="U36" s="139" t="str">
        <f t="shared" ca="1" si="0"/>
        <v/>
      </c>
    </row>
    <row r="37" spans="1:21" ht="23.25" x14ac:dyDescent="0.25">
      <c r="A37" s="167"/>
      <c r="B37" s="167" t="str">
        <f t="shared" si="1"/>
        <v>X</v>
      </c>
      <c r="C37" s="167" t="str">
        <f>IF(OR(TabellaA1[[#This Row],[LUN]]="X",TabellaA1[[#This Row],[MAR]]="X",TabellaA1[[#This Row],[MER]]="X",TabellaA1[[#This Row],[GIO]]="X",TabellaA1[[#This Row],[VEN]]="X",),"X","")</f>
        <v/>
      </c>
      <c r="D37" s="168" t="s">
        <v>143</v>
      </c>
      <c r="E37" s="170" t="s">
        <v>294</v>
      </c>
      <c r="F37" s="170">
        <v>900</v>
      </c>
      <c r="G37" s="170" t="s">
        <v>295</v>
      </c>
      <c r="H37" s="171"/>
      <c r="I37" s="171"/>
      <c r="J37" s="171"/>
      <c r="K37" s="171"/>
      <c r="L37" s="169"/>
      <c r="M37" s="129" t="s">
        <v>52</v>
      </c>
      <c r="N37" s="129"/>
      <c r="O37" s="172"/>
      <c r="P37" s="172"/>
      <c r="Q37" s="129"/>
      <c r="R37" s="129"/>
      <c r="S37" s="129"/>
      <c r="T37" s="173" t="str">
        <f ca="1">IF(AND('Inserimento dati'!$B$3=$H$2, TabellaA1[[#This Row],[LUN]]="X"), "X",IF(AND('Inserimento dati'!$B$3=$I$2, TabellaA1[[#This Row],[MAR]]="X"), "X", IF(AND('Inserimento dati'!$B$3=$J$2, TabellaA1[[#This Row],[MER]]="X"), "X",IF(AND('Inserimento dati'!$B$3=$K$2, TabellaA1[[#This Row],[GIO]]="X"), "X", IF(AND('Inserimento dati'!$B$3=$L$2, TabellaA1[[#This Row],[VEN]]="X"), "X","")))))</f>
        <v/>
      </c>
      <c r="U37" s="139" t="str">
        <f t="shared" ca="1" si="0"/>
        <v/>
      </c>
    </row>
    <row r="38" spans="1:21" ht="23.25" x14ac:dyDescent="0.25">
      <c r="A38" s="167"/>
      <c r="B38" s="167" t="str">
        <f t="shared" si="1"/>
        <v>X</v>
      </c>
      <c r="C38" s="167" t="str">
        <f>IF(OR(TabellaA1[[#This Row],[LUN]]="X",TabellaA1[[#This Row],[MAR]]="X",TabellaA1[[#This Row],[MER]]="X",TabellaA1[[#This Row],[GIO]]="X",TabellaA1[[#This Row],[VEN]]="X",),"X","")</f>
        <v/>
      </c>
      <c r="D38" s="168" t="s">
        <v>143</v>
      </c>
      <c r="E38" s="170" t="s">
        <v>296</v>
      </c>
      <c r="F38" s="170">
        <v>100</v>
      </c>
      <c r="G38" s="170" t="s">
        <v>297</v>
      </c>
      <c r="H38" s="171"/>
      <c r="I38" s="171"/>
      <c r="J38" s="171"/>
      <c r="K38" s="171"/>
      <c r="L38" s="169"/>
      <c r="M38" s="129" t="s">
        <v>52</v>
      </c>
      <c r="N38" s="129"/>
      <c r="O38" s="172"/>
      <c r="P38" s="172"/>
      <c r="Q38" s="129"/>
      <c r="R38" s="129"/>
      <c r="S38" s="129"/>
      <c r="T38" s="173" t="str">
        <f ca="1">IF(AND('Inserimento dati'!$B$3=$H$2, TabellaA1[[#This Row],[LUN]]="X"), "X",IF(AND('Inserimento dati'!$B$3=$I$2, TabellaA1[[#This Row],[MAR]]="X"), "X", IF(AND('Inserimento dati'!$B$3=$J$2, TabellaA1[[#This Row],[MER]]="X"), "X",IF(AND('Inserimento dati'!$B$3=$K$2, TabellaA1[[#This Row],[GIO]]="X"), "X", IF(AND('Inserimento dati'!$B$3=$L$2, TabellaA1[[#This Row],[VEN]]="X"), "X","")))))</f>
        <v/>
      </c>
      <c r="U38" s="139" t="str">
        <f t="shared" ca="1" si="0"/>
        <v/>
      </c>
    </row>
    <row r="39" spans="1:21" ht="30" x14ac:dyDescent="0.25">
      <c r="A39" s="167"/>
      <c r="B39" s="167" t="str">
        <f t="shared" si="1"/>
        <v>X</v>
      </c>
      <c r="C39" s="167" t="str">
        <f>IF(OR(TabellaA1[[#This Row],[LUN]]="X",TabellaA1[[#This Row],[MAR]]="X",TabellaA1[[#This Row],[MER]]="X",TabellaA1[[#This Row],[GIO]]="X",TabellaA1[[#This Row],[VEN]]="X",),"X","")</f>
        <v/>
      </c>
      <c r="D39" s="168" t="s">
        <v>143</v>
      </c>
      <c r="E39" s="170" t="s">
        <v>298</v>
      </c>
      <c r="F39" s="170">
        <v>100</v>
      </c>
      <c r="G39" s="170" t="s">
        <v>299</v>
      </c>
      <c r="H39" s="171"/>
      <c r="I39" s="171"/>
      <c r="J39" s="171"/>
      <c r="K39" s="171"/>
      <c r="L39" s="169"/>
      <c r="M39" s="129" t="s">
        <v>52</v>
      </c>
      <c r="N39" s="129"/>
      <c r="O39" s="172"/>
      <c r="P39" s="172"/>
      <c r="Q39" s="129"/>
      <c r="R39" s="129"/>
      <c r="S39" s="129"/>
      <c r="T39" s="173" t="str">
        <f ca="1">IF(AND('Inserimento dati'!$B$3=$H$2, TabellaA1[[#This Row],[LUN]]="X"), "X",IF(AND('Inserimento dati'!$B$3=$I$2, TabellaA1[[#This Row],[MAR]]="X"), "X", IF(AND('Inserimento dati'!$B$3=$J$2, TabellaA1[[#This Row],[MER]]="X"), "X",IF(AND('Inserimento dati'!$B$3=$K$2, TabellaA1[[#This Row],[GIO]]="X"), "X", IF(AND('Inserimento dati'!$B$3=$L$2, TabellaA1[[#This Row],[VEN]]="X"), "X","")))))</f>
        <v/>
      </c>
      <c r="U39" s="139" t="str">
        <f t="shared" ca="1" si="0"/>
        <v/>
      </c>
    </row>
    <row r="40" spans="1:21" ht="23.25" x14ac:dyDescent="0.25">
      <c r="A40" s="167"/>
      <c r="B40" s="167" t="str">
        <f t="shared" si="1"/>
        <v>X</v>
      </c>
      <c r="C40" s="167" t="str">
        <f>IF(OR(TabellaA1[[#This Row],[LUN]]="X",TabellaA1[[#This Row],[MAR]]="X",TabellaA1[[#This Row],[MER]]="X",TabellaA1[[#This Row],[GIO]]="X",TabellaA1[[#This Row],[VEN]]="X",),"X","")</f>
        <v/>
      </c>
      <c r="D40" s="168" t="s">
        <v>143</v>
      </c>
      <c r="E40" s="170" t="s">
        <v>300</v>
      </c>
      <c r="F40" s="170" t="s">
        <v>262</v>
      </c>
      <c r="G40" s="170" t="s">
        <v>301</v>
      </c>
      <c r="H40" s="171"/>
      <c r="I40" s="171"/>
      <c r="J40" s="171"/>
      <c r="K40" s="171"/>
      <c r="L40" s="169"/>
      <c r="M40" s="129" t="s">
        <v>52</v>
      </c>
      <c r="N40" s="129"/>
      <c r="O40" s="172"/>
      <c r="P40" s="172"/>
      <c r="Q40" s="129"/>
      <c r="R40" s="129"/>
      <c r="S40" s="129"/>
      <c r="T40" s="173" t="str">
        <f ca="1">IF(AND('Inserimento dati'!$B$3=$H$2, TabellaA1[[#This Row],[LUN]]="X"), "X",IF(AND('Inserimento dati'!$B$3=$I$2, TabellaA1[[#This Row],[MAR]]="X"), "X", IF(AND('Inserimento dati'!$B$3=$J$2, TabellaA1[[#This Row],[MER]]="X"), "X",IF(AND('Inserimento dati'!$B$3=$K$2, TabellaA1[[#This Row],[GIO]]="X"), "X", IF(AND('Inserimento dati'!$B$3=$L$2, TabellaA1[[#This Row],[VEN]]="X"), "X","")))))</f>
        <v/>
      </c>
      <c r="U40" s="139" t="str">
        <f t="shared" ca="1" si="0"/>
        <v/>
      </c>
    </row>
    <row r="41" spans="1:21" ht="23.25" x14ac:dyDescent="0.25">
      <c r="A41" s="167"/>
      <c r="B41" s="167" t="str">
        <f t="shared" si="1"/>
        <v>X</v>
      </c>
      <c r="C41" s="167" t="str">
        <f>IF(OR(TabellaA1[[#This Row],[LUN]]="X",TabellaA1[[#This Row],[MAR]]="X",TabellaA1[[#This Row],[MER]]="X",TabellaA1[[#This Row],[GIO]]="X",TabellaA1[[#This Row],[VEN]]="X",),"X","")</f>
        <v/>
      </c>
      <c r="D41" s="168" t="s">
        <v>143</v>
      </c>
      <c r="E41" s="170" t="s">
        <v>302</v>
      </c>
      <c r="F41" s="170">
        <v>200</v>
      </c>
      <c r="G41" s="170" t="s">
        <v>303</v>
      </c>
      <c r="H41" s="171"/>
      <c r="I41" s="171"/>
      <c r="J41" s="171"/>
      <c r="K41" s="171"/>
      <c r="L41" s="169"/>
      <c r="M41" s="129" t="s">
        <v>52</v>
      </c>
      <c r="N41" s="129"/>
      <c r="O41" s="172"/>
      <c r="P41" s="172"/>
      <c r="Q41" s="129"/>
      <c r="R41" s="129"/>
      <c r="S41" s="129"/>
      <c r="T41" s="173" t="str">
        <f ca="1">IF(AND('Inserimento dati'!$B$3=$H$2, TabellaA1[[#This Row],[LUN]]="X"), "X",IF(AND('Inserimento dati'!$B$3=$I$2, TabellaA1[[#This Row],[MAR]]="X"), "X", IF(AND('Inserimento dati'!$B$3=$J$2, TabellaA1[[#This Row],[MER]]="X"), "X",IF(AND('Inserimento dati'!$B$3=$K$2, TabellaA1[[#This Row],[GIO]]="X"), "X", IF(AND('Inserimento dati'!$B$3=$L$2, TabellaA1[[#This Row],[VEN]]="X"), "X","")))))</f>
        <v/>
      </c>
      <c r="U41" s="139" t="str">
        <f t="shared" ca="1" si="0"/>
        <v/>
      </c>
    </row>
    <row r="42" spans="1:21" ht="30" x14ac:dyDescent="0.25">
      <c r="A42" s="167"/>
      <c r="B42" s="167" t="str">
        <f t="shared" si="1"/>
        <v>X</v>
      </c>
      <c r="C42" s="167" t="str">
        <f>IF(OR(TabellaA1[[#This Row],[LUN]]="X",TabellaA1[[#This Row],[MAR]]="X",TabellaA1[[#This Row],[MER]]="X",TabellaA1[[#This Row],[GIO]]="X",TabellaA1[[#This Row],[VEN]]="X",),"X","")</f>
        <v/>
      </c>
      <c r="D42" s="168" t="s">
        <v>143</v>
      </c>
      <c r="E42" s="170" t="s">
        <v>304</v>
      </c>
      <c r="F42" s="170">
        <v>100</v>
      </c>
      <c r="G42" s="170" t="s">
        <v>305</v>
      </c>
      <c r="H42" s="171"/>
      <c r="I42" s="171"/>
      <c r="J42" s="171"/>
      <c r="K42" s="171"/>
      <c r="L42" s="169"/>
      <c r="M42" s="129" t="s">
        <v>52</v>
      </c>
      <c r="N42" s="129"/>
      <c r="O42" s="172"/>
      <c r="P42" s="172"/>
      <c r="Q42" s="129"/>
      <c r="R42" s="129"/>
      <c r="S42" s="129"/>
      <c r="T42" s="173" t="str">
        <f ca="1">IF(AND('Inserimento dati'!$B$3=$H$2, TabellaA1[[#This Row],[LUN]]="X"), "X",IF(AND('Inserimento dati'!$B$3=$I$2, TabellaA1[[#This Row],[MAR]]="X"), "X", IF(AND('Inserimento dati'!$B$3=$J$2, TabellaA1[[#This Row],[MER]]="X"), "X",IF(AND('Inserimento dati'!$B$3=$K$2, TabellaA1[[#This Row],[GIO]]="X"), "X", IF(AND('Inserimento dati'!$B$3=$L$2, TabellaA1[[#This Row],[VEN]]="X"), "X","")))))</f>
        <v/>
      </c>
      <c r="U42" s="139" t="str">
        <f t="shared" ref="U42:U73" ca="1" si="2">IFERROR(MID(G42,_xlfn.AGGREGATE(15,6,(ROW(INDIRECT("1:"&amp;LEN(G42)-7)))/(ISNUMBER(--MID(G42,ROW(INDIRECT("1:"&amp;LEN(G42)-7)),8))),1),8),"")</f>
        <v/>
      </c>
    </row>
    <row r="43" spans="1:21" ht="30" x14ac:dyDescent="0.25">
      <c r="A43" s="167"/>
      <c r="B43" s="167" t="str">
        <f t="shared" si="1"/>
        <v>X</v>
      </c>
      <c r="C43" s="167" t="str">
        <f>IF(OR(TabellaA1[[#This Row],[LUN]]="X",TabellaA1[[#This Row],[MAR]]="X",TabellaA1[[#This Row],[MER]]="X",TabellaA1[[#This Row],[GIO]]="X",TabellaA1[[#This Row],[VEN]]="X",),"X","")</f>
        <v/>
      </c>
      <c r="D43" s="168" t="s">
        <v>143</v>
      </c>
      <c r="E43" s="170" t="s">
        <v>306</v>
      </c>
      <c r="F43" s="170">
        <v>300</v>
      </c>
      <c r="G43" s="170" t="s">
        <v>307</v>
      </c>
      <c r="H43" s="171"/>
      <c r="I43" s="171"/>
      <c r="J43" s="171"/>
      <c r="K43" s="171"/>
      <c r="L43" s="169"/>
      <c r="M43" s="129" t="s">
        <v>52</v>
      </c>
      <c r="N43" s="129"/>
      <c r="O43" s="172"/>
      <c r="P43" s="172"/>
      <c r="Q43" s="129"/>
      <c r="R43" s="129"/>
      <c r="S43" s="129"/>
      <c r="T43" s="173" t="str">
        <f ca="1">IF(AND('Inserimento dati'!$B$3=$H$2, TabellaA1[[#This Row],[LUN]]="X"), "X",IF(AND('Inserimento dati'!$B$3=$I$2, TabellaA1[[#This Row],[MAR]]="X"), "X", IF(AND('Inserimento dati'!$B$3=$J$2, TabellaA1[[#This Row],[MER]]="X"), "X",IF(AND('Inserimento dati'!$B$3=$K$2, TabellaA1[[#This Row],[GIO]]="X"), "X", IF(AND('Inserimento dati'!$B$3=$L$2, TabellaA1[[#This Row],[VEN]]="X"), "X","")))))</f>
        <v/>
      </c>
      <c r="U43" s="139" t="str">
        <f t="shared" ca="1" si="2"/>
        <v/>
      </c>
    </row>
    <row r="44" spans="1:21" ht="30" x14ac:dyDescent="0.25">
      <c r="A44" s="167"/>
      <c r="B44" s="167" t="str">
        <f t="shared" si="1"/>
        <v>X</v>
      </c>
      <c r="C44" s="167" t="str">
        <f>IF(OR(TabellaA1[[#This Row],[LUN]]="X",TabellaA1[[#This Row],[MAR]]="X",TabellaA1[[#This Row],[MER]]="X",TabellaA1[[#This Row],[GIO]]="X",TabellaA1[[#This Row],[VEN]]="X",),"X","")</f>
        <v/>
      </c>
      <c r="D44" s="168" t="s">
        <v>143</v>
      </c>
      <c r="E44" s="170" t="s">
        <v>308</v>
      </c>
      <c r="F44" s="170">
        <v>900</v>
      </c>
      <c r="G44" s="170" t="s">
        <v>309</v>
      </c>
      <c r="H44" s="171"/>
      <c r="I44" s="171"/>
      <c r="J44" s="171"/>
      <c r="K44" s="171"/>
      <c r="L44" s="169"/>
      <c r="M44" s="129" t="s">
        <v>52</v>
      </c>
      <c r="N44" s="129"/>
      <c r="O44" s="172"/>
      <c r="P44" s="172"/>
      <c r="Q44" s="129" t="s">
        <v>310</v>
      </c>
      <c r="R44" s="129">
        <v>45720</v>
      </c>
      <c r="S44" s="129" t="s">
        <v>254</v>
      </c>
      <c r="T44" s="173" t="str">
        <f ca="1">IF(AND('Inserimento dati'!$B$3=$H$2, TabellaA1[[#This Row],[LUN]]="X"), "X",IF(AND('Inserimento dati'!$B$3=$I$2, TabellaA1[[#This Row],[MAR]]="X"), "X", IF(AND('Inserimento dati'!$B$3=$J$2, TabellaA1[[#This Row],[MER]]="X"), "X",IF(AND('Inserimento dati'!$B$3=$K$2, TabellaA1[[#This Row],[GIO]]="X"), "X", IF(AND('Inserimento dati'!$B$3=$L$2, TabellaA1[[#This Row],[VEN]]="X"), "X","")))))</f>
        <v/>
      </c>
      <c r="U44" s="139" t="str">
        <f t="shared" ca="1" si="2"/>
        <v/>
      </c>
    </row>
    <row r="45" spans="1:21" ht="30" x14ac:dyDescent="0.25">
      <c r="A45" s="167"/>
      <c r="B45" s="167" t="str">
        <f t="shared" si="1"/>
        <v>X</v>
      </c>
      <c r="C45" s="167" t="str">
        <f>IF(OR(TabellaA1[[#This Row],[LUN]]="X",TabellaA1[[#This Row],[MAR]]="X",TabellaA1[[#This Row],[MER]]="X",TabellaA1[[#This Row],[GIO]]="X",TabellaA1[[#This Row],[VEN]]="X",),"X","")</f>
        <v/>
      </c>
      <c r="D45" s="168" t="s">
        <v>143</v>
      </c>
      <c r="E45" s="170" t="s">
        <v>311</v>
      </c>
      <c r="F45" s="170">
        <v>900</v>
      </c>
      <c r="G45" s="170" t="s">
        <v>312</v>
      </c>
      <c r="H45" s="171"/>
      <c r="I45" s="171"/>
      <c r="J45" s="171"/>
      <c r="K45" s="171"/>
      <c r="L45" s="169"/>
      <c r="M45" s="129" t="s">
        <v>52</v>
      </c>
      <c r="N45" s="129"/>
      <c r="O45" s="172"/>
      <c r="P45" s="172"/>
      <c r="Q45" s="129" t="s">
        <v>310</v>
      </c>
      <c r="R45" s="129">
        <v>45720</v>
      </c>
      <c r="S45" s="129" t="s">
        <v>254</v>
      </c>
      <c r="T45" s="173" t="str">
        <f ca="1">IF(AND('Inserimento dati'!$B$3=$H$2, TabellaA1[[#This Row],[LUN]]="X"), "X",IF(AND('Inserimento dati'!$B$3=$I$2, TabellaA1[[#This Row],[MAR]]="X"), "X", IF(AND('Inserimento dati'!$B$3=$J$2, TabellaA1[[#This Row],[MER]]="X"), "X",IF(AND('Inserimento dati'!$B$3=$K$2, TabellaA1[[#This Row],[GIO]]="X"), "X", IF(AND('Inserimento dati'!$B$3=$L$2, TabellaA1[[#This Row],[VEN]]="X"), "X","")))))</f>
        <v/>
      </c>
      <c r="U45" s="139" t="str">
        <f t="shared" ca="1" si="2"/>
        <v/>
      </c>
    </row>
    <row r="46" spans="1:21" ht="30" x14ac:dyDescent="0.25">
      <c r="A46" s="167"/>
      <c r="B46" s="167" t="str">
        <f t="shared" si="1"/>
        <v>X</v>
      </c>
      <c r="C46" s="167" t="str">
        <f>IF(OR(TabellaA1[[#This Row],[LUN]]="X",TabellaA1[[#This Row],[MAR]]="X",TabellaA1[[#This Row],[MER]]="X",TabellaA1[[#This Row],[GIO]]="X",TabellaA1[[#This Row],[VEN]]="X",),"X","")</f>
        <v/>
      </c>
      <c r="D46" s="168" t="s">
        <v>143</v>
      </c>
      <c r="E46" s="170" t="s">
        <v>313</v>
      </c>
      <c r="F46" s="170">
        <v>900</v>
      </c>
      <c r="G46" s="170" t="s">
        <v>314</v>
      </c>
      <c r="H46" s="171"/>
      <c r="I46" s="171"/>
      <c r="J46" s="171"/>
      <c r="K46" s="171"/>
      <c r="L46" s="169"/>
      <c r="M46" s="129" t="s">
        <v>52</v>
      </c>
      <c r="N46" s="129"/>
      <c r="O46" s="172"/>
      <c r="P46" s="172"/>
      <c r="Q46" s="129" t="s">
        <v>310</v>
      </c>
      <c r="R46" s="129">
        <v>45720</v>
      </c>
      <c r="S46" s="129" t="s">
        <v>254</v>
      </c>
      <c r="T46" s="173" t="str">
        <f ca="1">IF(AND('Inserimento dati'!$B$3=$H$2, TabellaA1[[#This Row],[LUN]]="X"), "X",IF(AND('Inserimento dati'!$B$3=$I$2, TabellaA1[[#This Row],[MAR]]="X"), "X", IF(AND('Inserimento dati'!$B$3=$J$2, TabellaA1[[#This Row],[MER]]="X"), "X",IF(AND('Inserimento dati'!$B$3=$K$2, TabellaA1[[#This Row],[GIO]]="X"), "X", IF(AND('Inserimento dati'!$B$3=$L$2, TabellaA1[[#This Row],[VEN]]="X"), "X","")))))</f>
        <v/>
      </c>
      <c r="U46" s="139" t="str">
        <f t="shared" ca="1" si="2"/>
        <v/>
      </c>
    </row>
    <row r="47" spans="1:21" ht="30" x14ac:dyDescent="0.25">
      <c r="A47" s="167"/>
      <c r="B47" s="167" t="str">
        <f t="shared" ref="B47:B78" si="3">IF(OR(A47="x",A47="X"),"",IF(ISBLANK(A47),"X",""))</f>
        <v>X</v>
      </c>
      <c r="C47" s="167" t="str">
        <f>IF(OR(TabellaA1[[#This Row],[LUN]]="X",TabellaA1[[#This Row],[MAR]]="X",TabellaA1[[#This Row],[MER]]="X",TabellaA1[[#This Row],[GIO]]="X",TabellaA1[[#This Row],[VEN]]="X",),"X","")</f>
        <v/>
      </c>
      <c r="D47" s="168" t="s">
        <v>143</v>
      </c>
      <c r="E47" s="170" t="s">
        <v>315</v>
      </c>
      <c r="F47" s="170">
        <v>200</v>
      </c>
      <c r="G47" s="170" t="s">
        <v>316</v>
      </c>
      <c r="H47" s="171"/>
      <c r="I47" s="171"/>
      <c r="J47" s="171"/>
      <c r="K47" s="171"/>
      <c r="L47" s="169"/>
      <c r="M47" s="129" t="s">
        <v>52</v>
      </c>
      <c r="N47" s="129"/>
      <c r="O47" s="172"/>
      <c r="P47" s="172"/>
      <c r="Q47" s="129" t="s">
        <v>317</v>
      </c>
      <c r="R47" s="129">
        <v>45762</v>
      </c>
      <c r="S47" s="129" t="s">
        <v>318</v>
      </c>
      <c r="T47" s="173" t="str">
        <f ca="1">IF(AND('Inserimento dati'!$B$3=$H$2, TabellaA1[[#This Row],[LUN]]="X"), "X",IF(AND('Inserimento dati'!$B$3=$I$2, TabellaA1[[#This Row],[MAR]]="X"), "X", IF(AND('Inserimento dati'!$B$3=$J$2, TabellaA1[[#This Row],[MER]]="X"), "X",IF(AND('Inserimento dati'!$B$3=$K$2, TabellaA1[[#This Row],[GIO]]="X"), "X", IF(AND('Inserimento dati'!$B$3=$L$2, TabellaA1[[#This Row],[VEN]]="X"), "X","")))))</f>
        <v/>
      </c>
      <c r="U47" s="139" t="str">
        <f t="shared" ca="1" si="2"/>
        <v/>
      </c>
    </row>
    <row r="48" spans="1:21" ht="30" x14ac:dyDescent="0.25">
      <c r="A48" s="167"/>
      <c r="B48" s="167" t="str">
        <f t="shared" si="3"/>
        <v>X</v>
      </c>
      <c r="C48" s="167" t="str">
        <f>IF(OR(TabellaA1[[#This Row],[LUN]]="X",TabellaA1[[#This Row],[MAR]]="X",TabellaA1[[#This Row],[MER]]="X",TabellaA1[[#This Row],[GIO]]="X",TabellaA1[[#This Row],[VEN]]="X",),"X","")</f>
        <v/>
      </c>
      <c r="D48" s="168" t="s">
        <v>143</v>
      </c>
      <c r="E48" s="170" t="s">
        <v>319</v>
      </c>
      <c r="F48" s="170">
        <v>900</v>
      </c>
      <c r="G48" s="170" t="s">
        <v>320</v>
      </c>
      <c r="H48" s="171"/>
      <c r="I48" s="171"/>
      <c r="J48" s="171"/>
      <c r="K48" s="171"/>
      <c r="L48" s="169"/>
      <c r="M48" s="129" t="s">
        <v>52</v>
      </c>
      <c r="N48" s="129"/>
      <c r="O48" s="172"/>
      <c r="P48" s="172"/>
      <c r="Q48" s="129" t="s">
        <v>321</v>
      </c>
      <c r="R48" s="129">
        <v>45762</v>
      </c>
      <c r="S48" s="129" t="s">
        <v>322</v>
      </c>
      <c r="T48" s="173" t="str">
        <f ca="1">IF(AND('Inserimento dati'!$B$3=$H$2, TabellaA1[[#This Row],[LUN]]="X"), "X",IF(AND('Inserimento dati'!$B$3=$I$2, TabellaA1[[#This Row],[MAR]]="X"), "X", IF(AND('Inserimento dati'!$B$3=$J$2, TabellaA1[[#This Row],[MER]]="X"), "X",IF(AND('Inserimento dati'!$B$3=$K$2, TabellaA1[[#This Row],[GIO]]="X"), "X", IF(AND('Inserimento dati'!$B$3=$L$2, TabellaA1[[#This Row],[VEN]]="X"), "X","")))))</f>
        <v/>
      </c>
      <c r="U48" s="139" t="str">
        <f t="shared" ca="1" si="2"/>
        <v/>
      </c>
    </row>
    <row r="49" spans="1:21" ht="30" x14ac:dyDescent="0.25">
      <c r="A49" s="167"/>
      <c r="B49" s="167" t="str">
        <f t="shared" si="3"/>
        <v>X</v>
      </c>
      <c r="C49" s="167" t="str">
        <f>IF(OR(TabellaA1[[#This Row],[LUN]]="X",TabellaA1[[#This Row],[MAR]]="X",TabellaA1[[#This Row],[MER]]="X",TabellaA1[[#This Row],[GIO]]="X",TabellaA1[[#This Row],[VEN]]="X",),"X","")</f>
        <v/>
      </c>
      <c r="D49" s="168" t="s">
        <v>143</v>
      </c>
      <c r="E49" s="170" t="s">
        <v>323</v>
      </c>
      <c r="F49" s="170">
        <v>200</v>
      </c>
      <c r="G49" s="170" t="s">
        <v>324</v>
      </c>
      <c r="H49" s="171"/>
      <c r="I49" s="171"/>
      <c r="J49" s="171"/>
      <c r="K49" s="171"/>
      <c r="L49" s="169"/>
      <c r="M49" s="129" t="s">
        <v>52</v>
      </c>
      <c r="N49" s="129"/>
      <c r="O49" s="172"/>
      <c r="P49" s="172"/>
      <c r="Q49" s="129"/>
      <c r="R49" s="129">
        <v>45757</v>
      </c>
      <c r="S49" s="129" t="s">
        <v>45</v>
      </c>
      <c r="T49" s="173" t="str">
        <f ca="1">IF(AND('Inserimento dati'!$B$3=$H$2, TabellaA1[[#This Row],[LUN]]="X"), "X",IF(AND('Inserimento dati'!$B$3=$I$2, TabellaA1[[#This Row],[MAR]]="X"), "X", IF(AND('Inserimento dati'!$B$3=$J$2, TabellaA1[[#This Row],[MER]]="X"), "X",IF(AND('Inserimento dati'!$B$3=$K$2, TabellaA1[[#This Row],[GIO]]="X"), "X", IF(AND('Inserimento dati'!$B$3=$L$2, TabellaA1[[#This Row],[VEN]]="X"), "X","")))))</f>
        <v/>
      </c>
      <c r="U49" s="139" t="str">
        <f t="shared" ca="1" si="2"/>
        <v/>
      </c>
    </row>
    <row r="50" spans="1:21" ht="23.25" x14ac:dyDescent="0.25">
      <c r="A50" s="167"/>
      <c r="B50" s="167" t="str">
        <f t="shared" si="3"/>
        <v>X</v>
      </c>
      <c r="C50" s="167" t="str">
        <f>IF(OR(TabellaA1[[#This Row],[LUN]]="X",TabellaA1[[#This Row],[MAR]]="X",TabellaA1[[#This Row],[MER]]="X",TabellaA1[[#This Row],[GIO]]="X",TabellaA1[[#This Row],[VEN]]="X",),"X","")</f>
        <v/>
      </c>
      <c r="D50" s="168" t="s">
        <v>143</v>
      </c>
      <c r="E50" s="170" t="s">
        <v>325</v>
      </c>
      <c r="F50" s="170">
        <v>100</v>
      </c>
      <c r="G50" s="170" t="s">
        <v>326</v>
      </c>
      <c r="H50" s="171"/>
      <c r="I50" s="171"/>
      <c r="J50" s="171"/>
      <c r="K50" s="171"/>
      <c r="L50" s="169"/>
      <c r="M50" s="129" t="s">
        <v>52</v>
      </c>
      <c r="N50" s="129"/>
      <c r="O50" s="172"/>
      <c r="P50" s="172"/>
      <c r="Q50" s="129"/>
      <c r="R50" s="129">
        <v>45755</v>
      </c>
      <c r="S50" s="129" t="s">
        <v>20</v>
      </c>
      <c r="T50" s="173" t="str">
        <f ca="1">IF(AND('Inserimento dati'!$B$3=$H$2, TabellaA1[[#This Row],[LUN]]="X"), "X",IF(AND('Inserimento dati'!$B$3=$I$2, TabellaA1[[#This Row],[MAR]]="X"), "X", IF(AND('Inserimento dati'!$B$3=$J$2, TabellaA1[[#This Row],[MER]]="X"), "X",IF(AND('Inserimento dati'!$B$3=$K$2, TabellaA1[[#This Row],[GIO]]="X"), "X", IF(AND('Inserimento dati'!$B$3=$L$2, TabellaA1[[#This Row],[VEN]]="X"), "X","")))))</f>
        <v/>
      </c>
      <c r="U50" s="139" t="str">
        <f t="shared" ca="1" si="2"/>
        <v/>
      </c>
    </row>
    <row r="51" spans="1:21" ht="30" x14ac:dyDescent="0.25">
      <c r="A51" s="167"/>
      <c r="B51" s="167" t="str">
        <f t="shared" si="3"/>
        <v>X</v>
      </c>
      <c r="C51" s="167" t="str">
        <f>IF(OR(TabellaA1[[#This Row],[LUN]]="X",TabellaA1[[#This Row],[MAR]]="X",TabellaA1[[#This Row],[MER]]="X",TabellaA1[[#This Row],[GIO]]="X",TabellaA1[[#This Row],[VEN]]="X",),"X","")</f>
        <v/>
      </c>
      <c r="D51" s="168" t="s">
        <v>143</v>
      </c>
      <c r="E51" s="170" t="s">
        <v>327</v>
      </c>
      <c r="F51" s="170">
        <v>900</v>
      </c>
      <c r="G51" s="170" t="s">
        <v>328</v>
      </c>
      <c r="H51" s="171"/>
      <c r="I51" s="171"/>
      <c r="J51" s="171"/>
      <c r="K51" s="171"/>
      <c r="L51" s="169"/>
      <c r="M51" s="129" t="s">
        <v>52</v>
      </c>
      <c r="N51" s="129"/>
      <c r="O51" s="172"/>
      <c r="P51" s="172"/>
      <c r="Q51" s="129" t="s">
        <v>329</v>
      </c>
      <c r="R51" s="129">
        <v>45747</v>
      </c>
      <c r="S51" s="129" t="s">
        <v>254</v>
      </c>
      <c r="T51" s="173" t="str">
        <f ca="1">IF(AND('Inserimento dati'!$B$3=$H$2, TabellaA1[[#This Row],[LUN]]="X"), "X",IF(AND('Inserimento dati'!$B$3=$I$2, TabellaA1[[#This Row],[MAR]]="X"), "X", IF(AND('Inserimento dati'!$B$3=$J$2, TabellaA1[[#This Row],[MER]]="X"), "X",IF(AND('Inserimento dati'!$B$3=$K$2, TabellaA1[[#This Row],[GIO]]="X"), "X", IF(AND('Inserimento dati'!$B$3=$L$2, TabellaA1[[#This Row],[VEN]]="X"), "X","")))))</f>
        <v/>
      </c>
      <c r="U51" s="139" t="str">
        <f t="shared" ca="1" si="2"/>
        <v/>
      </c>
    </row>
    <row r="52" spans="1:21" ht="30" x14ac:dyDescent="0.25">
      <c r="A52" s="167"/>
      <c r="B52" s="167" t="str">
        <f t="shared" si="3"/>
        <v>X</v>
      </c>
      <c r="C52" s="167" t="str">
        <f>IF(OR(TabellaA1[[#This Row],[LUN]]="X",TabellaA1[[#This Row],[MAR]]="X",TabellaA1[[#This Row],[MER]]="X",TabellaA1[[#This Row],[GIO]]="X",TabellaA1[[#This Row],[VEN]]="X",),"X","")</f>
        <v/>
      </c>
      <c r="D52" s="168" t="s">
        <v>143</v>
      </c>
      <c r="E52" s="170" t="s">
        <v>330</v>
      </c>
      <c r="F52" s="170">
        <v>900</v>
      </c>
      <c r="G52" s="170" t="s">
        <v>331</v>
      </c>
      <c r="H52" s="171"/>
      <c r="I52" s="171"/>
      <c r="J52" s="171"/>
      <c r="K52" s="171"/>
      <c r="L52" s="169"/>
      <c r="M52" s="129" t="s">
        <v>52</v>
      </c>
      <c r="N52" s="129"/>
      <c r="O52" s="172"/>
      <c r="P52" s="172"/>
      <c r="Q52" s="129" t="s">
        <v>329</v>
      </c>
      <c r="R52" s="129">
        <v>45747</v>
      </c>
      <c r="S52" s="129" t="s">
        <v>254</v>
      </c>
      <c r="T52" s="173" t="str">
        <f ca="1">IF(AND('Inserimento dati'!$B$3=$H$2, TabellaA1[[#This Row],[LUN]]="X"), "X",IF(AND('Inserimento dati'!$B$3=$I$2, TabellaA1[[#This Row],[MAR]]="X"), "X", IF(AND('Inserimento dati'!$B$3=$J$2, TabellaA1[[#This Row],[MER]]="X"), "X",IF(AND('Inserimento dati'!$B$3=$K$2, TabellaA1[[#This Row],[GIO]]="X"), "X", IF(AND('Inserimento dati'!$B$3=$L$2, TabellaA1[[#This Row],[VEN]]="X"), "X","")))))</f>
        <v/>
      </c>
      <c r="U52" s="139" t="str">
        <f t="shared" ca="1" si="2"/>
        <v/>
      </c>
    </row>
    <row r="53" spans="1:21" ht="30" x14ac:dyDescent="0.25">
      <c r="A53" s="167"/>
      <c r="B53" s="167" t="str">
        <f t="shared" si="3"/>
        <v>X</v>
      </c>
      <c r="C53" s="167" t="str">
        <f>IF(OR(TabellaA1[[#This Row],[LUN]]="X",TabellaA1[[#This Row],[MAR]]="X",TabellaA1[[#This Row],[MER]]="X",TabellaA1[[#This Row],[GIO]]="X",TabellaA1[[#This Row],[VEN]]="X",),"X","")</f>
        <v/>
      </c>
      <c r="D53" s="168" t="s">
        <v>143</v>
      </c>
      <c r="E53" s="170" t="s">
        <v>332</v>
      </c>
      <c r="F53" s="170">
        <v>900</v>
      </c>
      <c r="G53" s="170" t="s">
        <v>333</v>
      </c>
      <c r="H53" s="171"/>
      <c r="I53" s="171"/>
      <c r="J53" s="171"/>
      <c r="K53" s="171"/>
      <c r="L53" s="169"/>
      <c r="M53" s="129" t="s">
        <v>52</v>
      </c>
      <c r="N53" s="129"/>
      <c r="O53" s="172"/>
      <c r="P53" s="172"/>
      <c r="Q53" s="129" t="s">
        <v>329</v>
      </c>
      <c r="R53" s="129">
        <v>45747</v>
      </c>
      <c r="S53" s="129" t="s">
        <v>254</v>
      </c>
      <c r="T53" s="173" t="str">
        <f ca="1">IF(AND('Inserimento dati'!$B$3=$H$2, TabellaA1[[#This Row],[LUN]]="X"), "X",IF(AND('Inserimento dati'!$B$3=$I$2, TabellaA1[[#This Row],[MAR]]="X"), "X", IF(AND('Inserimento dati'!$B$3=$J$2, TabellaA1[[#This Row],[MER]]="X"), "X",IF(AND('Inserimento dati'!$B$3=$K$2, TabellaA1[[#This Row],[GIO]]="X"), "X", IF(AND('Inserimento dati'!$B$3=$L$2, TabellaA1[[#This Row],[VEN]]="X"), "X","")))))</f>
        <v/>
      </c>
      <c r="U53" s="139" t="str">
        <f t="shared" ca="1" si="2"/>
        <v/>
      </c>
    </row>
    <row r="54" spans="1:21" ht="30" x14ac:dyDescent="0.25">
      <c r="A54" s="167"/>
      <c r="B54" s="167" t="str">
        <f t="shared" si="3"/>
        <v>X</v>
      </c>
      <c r="C54" s="167" t="str">
        <f>IF(OR(TabellaA1[[#This Row],[LUN]]="X",TabellaA1[[#This Row],[MAR]]="X",TabellaA1[[#This Row],[MER]]="X",TabellaA1[[#This Row],[GIO]]="X",TabellaA1[[#This Row],[VEN]]="X",),"X","")</f>
        <v/>
      </c>
      <c r="D54" s="168" t="s">
        <v>143</v>
      </c>
      <c r="E54" s="170" t="s">
        <v>334</v>
      </c>
      <c r="F54" s="170">
        <v>200</v>
      </c>
      <c r="G54" s="170" t="s">
        <v>335</v>
      </c>
      <c r="H54" s="171"/>
      <c r="I54" s="171"/>
      <c r="J54" s="171"/>
      <c r="K54" s="171"/>
      <c r="L54" s="169"/>
      <c r="M54" s="129" t="s">
        <v>52</v>
      </c>
      <c r="N54" s="129"/>
      <c r="O54" s="172"/>
      <c r="P54" s="172"/>
      <c r="Q54" s="129"/>
      <c r="R54" s="129"/>
      <c r="S54" s="129"/>
      <c r="T54" s="173" t="str">
        <f ca="1">IF(AND('Inserimento dati'!$B$3=$H$2, TabellaA1[[#This Row],[LUN]]="X"), "X",IF(AND('Inserimento dati'!$B$3=$I$2, TabellaA1[[#This Row],[MAR]]="X"), "X", IF(AND('Inserimento dati'!$B$3=$J$2, TabellaA1[[#This Row],[MER]]="X"), "X",IF(AND('Inserimento dati'!$B$3=$K$2, TabellaA1[[#This Row],[GIO]]="X"), "X", IF(AND('Inserimento dati'!$B$3=$L$2, TabellaA1[[#This Row],[VEN]]="X"), "X","")))))</f>
        <v/>
      </c>
      <c r="U54" s="139" t="str">
        <f t="shared" ca="1" si="2"/>
        <v/>
      </c>
    </row>
    <row r="55" spans="1:21" ht="30" x14ac:dyDescent="0.25">
      <c r="A55" s="167"/>
      <c r="B55" s="167" t="str">
        <f t="shared" si="3"/>
        <v>X</v>
      </c>
      <c r="C55" s="167" t="str">
        <f>IF(OR(TabellaA1[[#This Row],[LUN]]="X",TabellaA1[[#This Row],[MAR]]="X",TabellaA1[[#This Row],[MER]]="X",TabellaA1[[#This Row],[GIO]]="X",TabellaA1[[#This Row],[VEN]]="X",),"X","")</f>
        <v/>
      </c>
      <c r="D55" s="168" t="s">
        <v>143</v>
      </c>
      <c r="E55" s="170" t="s">
        <v>336</v>
      </c>
      <c r="F55" s="170">
        <v>200</v>
      </c>
      <c r="G55" s="170" t="s">
        <v>337</v>
      </c>
      <c r="H55" s="171"/>
      <c r="I55" s="171"/>
      <c r="J55" s="171"/>
      <c r="K55" s="171"/>
      <c r="L55" s="169"/>
      <c r="M55" s="129" t="s">
        <v>52</v>
      </c>
      <c r="N55" s="129"/>
      <c r="O55" s="172"/>
      <c r="P55" s="172"/>
      <c r="Q55" s="129"/>
      <c r="R55" s="129">
        <v>45727</v>
      </c>
      <c r="S55" s="129" t="s">
        <v>20</v>
      </c>
      <c r="T55" s="173" t="str">
        <f ca="1">IF(AND('Inserimento dati'!$B$3=$H$2, TabellaA1[[#This Row],[LUN]]="X"), "X",IF(AND('Inserimento dati'!$B$3=$I$2, TabellaA1[[#This Row],[MAR]]="X"), "X", IF(AND('Inserimento dati'!$B$3=$J$2, TabellaA1[[#This Row],[MER]]="X"), "X",IF(AND('Inserimento dati'!$B$3=$K$2, TabellaA1[[#This Row],[GIO]]="X"), "X", IF(AND('Inserimento dati'!$B$3=$L$2, TabellaA1[[#This Row],[VEN]]="X"), "X","")))))</f>
        <v/>
      </c>
      <c r="U55" s="139" t="str">
        <f t="shared" ca="1" si="2"/>
        <v/>
      </c>
    </row>
    <row r="56" spans="1:21" ht="30" x14ac:dyDescent="0.25">
      <c r="A56" s="167"/>
      <c r="B56" s="167" t="str">
        <f t="shared" si="3"/>
        <v>X</v>
      </c>
      <c r="C56" s="167" t="str">
        <f>IF(OR(TabellaA1[[#This Row],[LUN]]="X",TabellaA1[[#This Row],[MAR]]="X",TabellaA1[[#This Row],[MER]]="X",TabellaA1[[#This Row],[GIO]]="X",TabellaA1[[#This Row],[VEN]]="X",),"X","")</f>
        <v/>
      </c>
      <c r="D56" s="168" t="s">
        <v>143</v>
      </c>
      <c r="E56" s="170" t="s">
        <v>338</v>
      </c>
      <c r="F56" s="170">
        <v>200</v>
      </c>
      <c r="G56" s="170" t="s">
        <v>339</v>
      </c>
      <c r="H56" s="171"/>
      <c r="I56" s="171"/>
      <c r="J56" s="171"/>
      <c r="K56" s="171"/>
      <c r="L56" s="169"/>
      <c r="M56" s="129" t="s">
        <v>52</v>
      </c>
      <c r="N56" s="129"/>
      <c r="O56" s="172"/>
      <c r="P56" s="172"/>
      <c r="Q56" s="129" t="s">
        <v>340</v>
      </c>
      <c r="R56" s="129">
        <v>45727</v>
      </c>
      <c r="S56" s="129" t="s">
        <v>20</v>
      </c>
      <c r="T56" s="173" t="str">
        <f ca="1">IF(AND('Inserimento dati'!$B$3=$H$2, TabellaA1[[#This Row],[LUN]]="X"), "X",IF(AND('Inserimento dati'!$B$3=$I$2, TabellaA1[[#This Row],[MAR]]="X"), "X", IF(AND('Inserimento dati'!$B$3=$J$2, TabellaA1[[#This Row],[MER]]="X"), "X",IF(AND('Inserimento dati'!$B$3=$K$2, TabellaA1[[#This Row],[GIO]]="X"), "X", IF(AND('Inserimento dati'!$B$3=$L$2, TabellaA1[[#This Row],[VEN]]="X"), "X","")))))</f>
        <v/>
      </c>
      <c r="U56" s="139" t="str">
        <f t="shared" ca="1" si="2"/>
        <v/>
      </c>
    </row>
    <row r="57" spans="1:21" ht="30" x14ac:dyDescent="0.25">
      <c r="A57" s="167"/>
      <c r="B57" s="167" t="str">
        <f t="shared" si="3"/>
        <v>X</v>
      </c>
      <c r="C57" s="167" t="str">
        <f>IF(OR(TabellaA1[[#This Row],[LUN]]="X",TabellaA1[[#This Row],[MAR]]="X",TabellaA1[[#This Row],[MER]]="X",TabellaA1[[#This Row],[GIO]]="X",TabellaA1[[#This Row],[VEN]]="X",),"X","")</f>
        <v/>
      </c>
      <c r="D57" s="168" t="s">
        <v>143</v>
      </c>
      <c r="E57" s="170" t="s">
        <v>341</v>
      </c>
      <c r="F57" s="170">
        <v>200</v>
      </c>
      <c r="G57" s="170" t="s">
        <v>342</v>
      </c>
      <c r="H57" s="171"/>
      <c r="I57" s="171"/>
      <c r="J57" s="171"/>
      <c r="K57" s="171"/>
      <c r="L57" s="169"/>
      <c r="M57" s="129" t="s">
        <v>52</v>
      </c>
      <c r="N57" s="129"/>
      <c r="O57" s="172"/>
      <c r="P57" s="172"/>
      <c r="Q57" s="129"/>
      <c r="R57" s="129">
        <v>45727</v>
      </c>
      <c r="S57" s="129" t="s">
        <v>20</v>
      </c>
      <c r="T57" s="173" t="str">
        <f ca="1">IF(AND('Inserimento dati'!$B$3=$H$2, TabellaA1[[#This Row],[LUN]]="X"), "X",IF(AND('Inserimento dati'!$B$3=$I$2, TabellaA1[[#This Row],[MAR]]="X"), "X", IF(AND('Inserimento dati'!$B$3=$J$2, TabellaA1[[#This Row],[MER]]="X"), "X",IF(AND('Inserimento dati'!$B$3=$K$2, TabellaA1[[#This Row],[GIO]]="X"), "X", IF(AND('Inserimento dati'!$B$3=$L$2, TabellaA1[[#This Row],[VEN]]="X"), "X","")))))</f>
        <v/>
      </c>
      <c r="U57" s="139" t="str">
        <f t="shared" ca="1" si="2"/>
        <v/>
      </c>
    </row>
    <row r="58" spans="1:21" ht="23.25" x14ac:dyDescent="0.25">
      <c r="A58" s="167"/>
      <c r="B58" s="167" t="str">
        <f t="shared" si="3"/>
        <v>X</v>
      </c>
      <c r="C58" s="167" t="str">
        <f>IF(OR(TabellaA1[[#This Row],[LUN]]="X",TabellaA1[[#This Row],[MAR]]="X",TabellaA1[[#This Row],[MER]]="X",TabellaA1[[#This Row],[GIO]]="X",TabellaA1[[#This Row],[VEN]]="X",),"X","")</f>
        <v/>
      </c>
      <c r="D58" s="168" t="s">
        <v>143</v>
      </c>
      <c r="E58" s="170" t="s">
        <v>343</v>
      </c>
      <c r="F58" s="170">
        <v>900</v>
      </c>
      <c r="G58" s="170" t="s">
        <v>344</v>
      </c>
      <c r="H58" s="171"/>
      <c r="I58" s="171"/>
      <c r="J58" s="171"/>
      <c r="K58" s="171"/>
      <c r="L58" s="169"/>
      <c r="M58" s="129" t="s">
        <v>52</v>
      </c>
      <c r="N58" s="129"/>
      <c r="O58" s="172"/>
      <c r="P58" s="172"/>
      <c r="Q58" s="129" t="s">
        <v>345</v>
      </c>
      <c r="R58" s="129">
        <v>45736</v>
      </c>
      <c r="S58" s="129" t="s">
        <v>238</v>
      </c>
      <c r="T58" s="173" t="str">
        <f ca="1">IF(AND('Inserimento dati'!$B$3=$H$2, TabellaA1[[#This Row],[LUN]]="X"), "X",IF(AND('Inserimento dati'!$B$3=$I$2, TabellaA1[[#This Row],[MAR]]="X"), "X", IF(AND('Inserimento dati'!$B$3=$J$2, TabellaA1[[#This Row],[MER]]="X"), "X",IF(AND('Inserimento dati'!$B$3=$K$2, TabellaA1[[#This Row],[GIO]]="X"), "X", IF(AND('Inserimento dati'!$B$3=$L$2, TabellaA1[[#This Row],[VEN]]="X"), "X","")))))</f>
        <v/>
      </c>
      <c r="U58" s="139" t="str">
        <f t="shared" ca="1" si="2"/>
        <v/>
      </c>
    </row>
    <row r="59" spans="1:21" ht="30" x14ac:dyDescent="0.25">
      <c r="A59" s="167"/>
      <c r="B59" s="167" t="str">
        <f t="shared" si="3"/>
        <v>X</v>
      </c>
      <c r="C59" s="167" t="str">
        <f>IF(OR(TabellaA1[[#This Row],[LUN]]="X",TabellaA1[[#This Row],[MAR]]="X",TabellaA1[[#This Row],[MER]]="X",TabellaA1[[#This Row],[GIO]]="X",TabellaA1[[#This Row],[VEN]]="X",),"X","")</f>
        <v/>
      </c>
      <c r="D59" s="168" t="s">
        <v>143</v>
      </c>
      <c r="E59" s="170" t="s">
        <v>346</v>
      </c>
      <c r="F59" s="170">
        <v>400</v>
      </c>
      <c r="G59" s="170" t="s">
        <v>347</v>
      </c>
      <c r="H59" s="171"/>
      <c r="I59" s="171"/>
      <c r="J59" s="171"/>
      <c r="K59" s="171"/>
      <c r="L59" s="169"/>
      <c r="M59" s="129" t="s">
        <v>52</v>
      </c>
      <c r="N59" s="129"/>
      <c r="O59" s="172"/>
      <c r="P59" s="172"/>
      <c r="Q59" s="129" t="s">
        <v>348</v>
      </c>
      <c r="R59" s="129">
        <v>45722</v>
      </c>
      <c r="S59" s="129" t="s">
        <v>254</v>
      </c>
      <c r="T59" s="173" t="str">
        <f ca="1">IF(AND('Inserimento dati'!$B$3=$H$2, TabellaA1[[#This Row],[LUN]]="X"), "X",IF(AND('Inserimento dati'!$B$3=$I$2, TabellaA1[[#This Row],[MAR]]="X"), "X", IF(AND('Inserimento dati'!$B$3=$J$2, TabellaA1[[#This Row],[MER]]="X"), "X",IF(AND('Inserimento dati'!$B$3=$K$2, TabellaA1[[#This Row],[GIO]]="X"), "X", IF(AND('Inserimento dati'!$B$3=$L$2, TabellaA1[[#This Row],[VEN]]="X"), "X","")))))</f>
        <v/>
      </c>
      <c r="U59" s="139" t="str">
        <f t="shared" ca="1" si="2"/>
        <v/>
      </c>
    </row>
    <row r="60" spans="1:21" ht="30" x14ac:dyDescent="0.25">
      <c r="A60" s="167"/>
      <c r="B60" s="167" t="str">
        <f t="shared" si="3"/>
        <v>X</v>
      </c>
      <c r="C60" s="167" t="str">
        <f>IF(OR(TabellaA1[[#This Row],[LUN]]="X",TabellaA1[[#This Row],[MAR]]="X",TabellaA1[[#This Row],[MER]]="X",TabellaA1[[#This Row],[GIO]]="X",TabellaA1[[#This Row],[VEN]]="X",),"X","")</f>
        <v/>
      </c>
      <c r="D60" s="168" t="s">
        <v>143</v>
      </c>
      <c r="E60" s="170" t="s">
        <v>349</v>
      </c>
      <c r="F60" s="170">
        <v>100</v>
      </c>
      <c r="G60" s="170" t="s">
        <v>350</v>
      </c>
      <c r="H60" s="171"/>
      <c r="I60" s="171"/>
      <c r="J60" s="171"/>
      <c r="K60" s="171"/>
      <c r="L60" s="169"/>
      <c r="M60" s="129" t="s">
        <v>52</v>
      </c>
      <c r="N60" s="129"/>
      <c r="O60" s="172"/>
      <c r="P60" s="172"/>
      <c r="Q60" s="129"/>
      <c r="R60" s="129">
        <v>45734</v>
      </c>
      <c r="S60" s="129" t="s">
        <v>38</v>
      </c>
      <c r="T60" s="173" t="str">
        <f ca="1">IF(AND('Inserimento dati'!$B$3=$H$2, TabellaA1[[#This Row],[LUN]]="X"), "X",IF(AND('Inserimento dati'!$B$3=$I$2, TabellaA1[[#This Row],[MAR]]="X"), "X", IF(AND('Inserimento dati'!$B$3=$J$2, TabellaA1[[#This Row],[MER]]="X"), "X",IF(AND('Inserimento dati'!$B$3=$K$2, TabellaA1[[#This Row],[GIO]]="X"), "X", IF(AND('Inserimento dati'!$B$3=$L$2, TabellaA1[[#This Row],[VEN]]="X"), "X","")))))</f>
        <v/>
      </c>
      <c r="U60" s="139" t="str">
        <f t="shared" ca="1" si="2"/>
        <v/>
      </c>
    </row>
    <row r="61" spans="1:21" ht="45" x14ac:dyDescent="0.25">
      <c r="A61" s="167"/>
      <c r="B61" s="167" t="str">
        <f t="shared" si="3"/>
        <v>X</v>
      </c>
      <c r="C61" s="167" t="str">
        <f>IF(OR(TabellaA1[[#This Row],[LUN]]="X",TabellaA1[[#This Row],[MAR]]="X",TabellaA1[[#This Row],[MER]]="X",TabellaA1[[#This Row],[GIO]]="X",TabellaA1[[#This Row],[VEN]]="X",),"X","")</f>
        <v/>
      </c>
      <c r="D61" s="168" t="s">
        <v>143</v>
      </c>
      <c r="E61" s="170" t="s">
        <v>351</v>
      </c>
      <c r="F61" s="170">
        <v>900</v>
      </c>
      <c r="G61" s="170" t="s">
        <v>352</v>
      </c>
      <c r="H61" s="171"/>
      <c r="I61" s="171"/>
      <c r="J61" s="171"/>
      <c r="K61" s="171"/>
      <c r="L61" s="169"/>
      <c r="M61" s="129" t="s">
        <v>52</v>
      </c>
      <c r="N61" s="129"/>
      <c r="O61" s="172"/>
      <c r="P61" s="172"/>
      <c r="Q61" s="129" t="s">
        <v>353</v>
      </c>
      <c r="R61" s="129">
        <v>45733</v>
      </c>
      <c r="S61" s="129" t="s">
        <v>38</v>
      </c>
      <c r="T61" s="173" t="str">
        <f ca="1">IF(AND('Inserimento dati'!$B$3=$H$2, TabellaA1[[#This Row],[LUN]]="X"), "X",IF(AND('Inserimento dati'!$B$3=$I$2, TabellaA1[[#This Row],[MAR]]="X"), "X", IF(AND('Inserimento dati'!$B$3=$J$2, TabellaA1[[#This Row],[MER]]="X"), "X",IF(AND('Inserimento dati'!$B$3=$K$2, TabellaA1[[#This Row],[GIO]]="X"), "X", IF(AND('Inserimento dati'!$B$3=$L$2, TabellaA1[[#This Row],[VEN]]="X"), "X","")))))</f>
        <v/>
      </c>
      <c r="U61" s="139" t="str">
        <f t="shared" ca="1" si="2"/>
        <v/>
      </c>
    </row>
    <row r="62" spans="1:21" ht="23.25" x14ac:dyDescent="0.25">
      <c r="A62" s="167"/>
      <c r="B62" s="167" t="str">
        <f t="shared" si="3"/>
        <v>X</v>
      </c>
      <c r="C62" s="167" t="str">
        <f>IF(OR(TabellaA1[[#This Row],[LUN]]="X",TabellaA1[[#This Row],[MAR]]="X",TabellaA1[[#This Row],[MER]]="X",TabellaA1[[#This Row],[GIO]]="X",TabellaA1[[#This Row],[VEN]]="X",),"X","")</f>
        <v/>
      </c>
      <c r="D62" s="168" t="s">
        <v>143</v>
      </c>
      <c r="E62" s="170" t="s">
        <v>354</v>
      </c>
      <c r="F62" s="170">
        <v>200</v>
      </c>
      <c r="G62" s="170" t="s">
        <v>355</v>
      </c>
      <c r="H62" s="171"/>
      <c r="I62" s="171"/>
      <c r="J62" s="171"/>
      <c r="K62" s="171"/>
      <c r="L62" s="169"/>
      <c r="M62" s="129" t="s">
        <v>52</v>
      </c>
      <c r="N62" s="129"/>
      <c r="O62" s="172"/>
      <c r="P62" s="172"/>
      <c r="Q62" s="129"/>
      <c r="R62" s="129">
        <v>45733</v>
      </c>
      <c r="S62" s="129" t="s">
        <v>254</v>
      </c>
      <c r="T62" s="173" t="str">
        <f ca="1">IF(AND('Inserimento dati'!$B$3=$H$2, TabellaA1[[#This Row],[LUN]]="X"), "X",IF(AND('Inserimento dati'!$B$3=$I$2, TabellaA1[[#This Row],[MAR]]="X"), "X", IF(AND('Inserimento dati'!$B$3=$J$2, TabellaA1[[#This Row],[MER]]="X"), "X",IF(AND('Inserimento dati'!$B$3=$K$2, TabellaA1[[#This Row],[GIO]]="X"), "X", IF(AND('Inserimento dati'!$B$3=$L$2, TabellaA1[[#This Row],[VEN]]="X"), "X","")))))</f>
        <v/>
      </c>
      <c r="U62" s="139" t="str">
        <f t="shared" ca="1" si="2"/>
        <v/>
      </c>
    </row>
    <row r="63" spans="1:21" ht="23.25" x14ac:dyDescent="0.25">
      <c r="A63" s="167"/>
      <c r="B63" s="167" t="str">
        <f t="shared" si="3"/>
        <v>X</v>
      </c>
      <c r="C63" s="167" t="str">
        <f>IF(OR(TabellaA1[[#This Row],[LUN]]="X",TabellaA1[[#This Row],[MAR]]="X",TabellaA1[[#This Row],[MER]]="X",TabellaA1[[#This Row],[GIO]]="X",TabellaA1[[#This Row],[VEN]]="X",),"X","")</f>
        <v/>
      </c>
      <c r="D63" s="168" t="s">
        <v>143</v>
      </c>
      <c r="E63" s="170" t="s">
        <v>356</v>
      </c>
      <c r="F63" s="170">
        <v>200</v>
      </c>
      <c r="G63" s="170" t="s">
        <v>357</v>
      </c>
      <c r="H63" s="171"/>
      <c r="I63" s="171"/>
      <c r="J63" s="171"/>
      <c r="K63" s="171"/>
      <c r="L63" s="169"/>
      <c r="M63" s="129" t="s">
        <v>52</v>
      </c>
      <c r="N63" s="129"/>
      <c r="O63" s="172"/>
      <c r="P63" s="172"/>
      <c r="Q63" s="129"/>
      <c r="R63" s="129"/>
      <c r="S63" s="129"/>
      <c r="T63" s="173" t="str">
        <f ca="1">IF(AND('Inserimento dati'!$B$3=$H$2, TabellaA1[[#This Row],[LUN]]="X"), "X",IF(AND('Inserimento dati'!$B$3=$I$2, TabellaA1[[#This Row],[MAR]]="X"), "X", IF(AND('Inserimento dati'!$B$3=$J$2, TabellaA1[[#This Row],[MER]]="X"), "X",IF(AND('Inserimento dati'!$B$3=$K$2, TabellaA1[[#This Row],[GIO]]="X"), "X", IF(AND('Inserimento dati'!$B$3=$L$2, TabellaA1[[#This Row],[VEN]]="X"), "X","")))))</f>
        <v/>
      </c>
      <c r="U63" s="139" t="str">
        <f t="shared" ca="1" si="2"/>
        <v/>
      </c>
    </row>
    <row r="64" spans="1:21" ht="30" x14ac:dyDescent="0.25">
      <c r="A64" s="167"/>
      <c r="B64" s="167" t="str">
        <f t="shared" si="3"/>
        <v>X</v>
      </c>
      <c r="C64" s="167" t="str">
        <f>IF(OR(TabellaA1[[#This Row],[LUN]]="X",TabellaA1[[#This Row],[MAR]]="X",TabellaA1[[#This Row],[MER]]="X",TabellaA1[[#This Row],[GIO]]="X",TabellaA1[[#This Row],[VEN]]="X",),"X","")</f>
        <v/>
      </c>
      <c r="D64" s="168" t="s">
        <v>143</v>
      </c>
      <c r="E64" s="170" t="s">
        <v>358</v>
      </c>
      <c r="F64" s="170">
        <v>300</v>
      </c>
      <c r="G64" s="170" t="s">
        <v>359</v>
      </c>
      <c r="H64" s="171"/>
      <c r="I64" s="171"/>
      <c r="J64" s="171"/>
      <c r="K64" s="171"/>
      <c r="L64" s="169"/>
      <c r="M64" s="129" t="s">
        <v>52</v>
      </c>
      <c r="N64" s="129"/>
      <c r="O64" s="172"/>
      <c r="P64" s="172"/>
      <c r="Q64" s="129"/>
      <c r="R64" s="129"/>
      <c r="S64" s="129"/>
      <c r="T64" s="173" t="str">
        <f ca="1">IF(AND('Inserimento dati'!$B$3=$H$2, TabellaA1[[#This Row],[LUN]]="X"), "X",IF(AND('Inserimento dati'!$B$3=$I$2, TabellaA1[[#This Row],[MAR]]="X"), "X", IF(AND('Inserimento dati'!$B$3=$J$2, TabellaA1[[#This Row],[MER]]="X"), "X",IF(AND('Inserimento dati'!$B$3=$K$2, TabellaA1[[#This Row],[GIO]]="X"), "X", IF(AND('Inserimento dati'!$B$3=$L$2, TabellaA1[[#This Row],[VEN]]="X"), "X","")))))</f>
        <v/>
      </c>
      <c r="U64" s="139" t="str">
        <f t="shared" ca="1" si="2"/>
        <v/>
      </c>
    </row>
    <row r="65" spans="1:21" ht="23.25" x14ac:dyDescent="0.25">
      <c r="A65" s="167"/>
      <c r="B65" s="167" t="str">
        <f t="shared" si="3"/>
        <v>X</v>
      </c>
      <c r="C65" s="167" t="str">
        <f>IF(OR(TabellaA1[[#This Row],[LUN]]="X",TabellaA1[[#This Row],[MAR]]="X",TabellaA1[[#This Row],[MER]]="X",TabellaA1[[#This Row],[GIO]]="X",TabellaA1[[#This Row],[VEN]]="X",),"X","")</f>
        <v/>
      </c>
      <c r="D65" s="168" t="s">
        <v>143</v>
      </c>
      <c r="E65" s="170" t="s">
        <v>360</v>
      </c>
      <c r="F65" s="170">
        <v>300</v>
      </c>
      <c r="G65" s="170" t="s">
        <v>361</v>
      </c>
      <c r="H65" s="171"/>
      <c r="I65" s="171"/>
      <c r="J65" s="171"/>
      <c r="K65" s="171"/>
      <c r="L65" s="169"/>
      <c r="M65" s="129" t="s">
        <v>52</v>
      </c>
      <c r="N65" s="129"/>
      <c r="O65" s="172"/>
      <c r="P65" s="172"/>
      <c r="Q65" s="129"/>
      <c r="R65" s="129"/>
      <c r="S65" s="129"/>
      <c r="T65" s="173" t="str">
        <f ca="1">IF(AND('Inserimento dati'!$B$3=$H$2, TabellaA1[[#This Row],[LUN]]="X"), "X",IF(AND('Inserimento dati'!$B$3=$I$2, TabellaA1[[#This Row],[MAR]]="X"), "X", IF(AND('Inserimento dati'!$B$3=$J$2, TabellaA1[[#This Row],[MER]]="X"), "X",IF(AND('Inserimento dati'!$B$3=$K$2, TabellaA1[[#This Row],[GIO]]="X"), "X", IF(AND('Inserimento dati'!$B$3=$L$2, TabellaA1[[#This Row],[VEN]]="X"), "X","")))))</f>
        <v/>
      </c>
      <c r="U65" s="139" t="str">
        <f t="shared" ca="1" si="2"/>
        <v/>
      </c>
    </row>
    <row r="66" spans="1:21" ht="23.25" x14ac:dyDescent="0.25">
      <c r="A66" s="167"/>
      <c r="B66" s="167" t="str">
        <f t="shared" si="3"/>
        <v>X</v>
      </c>
      <c r="C66" s="167" t="str">
        <f>IF(OR(TabellaA1[[#This Row],[LUN]]="X",TabellaA1[[#This Row],[MAR]]="X",TabellaA1[[#This Row],[MER]]="X",TabellaA1[[#This Row],[GIO]]="X",TabellaA1[[#This Row],[VEN]]="X",),"X","")</f>
        <v/>
      </c>
      <c r="D66" s="168" t="s">
        <v>143</v>
      </c>
      <c r="E66" s="170" t="s">
        <v>362</v>
      </c>
      <c r="F66" s="170">
        <v>400</v>
      </c>
      <c r="G66" s="170" t="s">
        <v>363</v>
      </c>
      <c r="H66" s="171"/>
      <c r="I66" s="171"/>
      <c r="J66" s="171"/>
      <c r="K66" s="171"/>
      <c r="L66" s="169"/>
      <c r="M66" s="129" t="s">
        <v>52</v>
      </c>
      <c r="N66" s="129"/>
      <c r="O66" s="172"/>
      <c r="P66" s="172"/>
      <c r="Q66" s="129"/>
      <c r="R66" s="129"/>
      <c r="S66" s="129"/>
      <c r="T66" s="173" t="str">
        <f ca="1">IF(AND('Inserimento dati'!$B$3=$H$2, TabellaA1[[#This Row],[LUN]]="X"), "X",IF(AND('Inserimento dati'!$B$3=$I$2, TabellaA1[[#This Row],[MAR]]="X"), "X", IF(AND('Inserimento dati'!$B$3=$J$2, TabellaA1[[#This Row],[MER]]="X"), "X",IF(AND('Inserimento dati'!$B$3=$K$2, TabellaA1[[#This Row],[GIO]]="X"), "X", IF(AND('Inserimento dati'!$B$3=$L$2, TabellaA1[[#This Row],[VEN]]="X"), "X","")))))</f>
        <v/>
      </c>
      <c r="U66" s="139" t="str">
        <f t="shared" ca="1" si="2"/>
        <v/>
      </c>
    </row>
    <row r="67" spans="1:21" ht="23.25" x14ac:dyDescent="0.25">
      <c r="A67" s="167"/>
      <c r="B67" s="167" t="str">
        <f t="shared" si="3"/>
        <v>X</v>
      </c>
      <c r="C67" s="167" t="str">
        <f>IF(OR(TabellaA1[[#This Row],[LUN]]="X",TabellaA1[[#This Row],[MAR]]="X",TabellaA1[[#This Row],[MER]]="X",TabellaA1[[#This Row],[GIO]]="X",TabellaA1[[#This Row],[VEN]]="X",),"X","")</f>
        <v/>
      </c>
      <c r="D67" s="168" t="s">
        <v>143</v>
      </c>
      <c r="E67" s="170" t="s">
        <v>364</v>
      </c>
      <c r="F67" s="170">
        <v>100</v>
      </c>
      <c r="G67" s="170" t="s">
        <v>365</v>
      </c>
      <c r="H67" s="171"/>
      <c r="I67" s="171"/>
      <c r="J67" s="171"/>
      <c r="K67" s="171"/>
      <c r="L67" s="169"/>
      <c r="M67" s="129" t="s">
        <v>52</v>
      </c>
      <c r="N67" s="129"/>
      <c r="O67" s="172"/>
      <c r="P67" s="172"/>
      <c r="Q67" s="129" t="s">
        <v>366</v>
      </c>
      <c r="R67" s="129">
        <v>45728</v>
      </c>
      <c r="S67" s="129" t="s">
        <v>20</v>
      </c>
      <c r="T67" s="173" t="str">
        <f ca="1">IF(AND('Inserimento dati'!$B$3=$H$2, TabellaA1[[#This Row],[LUN]]="X"), "X",IF(AND('Inserimento dati'!$B$3=$I$2, TabellaA1[[#This Row],[MAR]]="X"), "X", IF(AND('Inserimento dati'!$B$3=$J$2, TabellaA1[[#This Row],[MER]]="X"), "X",IF(AND('Inserimento dati'!$B$3=$K$2, TabellaA1[[#This Row],[GIO]]="X"), "X", IF(AND('Inserimento dati'!$B$3=$L$2, TabellaA1[[#This Row],[VEN]]="X"), "X","")))))</f>
        <v/>
      </c>
      <c r="U67" s="139" t="str">
        <f t="shared" ca="1" si="2"/>
        <v/>
      </c>
    </row>
    <row r="68" spans="1:21" ht="30" x14ac:dyDescent="0.25">
      <c r="A68" s="167"/>
      <c r="B68" s="167" t="str">
        <f t="shared" si="3"/>
        <v>X</v>
      </c>
      <c r="C68" s="167" t="str">
        <f>IF(OR(TabellaA1[[#This Row],[LUN]]="X",TabellaA1[[#This Row],[MAR]]="X",TabellaA1[[#This Row],[MER]]="X",TabellaA1[[#This Row],[GIO]]="X",TabellaA1[[#This Row],[VEN]]="X",),"X","")</f>
        <v/>
      </c>
      <c r="D68" s="168" t="s">
        <v>143</v>
      </c>
      <c r="E68" s="170" t="s">
        <v>367</v>
      </c>
      <c r="F68" s="170">
        <v>200</v>
      </c>
      <c r="G68" s="170" t="s">
        <v>368</v>
      </c>
      <c r="H68" s="171"/>
      <c r="I68" s="171"/>
      <c r="J68" s="171"/>
      <c r="K68" s="171"/>
      <c r="L68" s="169"/>
      <c r="M68" s="129" t="s">
        <v>52</v>
      </c>
      <c r="N68" s="129"/>
      <c r="O68" s="172"/>
      <c r="P68" s="172"/>
      <c r="Q68" s="129" t="s">
        <v>369</v>
      </c>
      <c r="R68" s="129">
        <v>45726</v>
      </c>
      <c r="S68" s="129" t="s">
        <v>11</v>
      </c>
      <c r="T68" s="173" t="str">
        <f ca="1">IF(AND('Inserimento dati'!$B$3=$H$2, TabellaA1[[#This Row],[LUN]]="X"), "X",IF(AND('Inserimento dati'!$B$3=$I$2, TabellaA1[[#This Row],[MAR]]="X"), "X", IF(AND('Inserimento dati'!$B$3=$J$2, TabellaA1[[#This Row],[MER]]="X"), "X",IF(AND('Inserimento dati'!$B$3=$K$2, TabellaA1[[#This Row],[GIO]]="X"), "X", IF(AND('Inserimento dati'!$B$3=$L$2, TabellaA1[[#This Row],[VEN]]="X"), "X","")))))</f>
        <v/>
      </c>
      <c r="U68" s="139" t="str">
        <f t="shared" ca="1" si="2"/>
        <v/>
      </c>
    </row>
    <row r="69" spans="1:21" ht="45" x14ac:dyDescent="0.25">
      <c r="A69" s="167"/>
      <c r="B69" s="167" t="str">
        <f t="shared" si="3"/>
        <v>X</v>
      </c>
      <c r="C69" s="167" t="str">
        <f>IF(OR(TabellaA1[[#This Row],[LUN]]="X",TabellaA1[[#This Row],[MAR]]="X",TabellaA1[[#This Row],[MER]]="X",TabellaA1[[#This Row],[GIO]]="X",TabellaA1[[#This Row],[VEN]]="X",),"X","")</f>
        <v/>
      </c>
      <c r="D69" s="168" t="s">
        <v>143</v>
      </c>
      <c r="E69" s="170" t="s">
        <v>370</v>
      </c>
      <c r="F69" s="170">
        <v>300</v>
      </c>
      <c r="G69" s="170" t="s">
        <v>371</v>
      </c>
      <c r="H69" s="171"/>
      <c r="I69" s="171"/>
      <c r="J69" s="171"/>
      <c r="K69" s="171"/>
      <c r="L69" s="169"/>
      <c r="M69" s="129" t="s">
        <v>52</v>
      </c>
      <c r="N69" s="129"/>
      <c r="O69" s="172"/>
      <c r="P69" s="172"/>
      <c r="Q69" s="129" t="s">
        <v>372</v>
      </c>
      <c r="R69" s="129">
        <v>45726</v>
      </c>
      <c r="S69" s="129" t="s">
        <v>254</v>
      </c>
      <c r="T69" s="173" t="str">
        <f ca="1">IF(AND('Inserimento dati'!$B$3=$H$2, TabellaA1[[#This Row],[LUN]]="X"), "X",IF(AND('Inserimento dati'!$B$3=$I$2, TabellaA1[[#This Row],[MAR]]="X"), "X", IF(AND('Inserimento dati'!$B$3=$J$2, TabellaA1[[#This Row],[MER]]="X"), "X",IF(AND('Inserimento dati'!$B$3=$K$2, TabellaA1[[#This Row],[GIO]]="X"), "X", IF(AND('Inserimento dati'!$B$3=$L$2, TabellaA1[[#This Row],[VEN]]="X"), "X","")))))</f>
        <v/>
      </c>
      <c r="U69" s="139" t="str">
        <f t="shared" ca="1" si="2"/>
        <v/>
      </c>
    </row>
    <row r="70" spans="1:21" ht="45" x14ac:dyDescent="0.25">
      <c r="A70" s="167"/>
      <c r="B70" s="167" t="str">
        <f t="shared" si="3"/>
        <v>X</v>
      </c>
      <c r="C70" s="167" t="str">
        <f>IF(OR(TabellaA1[[#This Row],[LUN]]="X",TabellaA1[[#This Row],[MAR]]="X",TabellaA1[[#This Row],[MER]]="X",TabellaA1[[#This Row],[GIO]]="X",TabellaA1[[#This Row],[VEN]]="X",),"X","")</f>
        <v/>
      </c>
      <c r="D70" s="168" t="s">
        <v>143</v>
      </c>
      <c r="E70" s="170" t="s">
        <v>373</v>
      </c>
      <c r="F70" s="170">
        <v>400</v>
      </c>
      <c r="G70" s="170" t="s">
        <v>374</v>
      </c>
      <c r="H70" s="171"/>
      <c r="I70" s="171"/>
      <c r="J70" s="171"/>
      <c r="K70" s="171"/>
      <c r="L70" s="169"/>
      <c r="M70" s="129" t="s">
        <v>52</v>
      </c>
      <c r="N70" s="129"/>
      <c r="O70" s="172"/>
      <c r="P70" s="172"/>
      <c r="Q70" s="129" t="s">
        <v>375</v>
      </c>
      <c r="R70" s="129">
        <v>45722</v>
      </c>
      <c r="S70" s="129" t="s">
        <v>254</v>
      </c>
      <c r="T70" s="173" t="str">
        <f ca="1">IF(AND('Inserimento dati'!$B$3=$H$2, TabellaA1[[#This Row],[LUN]]="X"), "X",IF(AND('Inserimento dati'!$B$3=$I$2, TabellaA1[[#This Row],[MAR]]="X"), "X", IF(AND('Inserimento dati'!$B$3=$J$2, TabellaA1[[#This Row],[MER]]="X"), "X",IF(AND('Inserimento dati'!$B$3=$K$2, TabellaA1[[#This Row],[GIO]]="X"), "X", IF(AND('Inserimento dati'!$B$3=$L$2, TabellaA1[[#This Row],[VEN]]="X"), "X","")))))</f>
        <v/>
      </c>
      <c r="U70" s="139" t="str">
        <f t="shared" ca="1" si="2"/>
        <v/>
      </c>
    </row>
    <row r="71" spans="1:21" ht="30" x14ac:dyDescent="0.25">
      <c r="A71" s="167"/>
      <c r="B71" s="167" t="str">
        <f t="shared" si="3"/>
        <v>X</v>
      </c>
      <c r="C71" s="167" t="str">
        <f>IF(OR(TabellaA1[[#This Row],[LUN]]="X",TabellaA1[[#This Row],[MAR]]="X",TabellaA1[[#This Row],[MER]]="X",TabellaA1[[#This Row],[GIO]]="X",TabellaA1[[#This Row],[VEN]]="X",),"X","")</f>
        <v/>
      </c>
      <c r="D71" s="168" t="s">
        <v>143</v>
      </c>
      <c r="E71" s="170" t="s">
        <v>376</v>
      </c>
      <c r="F71" s="170">
        <v>300</v>
      </c>
      <c r="G71" s="170" t="s">
        <v>377</v>
      </c>
      <c r="H71" s="171"/>
      <c r="I71" s="171"/>
      <c r="J71" s="171"/>
      <c r="K71" s="171"/>
      <c r="L71" s="169"/>
      <c r="M71" s="129" t="s">
        <v>52</v>
      </c>
      <c r="N71" s="129"/>
      <c r="O71" s="172"/>
      <c r="P71" s="172"/>
      <c r="Q71" s="129" t="s">
        <v>378</v>
      </c>
      <c r="R71" s="129">
        <v>45716</v>
      </c>
      <c r="S71" s="129" t="s">
        <v>254</v>
      </c>
      <c r="T71" s="173" t="str">
        <f ca="1">IF(AND('Inserimento dati'!$B$3=$H$2, TabellaA1[[#This Row],[LUN]]="X"), "X",IF(AND('Inserimento dati'!$B$3=$I$2, TabellaA1[[#This Row],[MAR]]="X"), "X", IF(AND('Inserimento dati'!$B$3=$J$2, TabellaA1[[#This Row],[MER]]="X"), "X",IF(AND('Inserimento dati'!$B$3=$K$2, TabellaA1[[#This Row],[GIO]]="X"), "X", IF(AND('Inserimento dati'!$B$3=$L$2, TabellaA1[[#This Row],[VEN]]="X"), "X","")))))</f>
        <v/>
      </c>
      <c r="U71" s="139" t="str">
        <f t="shared" ca="1" si="2"/>
        <v/>
      </c>
    </row>
    <row r="72" spans="1:21" ht="30" x14ac:dyDescent="0.25">
      <c r="A72" s="167"/>
      <c r="B72" s="167" t="str">
        <f t="shared" si="3"/>
        <v>X</v>
      </c>
      <c r="C72" s="167" t="str">
        <f>IF(OR(TabellaA1[[#This Row],[LUN]]="X",TabellaA1[[#This Row],[MAR]]="X",TabellaA1[[#This Row],[MER]]="X",TabellaA1[[#This Row],[GIO]]="X",TabellaA1[[#This Row],[VEN]]="X",),"X","")</f>
        <v/>
      </c>
      <c r="D72" s="168" t="s">
        <v>143</v>
      </c>
      <c r="E72" s="170" t="s">
        <v>379</v>
      </c>
      <c r="F72" s="170">
        <v>400</v>
      </c>
      <c r="G72" s="170" t="s">
        <v>380</v>
      </c>
      <c r="H72" s="171"/>
      <c r="I72" s="171"/>
      <c r="J72" s="171"/>
      <c r="K72" s="171"/>
      <c r="L72" s="169"/>
      <c r="M72" s="129" t="s">
        <v>52</v>
      </c>
      <c r="N72" s="129"/>
      <c r="O72" s="172"/>
      <c r="P72" s="172"/>
      <c r="Q72" s="129" t="s">
        <v>381</v>
      </c>
      <c r="R72" s="129">
        <v>45716</v>
      </c>
      <c r="S72" s="129" t="s">
        <v>254</v>
      </c>
      <c r="T72" s="173" t="str">
        <f ca="1">IF(AND('Inserimento dati'!$B$3=$H$2, TabellaA1[[#This Row],[LUN]]="X"), "X",IF(AND('Inserimento dati'!$B$3=$I$2, TabellaA1[[#This Row],[MAR]]="X"), "X", IF(AND('Inserimento dati'!$B$3=$J$2, TabellaA1[[#This Row],[MER]]="X"), "X",IF(AND('Inserimento dati'!$B$3=$K$2, TabellaA1[[#This Row],[GIO]]="X"), "X", IF(AND('Inserimento dati'!$B$3=$L$2, TabellaA1[[#This Row],[VEN]]="X"), "X","")))))</f>
        <v/>
      </c>
      <c r="U72" s="139" t="str">
        <f t="shared" ca="1" si="2"/>
        <v/>
      </c>
    </row>
    <row r="73" spans="1:21" ht="30" x14ac:dyDescent="0.25">
      <c r="A73" s="167"/>
      <c r="B73" s="167" t="str">
        <f t="shared" si="3"/>
        <v>X</v>
      </c>
      <c r="C73" s="167" t="str">
        <f>IF(OR(TabellaA1[[#This Row],[LUN]]="X",TabellaA1[[#This Row],[MAR]]="X",TabellaA1[[#This Row],[MER]]="X",TabellaA1[[#This Row],[GIO]]="X",TabellaA1[[#This Row],[VEN]]="X",),"X","")</f>
        <v/>
      </c>
      <c r="D73" s="168" t="s">
        <v>143</v>
      </c>
      <c r="E73" s="170" t="s">
        <v>382</v>
      </c>
      <c r="F73" s="170">
        <v>400</v>
      </c>
      <c r="G73" s="170" t="s">
        <v>383</v>
      </c>
      <c r="H73" s="171"/>
      <c r="I73" s="171"/>
      <c r="J73" s="171"/>
      <c r="K73" s="171"/>
      <c r="L73" s="169"/>
      <c r="M73" s="129" t="s">
        <v>52</v>
      </c>
      <c r="N73" s="129"/>
      <c r="O73" s="172"/>
      <c r="P73" s="172"/>
      <c r="Q73" s="129" t="s">
        <v>384</v>
      </c>
      <c r="R73" s="129">
        <v>45716</v>
      </c>
      <c r="S73" s="129" t="s">
        <v>254</v>
      </c>
      <c r="T73" s="173" t="str">
        <f ca="1">IF(AND('Inserimento dati'!$B$3=$H$2, TabellaA1[[#This Row],[LUN]]="X"), "X",IF(AND('Inserimento dati'!$B$3=$I$2, TabellaA1[[#This Row],[MAR]]="X"), "X", IF(AND('Inserimento dati'!$B$3=$J$2, TabellaA1[[#This Row],[MER]]="X"), "X",IF(AND('Inserimento dati'!$B$3=$K$2, TabellaA1[[#This Row],[GIO]]="X"), "X", IF(AND('Inserimento dati'!$B$3=$L$2, TabellaA1[[#This Row],[VEN]]="X"), "X","")))))</f>
        <v/>
      </c>
      <c r="U73" s="139" t="str">
        <f t="shared" ca="1" si="2"/>
        <v/>
      </c>
    </row>
    <row r="74" spans="1:21" ht="30" x14ac:dyDescent="0.25">
      <c r="A74" s="167"/>
      <c r="B74" s="167" t="str">
        <f t="shared" si="3"/>
        <v>X</v>
      </c>
      <c r="C74" s="167" t="str">
        <f>IF(OR(TabellaA1[[#This Row],[LUN]]="X",TabellaA1[[#This Row],[MAR]]="X",TabellaA1[[#This Row],[MER]]="X",TabellaA1[[#This Row],[GIO]]="X",TabellaA1[[#This Row],[VEN]]="X",),"X","")</f>
        <v/>
      </c>
      <c r="D74" s="168" t="s">
        <v>143</v>
      </c>
      <c r="E74" s="170" t="s">
        <v>385</v>
      </c>
      <c r="F74" s="170">
        <v>100</v>
      </c>
      <c r="G74" s="170" t="s">
        <v>386</v>
      </c>
      <c r="H74" s="171"/>
      <c r="I74" s="171"/>
      <c r="J74" s="171"/>
      <c r="K74" s="171"/>
      <c r="L74" s="169"/>
      <c r="M74" s="129" t="s">
        <v>52</v>
      </c>
      <c r="N74" s="129" t="s">
        <v>8</v>
      </c>
      <c r="O74" s="172"/>
      <c r="P74" s="172"/>
      <c r="Q74" s="129" t="s">
        <v>329</v>
      </c>
      <c r="R74" s="129">
        <v>45715</v>
      </c>
      <c r="S74" s="129" t="s">
        <v>238</v>
      </c>
      <c r="T74" s="173" t="str">
        <f ca="1">IF(AND('Inserimento dati'!$B$3=$H$2, TabellaA1[[#This Row],[LUN]]="X"), "X",IF(AND('Inserimento dati'!$B$3=$I$2, TabellaA1[[#This Row],[MAR]]="X"), "X", IF(AND('Inserimento dati'!$B$3=$J$2, TabellaA1[[#This Row],[MER]]="X"), "X",IF(AND('Inserimento dati'!$B$3=$K$2, TabellaA1[[#This Row],[GIO]]="X"), "X", IF(AND('Inserimento dati'!$B$3=$L$2, TabellaA1[[#This Row],[VEN]]="X"), "X","")))))</f>
        <v/>
      </c>
      <c r="U74" s="139" t="str">
        <f t="shared" ref="U74:U105" ca="1" si="4">IFERROR(MID(G74,_xlfn.AGGREGATE(15,6,(ROW(INDIRECT("1:"&amp;LEN(G74)-7)))/(ISNUMBER(--MID(G74,ROW(INDIRECT("1:"&amp;LEN(G74)-7)),8))),1),8),"")</f>
        <v/>
      </c>
    </row>
    <row r="75" spans="1:21" ht="30" x14ac:dyDescent="0.25">
      <c r="A75" s="167"/>
      <c r="B75" s="167" t="str">
        <f t="shared" si="3"/>
        <v>X</v>
      </c>
      <c r="C75" s="167" t="str">
        <f>IF(OR(TabellaA1[[#This Row],[LUN]]="X",TabellaA1[[#This Row],[MAR]]="X",TabellaA1[[#This Row],[MER]]="X",TabellaA1[[#This Row],[GIO]]="X",TabellaA1[[#This Row],[VEN]]="X",),"X","")</f>
        <v/>
      </c>
      <c r="D75" s="168" t="s">
        <v>143</v>
      </c>
      <c r="E75" s="170" t="s">
        <v>387</v>
      </c>
      <c r="F75" s="170">
        <v>200</v>
      </c>
      <c r="G75" s="170" t="s">
        <v>388</v>
      </c>
      <c r="H75" s="171"/>
      <c r="I75" s="171"/>
      <c r="J75" s="171"/>
      <c r="K75" s="171"/>
      <c r="L75" s="169"/>
      <c r="M75" s="129" t="s">
        <v>52</v>
      </c>
      <c r="N75" s="129"/>
      <c r="O75" s="172"/>
      <c r="P75" s="172"/>
      <c r="Q75" s="129" t="s">
        <v>389</v>
      </c>
      <c r="R75" s="129">
        <v>45715</v>
      </c>
      <c r="S75" s="129" t="s">
        <v>254</v>
      </c>
      <c r="T75" s="173" t="str">
        <f ca="1">IF(AND('Inserimento dati'!$B$3=$H$2, TabellaA1[[#This Row],[LUN]]="X"), "X",IF(AND('Inserimento dati'!$B$3=$I$2, TabellaA1[[#This Row],[MAR]]="X"), "X", IF(AND('Inserimento dati'!$B$3=$J$2, TabellaA1[[#This Row],[MER]]="X"), "X",IF(AND('Inserimento dati'!$B$3=$K$2, TabellaA1[[#This Row],[GIO]]="X"), "X", IF(AND('Inserimento dati'!$B$3=$L$2, TabellaA1[[#This Row],[VEN]]="X"), "X","")))))</f>
        <v/>
      </c>
      <c r="U75" s="139" t="str">
        <f t="shared" ca="1" si="4"/>
        <v/>
      </c>
    </row>
    <row r="76" spans="1:21" ht="30" x14ac:dyDescent="0.25">
      <c r="A76" s="167"/>
      <c r="B76" s="167" t="str">
        <f t="shared" si="3"/>
        <v>X</v>
      </c>
      <c r="C76" s="167" t="str">
        <f>IF(OR(TabellaA1[[#This Row],[LUN]]="X",TabellaA1[[#This Row],[MAR]]="X",TabellaA1[[#This Row],[MER]]="X",TabellaA1[[#This Row],[GIO]]="X",TabellaA1[[#This Row],[VEN]]="X",),"X","")</f>
        <v/>
      </c>
      <c r="D76" s="168" t="s">
        <v>143</v>
      </c>
      <c r="E76" s="170" t="s">
        <v>390</v>
      </c>
      <c r="F76" s="170">
        <v>100</v>
      </c>
      <c r="G76" s="170" t="s">
        <v>391</v>
      </c>
      <c r="H76" s="171"/>
      <c r="I76" s="171"/>
      <c r="J76" s="171"/>
      <c r="K76" s="171"/>
      <c r="L76" s="169"/>
      <c r="M76" s="129" t="s">
        <v>52</v>
      </c>
      <c r="N76" s="129"/>
      <c r="O76" s="172"/>
      <c r="P76" s="172"/>
      <c r="Q76" s="129" t="s">
        <v>392</v>
      </c>
      <c r="R76" s="129">
        <v>45713</v>
      </c>
      <c r="S76" s="129" t="s">
        <v>254</v>
      </c>
      <c r="T76" s="173" t="str">
        <f ca="1">IF(AND('Inserimento dati'!$B$3=$H$2, TabellaA1[[#This Row],[LUN]]="X"), "X",IF(AND('Inserimento dati'!$B$3=$I$2, TabellaA1[[#This Row],[MAR]]="X"), "X", IF(AND('Inserimento dati'!$B$3=$J$2, TabellaA1[[#This Row],[MER]]="X"), "X",IF(AND('Inserimento dati'!$B$3=$K$2, TabellaA1[[#This Row],[GIO]]="X"), "X", IF(AND('Inserimento dati'!$B$3=$L$2, TabellaA1[[#This Row],[VEN]]="X"), "X","")))))</f>
        <v/>
      </c>
      <c r="U76" s="139" t="str">
        <f t="shared" ca="1" si="4"/>
        <v/>
      </c>
    </row>
    <row r="77" spans="1:21" ht="30" x14ac:dyDescent="0.25">
      <c r="A77" s="167"/>
      <c r="B77" s="167" t="str">
        <f t="shared" si="3"/>
        <v>X</v>
      </c>
      <c r="C77" s="167" t="str">
        <f>IF(OR(TabellaA1[[#This Row],[LUN]]="X",TabellaA1[[#This Row],[MAR]]="X",TabellaA1[[#This Row],[MER]]="X",TabellaA1[[#This Row],[GIO]]="X",TabellaA1[[#This Row],[VEN]]="X",),"X","")</f>
        <v/>
      </c>
      <c r="D77" s="168" t="s">
        <v>143</v>
      </c>
      <c r="E77" s="170" t="s">
        <v>393</v>
      </c>
      <c r="F77" s="170">
        <v>100</v>
      </c>
      <c r="G77" s="170" t="s">
        <v>394</v>
      </c>
      <c r="H77" s="171"/>
      <c r="I77" s="171"/>
      <c r="J77" s="171"/>
      <c r="K77" s="171"/>
      <c r="L77" s="169"/>
      <c r="M77" s="129" t="s">
        <v>52</v>
      </c>
      <c r="N77" s="129"/>
      <c r="O77" s="172"/>
      <c r="P77" s="172"/>
      <c r="Q77" s="129" t="s">
        <v>395</v>
      </c>
      <c r="R77" s="129">
        <v>45714</v>
      </c>
      <c r="S77" s="129" t="s">
        <v>11</v>
      </c>
      <c r="T77" s="173" t="str">
        <f ca="1">IF(AND('Inserimento dati'!$B$3=$H$2, TabellaA1[[#This Row],[LUN]]="X"), "X",IF(AND('Inserimento dati'!$B$3=$I$2, TabellaA1[[#This Row],[MAR]]="X"), "X", IF(AND('Inserimento dati'!$B$3=$J$2, TabellaA1[[#This Row],[MER]]="X"), "X",IF(AND('Inserimento dati'!$B$3=$K$2, TabellaA1[[#This Row],[GIO]]="X"), "X", IF(AND('Inserimento dati'!$B$3=$L$2, TabellaA1[[#This Row],[VEN]]="X"), "X","")))))</f>
        <v/>
      </c>
      <c r="U77" s="139" t="str">
        <f t="shared" ca="1" si="4"/>
        <v/>
      </c>
    </row>
    <row r="78" spans="1:21" ht="30" x14ac:dyDescent="0.25">
      <c r="A78" s="167"/>
      <c r="B78" s="167" t="str">
        <f t="shared" si="3"/>
        <v>X</v>
      </c>
      <c r="C78" s="167" t="str">
        <f>IF(OR(TabellaA1[[#This Row],[LUN]]="X",TabellaA1[[#This Row],[MAR]]="X",TabellaA1[[#This Row],[MER]]="X",TabellaA1[[#This Row],[GIO]]="X",TabellaA1[[#This Row],[VEN]]="X",),"X","")</f>
        <v/>
      </c>
      <c r="D78" s="168" t="s">
        <v>143</v>
      </c>
      <c r="E78" s="170" t="s">
        <v>396</v>
      </c>
      <c r="F78" s="170">
        <v>100</v>
      </c>
      <c r="G78" s="170" t="s">
        <v>397</v>
      </c>
      <c r="H78" s="171"/>
      <c r="I78" s="171"/>
      <c r="J78" s="171"/>
      <c r="K78" s="171"/>
      <c r="L78" s="169"/>
      <c r="M78" s="129" t="s">
        <v>52</v>
      </c>
      <c r="N78" s="129"/>
      <c r="O78" s="172"/>
      <c r="P78" s="172"/>
      <c r="Q78" s="129" t="s">
        <v>398</v>
      </c>
      <c r="R78" s="129">
        <v>45714</v>
      </c>
      <c r="S78" s="129" t="s">
        <v>11</v>
      </c>
      <c r="T78" s="173" t="str">
        <f ca="1">IF(AND('Inserimento dati'!$B$3=$H$2, TabellaA1[[#This Row],[LUN]]="X"), "X",IF(AND('Inserimento dati'!$B$3=$I$2, TabellaA1[[#This Row],[MAR]]="X"), "X", IF(AND('Inserimento dati'!$B$3=$J$2, TabellaA1[[#This Row],[MER]]="X"), "X",IF(AND('Inserimento dati'!$B$3=$K$2, TabellaA1[[#This Row],[GIO]]="X"), "X", IF(AND('Inserimento dati'!$B$3=$L$2, TabellaA1[[#This Row],[VEN]]="X"), "X","")))))</f>
        <v/>
      </c>
      <c r="U78" s="139" t="str">
        <f t="shared" ca="1" si="4"/>
        <v/>
      </c>
    </row>
    <row r="79" spans="1:21" ht="30" x14ac:dyDescent="0.25">
      <c r="A79" s="167"/>
      <c r="B79" s="167" t="str">
        <f t="shared" ref="B79:B110" si="5">IF(OR(A79="x",A79="X"),"",IF(ISBLANK(A79),"X",""))</f>
        <v>X</v>
      </c>
      <c r="C79" s="167" t="str">
        <f>IF(OR(TabellaA1[[#This Row],[LUN]]="X",TabellaA1[[#This Row],[MAR]]="X",TabellaA1[[#This Row],[MER]]="X",TabellaA1[[#This Row],[GIO]]="X",TabellaA1[[#This Row],[VEN]]="X",),"X","")</f>
        <v/>
      </c>
      <c r="D79" s="168" t="s">
        <v>143</v>
      </c>
      <c r="E79" s="170" t="s">
        <v>399</v>
      </c>
      <c r="F79" s="170">
        <v>100</v>
      </c>
      <c r="G79" s="170" t="s">
        <v>400</v>
      </c>
      <c r="H79" s="171"/>
      <c r="I79" s="171"/>
      <c r="J79" s="171"/>
      <c r="K79" s="171"/>
      <c r="L79" s="169"/>
      <c r="M79" s="129" t="s">
        <v>52</v>
      </c>
      <c r="N79" s="129"/>
      <c r="O79" s="172"/>
      <c r="P79" s="172"/>
      <c r="Q79" s="129" t="s">
        <v>401</v>
      </c>
      <c r="R79" s="129">
        <v>45712</v>
      </c>
      <c r="S79" s="129" t="s">
        <v>38</v>
      </c>
      <c r="T79" s="173" t="str">
        <f ca="1">IF(AND('Inserimento dati'!$B$3=$H$2, TabellaA1[[#This Row],[LUN]]="X"), "X",IF(AND('Inserimento dati'!$B$3=$I$2, TabellaA1[[#This Row],[MAR]]="X"), "X", IF(AND('Inserimento dati'!$B$3=$J$2, TabellaA1[[#This Row],[MER]]="X"), "X",IF(AND('Inserimento dati'!$B$3=$K$2, TabellaA1[[#This Row],[GIO]]="X"), "X", IF(AND('Inserimento dati'!$B$3=$L$2, TabellaA1[[#This Row],[VEN]]="X"), "X","")))))</f>
        <v/>
      </c>
      <c r="U79" s="139" t="str">
        <f t="shared" ca="1" si="4"/>
        <v/>
      </c>
    </row>
    <row r="80" spans="1:21" ht="30" x14ac:dyDescent="0.25">
      <c r="A80" s="167"/>
      <c r="B80" s="167" t="str">
        <f t="shared" si="5"/>
        <v>X</v>
      </c>
      <c r="C80" s="167" t="str">
        <f>IF(OR(TabellaA1[[#This Row],[LUN]]="X",TabellaA1[[#This Row],[MAR]]="X",TabellaA1[[#This Row],[MER]]="X",TabellaA1[[#This Row],[GIO]]="X",TabellaA1[[#This Row],[VEN]]="X",),"X","")</f>
        <v/>
      </c>
      <c r="D80" s="168" t="s">
        <v>143</v>
      </c>
      <c r="E80" s="170" t="s">
        <v>402</v>
      </c>
      <c r="F80" s="170">
        <v>300</v>
      </c>
      <c r="G80" s="170" t="s">
        <v>403</v>
      </c>
      <c r="H80" s="171"/>
      <c r="I80" s="171"/>
      <c r="J80" s="171"/>
      <c r="K80" s="171"/>
      <c r="L80" s="169"/>
      <c r="M80" s="129" t="s">
        <v>52</v>
      </c>
      <c r="N80" s="129"/>
      <c r="O80" s="172" t="s">
        <v>8</v>
      </c>
      <c r="P80" s="172"/>
      <c r="Q80" s="129" t="s">
        <v>404</v>
      </c>
      <c r="R80" s="129">
        <v>45712</v>
      </c>
      <c r="S80" s="129" t="s">
        <v>254</v>
      </c>
      <c r="T80" s="173" t="str">
        <f ca="1">IF(AND('Inserimento dati'!$B$3=$H$2, TabellaA1[[#This Row],[LUN]]="X"), "X",IF(AND('Inserimento dati'!$B$3=$I$2, TabellaA1[[#This Row],[MAR]]="X"), "X", IF(AND('Inserimento dati'!$B$3=$J$2, TabellaA1[[#This Row],[MER]]="X"), "X",IF(AND('Inserimento dati'!$B$3=$K$2, TabellaA1[[#This Row],[GIO]]="X"), "X", IF(AND('Inserimento dati'!$B$3=$L$2, TabellaA1[[#This Row],[VEN]]="X"), "X","")))))</f>
        <v/>
      </c>
      <c r="U80" s="139" t="str">
        <f t="shared" ca="1" si="4"/>
        <v/>
      </c>
    </row>
    <row r="81" spans="1:21" ht="30" x14ac:dyDescent="0.25">
      <c r="A81" s="167"/>
      <c r="B81" s="167" t="str">
        <f t="shared" si="5"/>
        <v>X</v>
      </c>
      <c r="C81" s="167" t="str">
        <f>IF(OR(TabellaA1[[#This Row],[LUN]]="X",TabellaA1[[#This Row],[MAR]]="X",TabellaA1[[#This Row],[MER]]="X",TabellaA1[[#This Row],[GIO]]="X",TabellaA1[[#This Row],[VEN]]="X",),"X","")</f>
        <v/>
      </c>
      <c r="D81" s="168" t="s">
        <v>143</v>
      </c>
      <c r="E81" s="170" t="s">
        <v>405</v>
      </c>
      <c r="F81" s="170">
        <v>200</v>
      </c>
      <c r="G81" s="170" t="s">
        <v>406</v>
      </c>
      <c r="H81" s="171"/>
      <c r="I81" s="171"/>
      <c r="J81" s="171"/>
      <c r="K81" s="171"/>
      <c r="L81" s="169"/>
      <c r="M81" s="129" t="s">
        <v>52</v>
      </c>
      <c r="N81" s="129"/>
      <c r="O81" s="172"/>
      <c r="P81" s="172"/>
      <c r="Q81" s="129" t="s">
        <v>407</v>
      </c>
      <c r="R81" s="129">
        <v>45708</v>
      </c>
      <c r="S81" s="129" t="s">
        <v>408</v>
      </c>
      <c r="T81" s="173" t="str">
        <f ca="1">IF(AND('Inserimento dati'!$B$3=$H$2, TabellaA1[[#This Row],[LUN]]="X"), "X",IF(AND('Inserimento dati'!$B$3=$I$2, TabellaA1[[#This Row],[MAR]]="X"), "X", IF(AND('Inserimento dati'!$B$3=$J$2, TabellaA1[[#This Row],[MER]]="X"), "X",IF(AND('Inserimento dati'!$B$3=$K$2, TabellaA1[[#This Row],[GIO]]="X"), "X", IF(AND('Inserimento dati'!$B$3=$L$2, TabellaA1[[#This Row],[VEN]]="X"), "X","")))))</f>
        <v/>
      </c>
      <c r="U81" s="139" t="str">
        <f t="shared" ca="1" si="4"/>
        <v/>
      </c>
    </row>
    <row r="82" spans="1:21" ht="30" x14ac:dyDescent="0.25">
      <c r="A82" s="167"/>
      <c r="B82" s="167" t="str">
        <f t="shared" si="5"/>
        <v>X</v>
      </c>
      <c r="C82" s="167" t="str">
        <f>IF(OR(TabellaA1[[#This Row],[LUN]]="X",TabellaA1[[#This Row],[MAR]]="X",TabellaA1[[#This Row],[MER]]="X",TabellaA1[[#This Row],[GIO]]="X",TabellaA1[[#This Row],[VEN]]="X",),"X","")</f>
        <v/>
      </c>
      <c r="D82" s="168" t="s">
        <v>143</v>
      </c>
      <c r="E82" s="170" t="s">
        <v>409</v>
      </c>
      <c r="F82" s="170">
        <v>400</v>
      </c>
      <c r="G82" s="170" t="s">
        <v>410</v>
      </c>
      <c r="H82" s="171"/>
      <c r="I82" s="171"/>
      <c r="J82" s="171"/>
      <c r="K82" s="171"/>
      <c r="L82" s="169"/>
      <c r="M82" s="129" t="s">
        <v>52</v>
      </c>
      <c r="N82" s="129"/>
      <c r="O82" s="172"/>
      <c r="P82" s="172"/>
      <c r="Q82" s="129" t="s">
        <v>411</v>
      </c>
      <c r="R82" s="129">
        <v>45708</v>
      </c>
      <c r="S82" s="129" t="s">
        <v>9</v>
      </c>
      <c r="T82" s="173" t="str">
        <f ca="1">IF(AND('Inserimento dati'!$B$3=$H$2, TabellaA1[[#This Row],[LUN]]="X"), "X",IF(AND('Inserimento dati'!$B$3=$I$2, TabellaA1[[#This Row],[MAR]]="X"), "X", IF(AND('Inserimento dati'!$B$3=$J$2, TabellaA1[[#This Row],[MER]]="X"), "X",IF(AND('Inserimento dati'!$B$3=$K$2, TabellaA1[[#This Row],[GIO]]="X"), "X", IF(AND('Inserimento dati'!$B$3=$L$2, TabellaA1[[#This Row],[VEN]]="X"), "X","")))))</f>
        <v/>
      </c>
      <c r="U82" s="139" t="str">
        <f t="shared" ca="1" si="4"/>
        <v/>
      </c>
    </row>
    <row r="83" spans="1:21" ht="30" x14ac:dyDescent="0.25">
      <c r="A83" s="167"/>
      <c r="B83" s="167" t="str">
        <f t="shared" si="5"/>
        <v>X</v>
      </c>
      <c r="C83" s="167" t="str">
        <f>IF(OR(TabellaA1[[#This Row],[LUN]]="X",TabellaA1[[#This Row],[MAR]]="X",TabellaA1[[#This Row],[MER]]="X",TabellaA1[[#This Row],[GIO]]="X",TabellaA1[[#This Row],[VEN]]="X",),"X","")</f>
        <v/>
      </c>
      <c r="D83" s="168" t="s">
        <v>143</v>
      </c>
      <c r="E83" s="170" t="s">
        <v>412</v>
      </c>
      <c r="F83" s="170">
        <v>400</v>
      </c>
      <c r="G83" s="170" t="s">
        <v>413</v>
      </c>
      <c r="H83" s="171"/>
      <c r="I83" s="171"/>
      <c r="J83" s="171"/>
      <c r="K83" s="171"/>
      <c r="L83" s="169"/>
      <c r="M83" s="129" t="s">
        <v>52</v>
      </c>
      <c r="N83" s="129"/>
      <c r="O83" s="172"/>
      <c r="P83" s="172"/>
      <c r="Q83" s="129" t="s">
        <v>414</v>
      </c>
      <c r="R83" s="129">
        <v>45708</v>
      </c>
      <c r="S83" s="129" t="s">
        <v>254</v>
      </c>
      <c r="T83" s="173" t="str">
        <f ca="1">IF(AND('Inserimento dati'!$B$3=$H$2, TabellaA1[[#This Row],[LUN]]="X"), "X",IF(AND('Inserimento dati'!$B$3=$I$2, TabellaA1[[#This Row],[MAR]]="X"), "X", IF(AND('Inserimento dati'!$B$3=$J$2, TabellaA1[[#This Row],[MER]]="X"), "X",IF(AND('Inserimento dati'!$B$3=$K$2, TabellaA1[[#This Row],[GIO]]="X"), "X", IF(AND('Inserimento dati'!$B$3=$L$2, TabellaA1[[#This Row],[VEN]]="X"), "X","")))))</f>
        <v/>
      </c>
      <c r="U83" s="139" t="str">
        <f t="shared" ca="1" si="4"/>
        <v/>
      </c>
    </row>
    <row r="84" spans="1:21" ht="30" x14ac:dyDescent="0.25">
      <c r="A84" s="167"/>
      <c r="B84" s="167" t="str">
        <f t="shared" si="5"/>
        <v>X</v>
      </c>
      <c r="C84" s="167" t="str">
        <f>IF(OR(TabellaA1[[#This Row],[LUN]]="X",TabellaA1[[#This Row],[MAR]]="X",TabellaA1[[#This Row],[MER]]="X",TabellaA1[[#This Row],[GIO]]="X",TabellaA1[[#This Row],[VEN]]="X",),"X","")</f>
        <v/>
      </c>
      <c r="D84" s="168" t="s">
        <v>143</v>
      </c>
      <c r="E84" s="170" t="s">
        <v>415</v>
      </c>
      <c r="F84" s="170">
        <v>300</v>
      </c>
      <c r="G84" s="170" t="s">
        <v>416</v>
      </c>
      <c r="H84" s="171"/>
      <c r="I84" s="171"/>
      <c r="J84" s="171"/>
      <c r="K84" s="171"/>
      <c r="L84" s="169"/>
      <c r="M84" s="129" t="s">
        <v>52</v>
      </c>
      <c r="N84" s="129"/>
      <c r="O84" s="172"/>
      <c r="P84" s="172"/>
      <c r="Q84" s="129" t="s">
        <v>417</v>
      </c>
      <c r="R84" s="129">
        <v>45706</v>
      </c>
      <c r="S84" s="129" t="s">
        <v>9</v>
      </c>
      <c r="T84" s="173" t="str">
        <f ca="1">IF(AND('Inserimento dati'!$B$3=$H$2, TabellaA1[[#This Row],[LUN]]="X"), "X",IF(AND('Inserimento dati'!$B$3=$I$2, TabellaA1[[#This Row],[MAR]]="X"), "X", IF(AND('Inserimento dati'!$B$3=$J$2, TabellaA1[[#This Row],[MER]]="X"), "X",IF(AND('Inserimento dati'!$B$3=$K$2, TabellaA1[[#This Row],[GIO]]="X"), "X", IF(AND('Inserimento dati'!$B$3=$L$2, TabellaA1[[#This Row],[VEN]]="X"), "X","")))))</f>
        <v/>
      </c>
      <c r="U84" s="139" t="str">
        <f t="shared" ca="1" si="4"/>
        <v/>
      </c>
    </row>
    <row r="85" spans="1:21" ht="30" x14ac:dyDescent="0.25">
      <c r="A85" s="167"/>
      <c r="B85" s="167" t="str">
        <f t="shared" si="5"/>
        <v>X</v>
      </c>
      <c r="C85" s="167" t="str">
        <f>IF(OR(TabellaA1[[#This Row],[LUN]]="X",TabellaA1[[#This Row],[MAR]]="X",TabellaA1[[#This Row],[MER]]="X",TabellaA1[[#This Row],[GIO]]="X",TabellaA1[[#This Row],[VEN]]="X",),"X","")</f>
        <v/>
      </c>
      <c r="D85" s="168" t="s">
        <v>143</v>
      </c>
      <c r="E85" s="170" t="s">
        <v>418</v>
      </c>
      <c r="F85" s="170">
        <v>300</v>
      </c>
      <c r="G85" s="170" t="s">
        <v>419</v>
      </c>
      <c r="H85" s="171"/>
      <c r="I85" s="171"/>
      <c r="J85" s="171"/>
      <c r="K85" s="171"/>
      <c r="L85" s="169"/>
      <c r="M85" s="129" t="s">
        <v>52</v>
      </c>
      <c r="N85" s="129"/>
      <c r="O85" s="172"/>
      <c r="P85" s="172"/>
      <c r="Q85" s="129" t="s">
        <v>420</v>
      </c>
      <c r="R85" s="129">
        <v>45706</v>
      </c>
      <c r="S85" s="129" t="s">
        <v>9</v>
      </c>
      <c r="T85" s="173" t="str">
        <f ca="1">IF(AND('Inserimento dati'!$B$3=$H$2, TabellaA1[[#This Row],[LUN]]="X"), "X",IF(AND('Inserimento dati'!$B$3=$I$2, TabellaA1[[#This Row],[MAR]]="X"), "X", IF(AND('Inserimento dati'!$B$3=$J$2, TabellaA1[[#This Row],[MER]]="X"), "X",IF(AND('Inserimento dati'!$B$3=$K$2, TabellaA1[[#This Row],[GIO]]="X"), "X", IF(AND('Inserimento dati'!$B$3=$L$2, TabellaA1[[#This Row],[VEN]]="X"), "X","")))))</f>
        <v/>
      </c>
      <c r="U85" s="139" t="str">
        <f t="shared" ca="1" si="4"/>
        <v/>
      </c>
    </row>
    <row r="86" spans="1:21" ht="30" x14ac:dyDescent="0.25">
      <c r="A86" s="167"/>
      <c r="B86" s="167" t="str">
        <f t="shared" si="5"/>
        <v>X</v>
      </c>
      <c r="C86" s="167" t="str">
        <f>IF(OR(TabellaA1[[#This Row],[LUN]]="X",TabellaA1[[#This Row],[MAR]]="X",TabellaA1[[#This Row],[MER]]="X",TabellaA1[[#This Row],[GIO]]="X",TabellaA1[[#This Row],[VEN]]="X",),"X","")</f>
        <v/>
      </c>
      <c r="D86" s="168" t="s">
        <v>143</v>
      </c>
      <c r="E86" s="170" t="s">
        <v>421</v>
      </c>
      <c r="F86" s="170">
        <v>100</v>
      </c>
      <c r="G86" s="170" t="s">
        <v>422</v>
      </c>
      <c r="H86" s="171"/>
      <c r="I86" s="171"/>
      <c r="J86" s="171"/>
      <c r="K86" s="171"/>
      <c r="L86" s="169"/>
      <c r="M86" s="129" t="s">
        <v>52</v>
      </c>
      <c r="N86" s="129" t="s">
        <v>8</v>
      </c>
      <c r="O86" s="172"/>
      <c r="P86" s="172"/>
      <c r="Q86" s="129" t="s">
        <v>329</v>
      </c>
      <c r="R86" s="129"/>
      <c r="S86" s="129" t="s">
        <v>238</v>
      </c>
      <c r="T86" s="173" t="str">
        <f ca="1">IF(AND('Inserimento dati'!$B$3=$H$2, TabellaA1[[#This Row],[LUN]]="X"), "X",IF(AND('Inserimento dati'!$B$3=$I$2, TabellaA1[[#This Row],[MAR]]="X"), "X", IF(AND('Inserimento dati'!$B$3=$J$2, TabellaA1[[#This Row],[MER]]="X"), "X",IF(AND('Inserimento dati'!$B$3=$K$2, TabellaA1[[#This Row],[GIO]]="X"), "X", IF(AND('Inserimento dati'!$B$3=$L$2, TabellaA1[[#This Row],[VEN]]="X"), "X","")))))</f>
        <v/>
      </c>
      <c r="U86" s="139" t="str">
        <f t="shared" ca="1" si="4"/>
        <v/>
      </c>
    </row>
    <row r="87" spans="1:21" ht="23.25" x14ac:dyDescent="0.25">
      <c r="A87" s="167"/>
      <c r="B87" s="167" t="str">
        <f t="shared" si="5"/>
        <v>X</v>
      </c>
      <c r="C87" s="167" t="str">
        <f>IF(OR(TabellaA1[[#This Row],[LUN]]="X",TabellaA1[[#This Row],[MAR]]="X",TabellaA1[[#This Row],[MER]]="X",TabellaA1[[#This Row],[GIO]]="X",TabellaA1[[#This Row],[VEN]]="X",),"X","")</f>
        <v/>
      </c>
      <c r="D87" s="168" t="s">
        <v>143</v>
      </c>
      <c r="E87" s="170" t="s">
        <v>423</v>
      </c>
      <c r="F87" s="170">
        <v>100</v>
      </c>
      <c r="G87" s="170" t="s">
        <v>424</v>
      </c>
      <c r="H87" s="171"/>
      <c r="I87" s="171"/>
      <c r="J87" s="171"/>
      <c r="K87" s="171"/>
      <c r="L87" s="169"/>
      <c r="M87" s="129" t="s">
        <v>52</v>
      </c>
      <c r="N87" s="129"/>
      <c r="O87" s="172"/>
      <c r="P87" s="172"/>
      <c r="Q87" s="129"/>
      <c r="R87" s="129"/>
      <c r="S87" s="129" t="s">
        <v>238</v>
      </c>
      <c r="T87" s="173" t="str">
        <f ca="1">IF(AND('Inserimento dati'!$B$3=$H$2, TabellaA1[[#This Row],[LUN]]="X"), "X",IF(AND('Inserimento dati'!$B$3=$I$2, TabellaA1[[#This Row],[MAR]]="X"), "X", IF(AND('Inserimento dati'!$B$3=$J$2, TabellaA1[[#This Row],[MER]]="X"), "X",IF(AND('Inserimento dati'!$B$3=$K$2, TabellaA1[[#This Row],[GIO]]="X"), "X", IF(AND('Inserimento dati'!$B$3=$L$2, TabellaA1[[#This Row],[VEN]]="X"), "X","")))))</f>
        <v/>
      </c>
      <c r="U87" s="139" t="str">
        <f t="shared" ca="1" si="4"/>
        <v/>
      </c>
    </row>
    <row r="88" spans="1:21" ht="30" x14ac:dyDescent="0.25">
      <c r="A88" s="167"/>
      <c r="B88" s="167" t="str">
        <f t="shared" si="5"/>
        <v>X</v>
      </c>
      <c r="C88" s="167" t="str">
        <f>IF(OR(TabellaA1[[#This Row],[LUN]]="X",TabellaA1[[#This Row],[MAR]]="X",TabellaA1[[#This Row],[MER]]="X",TabellaA1[[#This Row],[GIO]]="X",TabellaA1[[#This Row],[VEN]]="X",),"X","")</f>
        <v/>
      </c>
      <c r="D88" s="168" t="s">
        <v>143</v>
      </c>
      <c r="E88" s="170" t="s">
        <v>425</v>
      </c>
      <c r="F88" s="170">
        <v>100</v>
      </c>
      <c r="G88" s="170" t="s">
        <v>426</v>
      </c>
      <c r="H88" s="171"/>
      <c r="I88" s="171"/>
      <c r="J88" s="171"/>
      <c r="K88" s="171"/>
      <c r="L88" s="169"/>
      <c r="M88" s="129" t="s">
        <v>52</v>
      </c>
      <c r="N88" s="129"/>
      <c r="O88" s="172"/>
      <c r="P88" s="172"/>
      <c r="Q88" s="129" t="s">
        <v>427</v>
      </c>
      <c r="R88" s="129">
        <v>45705</v>
      </c>
      <c r="S88" s="129" t="s">
        <v>428</v>
      </c>
      <c r="T88" s="173" t="str">
        <f ca="1">IF(AND('Inserimento dati'!$B$3=$H$2, TabellaA1[[#This Row],[LUN]]="X"), "X",IF(AND('Inserimento dati'!$B$3=$I$2, TabellaA1[[#This Row],[MAR]]="X"), "X", IF(AND('Inserimento dati'!$B$3=$J$2, TabellaA1[[#This Row],[MER]]="X"), "X",IF(AND('Inserimento dati'!$B$3=$K$2, TabellaA1[[#This Row],[GIO]]="X"), "X", IF(AND('Inserimento dati'!$B$3=$L$2, TabellaA1[[#This Row],[VEN]]="X"), "X","")))))</f>
        <v/>
      </c>
      <c r="U88" s="139" t="str">
        <f t="shared" ca="1" si="4"/>
        <v/>
      </c>
    </row>
    <row r="89" spans="1:21" ht="23.25" x14ac:dyDescent="0.25">
      <c r="A89" s="167"/>
      <c r="B89" s="167" t="str">
        <f t="shared" si="5"/>
        <v>X</v>
      </c>
      <c r="C89" s="167" t="str">
        <f>IF(OR(TabellaA1[[#This Row],[LUN]]="X",TabellaA1[[#This Row],[MAR]]="X",TabellaA1[[#This Row],[MER]]="X",TabellaA1[[#This Row],[GIO]]="X",TabellaA1[[#This Row],[VEN]]="X",),"X","")</f>
        <v/>
      </c>
      <c r="D89" s="168" t="s">
        <v>143</v>
      </c>
      <c r="E89" s="170" t="s">
        <v>429</v>
      </c>
      <c r="F89" s="170">
        <v>400</v>
      </c>
      <c r="G89" s="170" t="s">
        <v>430</v>
      </c>
      <c r="H89" s="171"/>
      <c r="I89" s="171"/>
      <c r="J89" s="171"/>
      <c r="K89" s="171"/>
      <c r="L89" s="169"/>
      <c r="M89" s="129" t="s">
        <v>52</v>
      </c>
      <c r="N89" s="129"/>
      <c r="O89" s="172"/>
      <c r="P89" s="172"/>
      <c r="Q89" s="129" t="s">
        <v>431</v>
      </c>
      <c r="R89" s="129">
        <v>45705</v>
      </c>
      <c r="S89" s="129" t="s">
        <v>254</v>
      </c>
      <c r="T89" s="173" t="str">
        <f ca="1">IF(AND('Inserimento dati'!$B$3=$H$2, TabellaA1[[#This Row],[LUN]]="X"), "X",IF(AND('Inserimento dati'!$B$3=$I$2, TabellaA1[[#This Row],[MAR]]="X"), "X", IF(AND('Inserimento dati'!$B$3=$J$2, TabellaA1[[#This Row],[MER]]="X"), "X",IF(AND('Inserimento dati'!$B$3=$K$2, TabellaA1[[#This Row],[GIO]]="X"), "X", IF(AND('Inserimento dati'!$B$3=$L$2, TabellaA1[[#This Row],[VEN]]="X"), "X","")))))</f>
        <v/>
      </c>
      <c r="U89" s="139" t="str">
        <f t="shared" ca="1" si="4"/>
        <v/>
      </c>
    </row>
    <row r="90" spans="1:21" ht="30" x14ac:dyDescent="0.25">
      <c r="A90" s="167"/>
      <c r="B90" s="167" t="str">
        <f t="shared" si="5"/>
        <v>X</v>
      </c>
      <c r="C90" s="167" t="str">
        <f>IF(OR(TabellaA1[[#This Row],[LUN]]="X",TabellaA1[[#This Row],[MAR]]="X",TabellaA1[[#This Row],[MER]]="X",TabellaA1[[#This Row],[GIO]]="X",TabellaA1[[#This Row],[VEN]]="X",),"X","")</f>
        <v/>
      </c>
      <c r="D90" s="168" t="s">
        <v>143</v>
      </c>
      <c r="E90" s="170" t="s">
        <v>432</v>
      </c>
      <c r="F90" s="170">
        <v>100</v>
      </c>
      <c r="G90" s="170" t="s">
        <v>433</v>
      </c>
      <c r="H90" s="171"/>
      <c r="I90" s="171"/>
      <c r="J90" s="171"/>
      <c r="K90" s="171"/>
      <c r="L90" s="169"/>
      <c r="M90" s="129" t="s">
        <v>52</v>
      </c>
      <c r="N90" s="129"/>
      <c r="O90" s="172"/>
      <c r="P90" s="172"/>
      <c r="Q90" s="129" t="s">
        <v>434</v>
      </c>
      <c r="R90" s="129"/>
      <c r="S90" s="129"/>
      <c r="T90" s="173" t="str">
        <f ca="1">IF(AND('Inserimento dati'!$B$3=$H$2, TabellaA1[[#This Row],[LUN]]="X"), "X",IF(AND('Inserimento dati'!$B$3=$I$2, TabellaA1[[#This Row],[MAR]]="X"), "X", IF(AND('Inserimento dati'!$B$3=$J$2, TabellaA1[[#This Row],[MER]]="X"), "X",IF(AND('Inserimento dati'!$B$3=$K$2, TabellaA1[[#This Row],[GIO]]="X"), "X", IF(AND('Inserimento dati'!$B$3=$L$2, TabellaA1[[#This Row],[VEN]]="X"), "X","")))))</f>
        <v/>
      </c>
      <c r="U90" s="139" t="str">
        <f t="shared" ca="1" si="4"/>
        <v/>
      </c>
    </row>
    <row r="91" spans="1:21" ht="30" x14ac:dyDescent="0.25">
      <c r="A91" s="167"/>
      <c r="B91" s="167" t="str">
        <f t="shared" si="5"/>
        <v>X</v>
      </c>
      <c r="C91" s="167" t="str">
        <f>IF(OR(TabellaA1[[#This Row],[LUN]]="X",TabellaA1[[#This Row],[MAR]]="X",TabellaA1[[#This Row],[MER]]="X",TabellaA1[[#This Row],[GIO]]="X",TabellaA1[[#This Row],[VEN]]="X",),"X","")</f>
        <v/>
      </c>
      <c r="D91" s="168" t="s">
        <v>143</v>
      </c>
      <c r="E91" s="170" t="s">
        <v>435</v>
      </c>
      <c r="F91" s="170" t="s">
        <v>262</v>
      </c>
      <c r="G91" s="170" t="s">
        <v>436</v>
      </c>
      <c r="H91" s="171"/>
      <c r="I91" s="171"/>
      <c r="J91" s="171"/>
      <c r="K91" s="171"/>
      <c r="L91" s="169"/>
      <c r="M91" s="129" t="s">
        <v>52</v>
      </c>
      <c r="N91" s="129"/>
      <c r="O91" s="172"/>
      <c r="P91" s="172"/>
      <c r="Q91" s="129" t="s">
        <v>434</v>
      </c>
      <c r="R91" s="129"/>
      <c r="S91" s="129"/>
      <c r="T91" s="173" t="str">
        <f ca="1">IF(AND('Inserimento dati'!$B$3=$H$2, TabellaA1[[#This Row],[LUN]]="X"), "X",IF(AND('Inserimento dati'!$B$3=$I$2, TabellaA1[[#This Row],[MAR]]="X"), "X", IF(AND('Inserimento dati'!$B$3=$J$2, TabellaA1[[#This Row],[MER]]="X"), "X",IF(AND('Inserimento dati'!$B$3=$K$2, TabellaA1[[#This Row],[GIO]]="X"), "X", IF(AND('Inserimento dati'!$B$3=$L$2, TabellaA1[[#This Row],[VEN]]="X"), "X","")))))</f>
        <v/>
      </c>
      <c r="U91" s="139" t="str">
        <f t="shared" ca="1" si="4"/>
        <v/>
      </c>
    </row>
    <row r="92" spans="1:21" ht="30" x14ac:dyDescent="0.25">
      <c r="A92" s="167"/>
      <c r="B92" s="167" t="str">
        <f t="shared" si="5"/>
        <v>X</v>
      </c>
      <c r="C92" s="167" t="str">
        <f>IF(OR(TabellaA1[[#This Row],[LUN]]="X",TabellaA1[[#This Row],[MAR]]="X",TabellaA1[[#This Row],[MER]]="X",TabellaA1[[#This Row],[GIO]]="X",TabellaA1[[#This Row],[VEN]]="X",),"X","")</f>
        <v/>
      </c>
      <c r="D92" s="168" t="s">
        <v>143</v>
      </c>
      <c r="E92" s="170" t="s">
        <v>437</v>
      </c>
      <c r="F92" s="170">
        <v>100</v>
      </c>
      <c r="G92" s="170" t="s">
        <v>438</v>
      </c>
      <c r="H92" s="171"/>
      <c r="I92" s="171"/>
      <c r="J92" s="171"/>
      <c r="K92" s="171"/>
      <c r="L92" s="169"/>
      <c r="M92" s="129" t="s">
        <v>52</v>
      </c>
      <c r="N92" s="129"/>
      <c r="O92" s="172"/>
      <c r="P92" s="172"/>
      <c r="Q92" s="129" t="s">
        <v>434</v>
      </c>
      <c r="R92" s="129"/>
      <c r="S92" s="129"/>
      <c r="T92" s="173" t="str">
        <f ca="1">IF(AND('Inserimento dati'!$B$3=$H$2, TabellaA1[[#This Row],[LUN]]="X"), "X",IF(AND('Inserimento dati'!$B$3=$I$2, TabellaA1[[#This Row],[MAR]]="X"), "X", IF(AND('Inserimento dati'!$B$3=$J$2, TabellaA1[[#This Row],[MER]]="X"), "X",IF(AND('Inserimento dati'!$B$3=$K$2, TabellaA1[[#This Row],[GIO]]="X"), "X", IF(AND('Inserimento dati'!$B$3=$L$2, TabellaA1[[#This Row],[VEN]]="X"), "X","")))))</f>
        <v/>
      </c>
      <c r="U92" s="139" t="str">
        <f t="shared" ca="1" si="4"/>
        <v/>
      </c>
    </row>
    <row r="93" spans="1:21" ht="30" x14ac:dyDescent="0.25">
      <c r="A93" s="167"/>
      <c r="B93" s="167" t="str">
        <f t="shared" si="5"/>
        <v>X</v>
      </c>
      <c r="C93" s="167" t="str">
        <f>IF(OR(TabellaA1[[#This Row],[LUN]]="X",TabellaA1[[#This Row],[MAR]]="X",TabellaA1[[#This Row],[MER]]="X",TabellaA1[[#This Row],[GIO]]="X",TabellaA1[[#This Row],[VEN]]="X",),"X","")</f>
        <v/>
      </c>
      <c r="D93" s="168" t="s">
        <v>143</v>
      </c>
      <c r="E93" s="170" t="s">
        <v>439</v>
      </c>
      <c r="F93" s="170">
        <v>100</v>
      </c>
      <c r="G93" s="170" t="s">
        <v>440</v>
      </c>
      <c r="H93" s="171"/>
      <c r="I93" s="171"/>
      <c r="J93" s="171"/>
      <c r="K93" s="171"/>
      <c r="L93" s="169"/>
      <c r="M93" s="129" t="s">
        <v>52</v>
      </c>
      <c r="N93" s="129"/>
      <c r="O93" s="172"/>
      <c r="P93" s="172"/>
      <c r="Q93" s="129"/>
      <c r="R93" s="129"/>
      <c r="S93" s="129"/>
      <c r="T93" s="173" t="str">
        <f ca="1">IF(AND('Inserimento dati'!$B$3=$H$2, TabellaA1[[#This Row],[LUN]]="X"), "X",IF(AND('Inserimento dati'!$B$3=$I$2, TabellaA1[[#This Row],[MAR]]="X"), "X", IF(AND('Inserimento dati'!$B$3=$J$2, TabellaA1[[#This Row],[MER]]="X"), "X",IF(AND('Inserimento dati'!$B$3=$K$2, TabellaA1[[#This Row],[GIO]]="X"), "X", IF(AND('Inserimento dati'!$B$3=$L$2, TabellaA1[[#This Row],[VEN]]="X"), "X","")))))</f>
        <v/>
      </c>
      <c r="U93" s="139" t="str">
        <f t="shared" ca="1" si="4"/>
        <v/>
      </c>
    </row>
    <row r="94" spans="1:21" ht="60" x14ac:dyDescent="0.25">
      <c r="A94" s="167"/>
      <c r="B94" s="167" t="str">
        <f t="shared" si="5"/>
        <v>X</v>
      </c>
      <c r="C94" s="167" t="str">
        <f>IF(OR(TabellaA1[[#This Row],[LUN]]="X",TabellaA1[[#This Row],[MAR]]="X",TabellaA1[[#This Row],[MER]]="X",TabellaA1[[#This Row],[GIO]]="X",TabellaA1[[#This Row],[VEN]]="X",),"X","")</f>
        <v/>
      </c>
      <c r="D94" s="168" t="s">
        <v>143</v>
      </c>
      <c r="E94" s="170" t="s">
        <v>441</v>
      </c>
      <c r="F94" s="170">
        <v>200</v>
      </c>
      <c r="G94" s="170" t="s">
        <v>442</v>
      </c>
      <c r="H94" s="171"/>
      <c r="I94" s="171"/>
      <c r="J94" s="171"/>
      <c r="K94" s="171"/>
      <c r="L94" s="169"/>
      <c r="M94" s="129" t="s">
        <v>52</v>
      </c>
      <c r="N94" s="129"/>
      <c r="O94" s="172"/>
      <c r="P94" s="172"/>
      <c r="Q94" s="129" t="s">
        <v>443</v>
      </c>
      <c r="R94" s="129">
        <v>45701</v>
      </c>
      <c r="S94" s="129" t="s">
        <v>227</v>
      </c>
      <c r="T94" s="173" t="str">
        <f ca="1">IF(AND('Inserimento dati'!$B$3=$H$2, TabellaA1[[#This Row],[LUN]]="X"), "X",IF(AND('Inserimento dati'!$B$3=$I$2, TabellaA1[[#This Row],[MAR]]="X"), "X", IF(AND('Inserimento dati'!$B$3=$J$2, TabellaA1[[#This Row],[MER]]="X"), "X",IF(AND('Inserimento dati'!$B$3=$K$2, TabellaA1[[#This Row],[GIO]]="X"), "X", IF(AND('Inserimento dati'!$B$3=$L$2, TabellaA1[[#This Row],[VEN]]="X"), "X","")))))</f>
        <v/>
      </c>
      <c r="U94" s="139" t="str">
        <f t="shared" ca="1" si="4"/>
        <v/>
      </c>
    </row>
    <row r="95" spans="1:21" ht="90" x14ac:dyDescent="0.25">
      <c r="A95" s="167"/>
      <c r="B95" s="167" t="str">
        <f t="shared" si="5"/>
        <v>X</v>
      </c>
      <c r="C95" s="167" t="str">
        <f>IF(OR(TabellaA1[[#This Row],[LUN]]="X",TabellaA1[[#This Row],[MAR]]="X",TabellaA1[[#This Row],[MER]]="X",TabellaA1[[#This Row],[GIO]]="X",TabellaA1[[#This Row],[VEN]]="X",),"X","")</f>
        <v/>
      </c>
      <c r="D95" s="168" t="s">
        <v>143</v>
      </c>
      <c r="E95" s="170" t="s">
        <v>444</v>
      </c>
      <c r="F95" s="170">
        <v>300</v>
      </c>
      <c r="G95" s="170" t="s">
        <v>445</v>
      </c>
      <c r="H95" s="171"/>
      <c r="I95" s="171"/>
      <c r="J95" s="171"/>
      <c r="K95" s="171"/>
      <c r="L95" s="169"/>
      <c r="M95" s="129" t="s">
        <v>52</v>
      </c>
      <c r="N95" s="129"/>
      <c r="O95" s="172"/>
      <c r="P95" s="172"/>
      <c r="Q95" s="129" t="s">
        <v>446</v>
      </c>
      <c r="R95" s="129">
        <v>45811</v>
      </c>
      <c r="S95" s="129" t="s">
        <v>447</v>
      </c>
      <c r="T95" s="173" t="str">
        <f ca="1">IF(AND('Inserimento dati'!$B$3=$H$2, TabellaA1[[#This Row],[LUN]]="X"), "X",IF(AND('Inserimento dati'!$B$3=$I$2, TabellaA1[[#This Row],[MAR]]="X"), "X", IF(AND('Inserimento dati'!$B$3=$J$2, TabellaA1[[#This Row],[MER]]="X"), "X",IF(AND('Inserimento dati'!$B$3=$K$2, TabellaA1[[#This Row],[GIO]]="X"), "X", IF(AND('Inserimento dati'!$B$3=$L$2, TabellaA1[[#This Row],[VEN]]="X"), "X","")))))</f>
        <v/>
      </c>
      <c r="U95" s="139" t="str">
        <f t="shared" ca="1" si="4"/>
        <v/>
      </c>
    </row>
    <row r="96" spans="1:21" ht="30" x14ac:dyDescent="0.25">
      <c r="A96" s="167"/>
      <c r="B96" s="167" t="str">
        <f t="shared" si="5"/>
        <v>X</v>
      </c>
      <c r="C96" s="167" t="str">
        <f>IF(OR(TabellaA1[[#This Row],[LUN]]="X",TabellaA1[[#This Row],[MAR]]="X",TabellaA1[[#This Row],[MER]]="X",TabellaA1[[#This Row],[GIO]]="X",TabellaA1[[#This Row],[VEN]]="X",),"X","")</f>
        <v/>
      </c>
      <c r="D96" s="168" t="s">
        <v>143</v>
      </c>
      <c r="E96" s="170" t="s">
        <v>448</v>
      </c>
      <c r="F96" s="170" t="s">
        <v>262</v>
      </c>
      <c r="G96" s="170" t="s">
        <v>449</v>
      </c>
      <c r="H96" s="171"/>
      <c r="I96" s="171"/>
      <c r="J96" s="171"/>
      <c r="K96" s="171"/>
      <c r="L96" s="169"/>
      <c r="M96" s="129" t="s">
        <v>52</v>
      </c>
      <c r="N96" s="129"/>
      <c r="O96" s="172"/>
      <c r="P96" s="172"/>
      <c r="Q96" s="129"/>
      <c r="R96" s="129"/>
      <c r="S96" s="129"/>
      <c r="T96" s="173" t="str">
        <f ca="1">IF(AND('Inserimento dati'!$B$3=$H$2, TabellaA1[[#This Row],[LUN]]="X"), "X",IF(AND('Inserimento dati'!$B$3=$I$2, TabellaA1[[#This Row],[MAR]]="X"), "X", IF(AND('Inserimento dati'!$B$3=$J$2, TabellaA1[[#This Row],[MER]]="X"), "X",IF(AND('Inserimento dati'!$B$3=$K$2, TabellaA1[[#This Row],[GIO]]="X"), "X", IF(AND('Inserimento dati'!$B$3=$L$2, TabellaA1[[#This Row],[VEN]]="X"), "X","")))))</f>
        <v/>
      </c>
      <c r="U96" s="139" t="str">
        <f t="shared" ca="1" si="4"/>
        <v/>
      </c>
    </row>
    <row r="97" spans="1:21" ht="30" x14ac:dyDescent="0.25">
      <c r="A97" s="167"/>
      <c r="B97" s="167" t="str">
        <f t="shared" si="5"/>
        <v>X</v>
      </c>
      <c r="C97" s="167" t="str">
        <f>IF(OR(TabellaA1[[#This Row],[LUN]]="X",TabellaA1[[#This Row],[MAR]]="X",TabellaA1[[#This Row],[MER]]="X",TabellaA1[[#This Row],[GIO]]="X",TabellaA1[[#This Row],[VEN]]="X",),"X","")</f>
        <v/>
      </c>
      <c r="D97" s="168" t="s">
        <v>143</v>
      </c>
      <c r="E97" s="170" t="s">
        <v>450</v>
      </c>
      <c r="F97" s="170" t="s">
        <v>262</v>
      </c>
      <c r="G97" s="170" t="s">
        <v>451</v>
      </c>
      <c r="H97" s="171"/>
      <c r="I97" s="171"/>
      <c r="J97" s="171"/>
      <c r="K97" s="171"/>
      <c r="L97" s="169"/>
      <c r="M97" s="129" t="s">
        <v>52</v>
      </c>
      <c r="N97" s="129"/>
      <c r="O97" s="172"/>
      <c r="P97" s="172"/>
      <c r="Q97" s="129"/>
      <c r="R97" s="129"/>
      <c r="S97" s="129"/>
      <c r="T97" s="173" t="str">
        <f ca="1">IF(AND('Inserimento dati'!$B$3=$H$2, TabellaA1[[#This Row],[LUN]]="X"), "X",IF(AND('Inserimento dati'!$B$3=$I$2, TabellaA1[[#This Row],[MAR]]="X"), "X", IF(AND('Inserimento dati'!$B$3=$J$2, TabellaA1[[#This Row],[MER]]="X"), "X",IF(AND('Inserimento dati'!$B$3=$K$2, TabellaA1[[#This Row],[GIO]]="X"), "X", IF(AND('Inserimento dati'!$B$3=$L$2, TabellaA1[[#This Row],[VEN]]="X"), "X","")))))</f>
        <v/>
      </c>
      <c r="U97" s="139" t="str">
        <f t="shared" ca="1" si="4"/>
        <v/>
      </c>
    </row>
    <row r="98" spans="1:21" ht="30" x14ac:dyDescent="0.25">
      <c r="A98" s="167"/>
      <c r="B98" s="167" t="str">
        <f t="shared" si="5"/>
        <v>X</v>
      </c>
      <c r="C98" s="167" t="str">
        <f>IF(OR(TabellaA1[[#This Row],[LUN]]="X",TabellaA1[[#This Row],[MAR]]="X",TabellaA1[[#This Row],[MER]]="X",TabellaA1[[#This Row],[GIO]]="X",TabellaA1[[#This Row],[VEN]]="X",),"X","")</f>
        <v/>
      </c>
      <c r="D98" s="168" t="s">
        <v>143</v>
      </c>
      <c r="E98" s="170" t="s">
        <v>452</v>
      </c>
      <c r="F98" s="170">
        <v>400</v>
      </c>
      <c r="G98" s="170" t="s">
        <v>453</v>
      </c>
      <c r="H98" s="171"/>
      <c r="I98" s="171"/>
      <c r="J98" s="171"/>
      <c r="K98" s="171"/>
      <c r="L98" s="169"/>
      <c r="M98" s="129" t="s">
        <v>52</v>
      </c>
      <c r="N98" s="129"/>
      <c r="O98" s="172"/>
      <c r="P98" s="172"/>
      <c r="Q98" s="129" t="s">
        <v>454</v>
      </c>
      <c r="R98" s="129">
        <v>45694</v>
      </c>
      <c r="S98" s="129" t="s">
        <v>9</v>
      </c>
      <c r="T98" s="173" t="str">
        <f ca="1">IF(AND('Inserimento dati'!$B$3=$H$2, TabellaA1[[#This Row],[LUN]]="X"), "X",IF(AND('Inserimento dati'!$B$3=$I$2, TabellaA1[[#This Row],[MAR]]="X"), "X", IF(AND('Inserimento dati'!$B$3=$J$2, TabellaA1[[#This Row],[MER]]="X"), "X",IF(AND('Inserimento dati'!$B$3=$K$2, TabellaA1[[#This Row],[GIO]]="X"), "X", IF(AND('Inserimento dati'!$B$3=$L$2, TabellaA1[[#This Row],[VEN]]="X"), "X","")))))</f>
        <v/>
      </c>
      <c r="U98" s="139" t="str">
        <f t="shared" ca="1" si="4"/>
        <v/>
      </c>
    </row>
    <row r="99" spans="1:21" ht="30" x14ac:dyDescent="0.25">
      <c r="A99" s="167"/>
      <c r="B99" s="167" t="str">
        <f t="shared" si="5"/>
        <v>X</v>
      </c>
      <c r="C99" s="167" t="str">
        <f>IF(OR(TabellaA1[[#This Row],[LUN]]="X",TabellaA1[[#This Row],[MAR]]="X",TabellaA1[[#This Row],[MER]]="X",TabellaA1[[#This Row],[GIO]]="X",TabellaA1[[#This Row],[VEN]]="X",),"X","")</f>
        <v/>
      </c>
      <c r="D99" s="168" t="s">
        <v>143</v>
      </c>
      <c r="E99" s="170" t="s">
        <v>455</v>
      </c>
      <c r="F99" s="170">
        <v>200</v>
      </c>
      <c r="G99" s="170" t="s">
        <v>456</v>
      </c>
      <c r="H99" s="171"/>
      <c r="I99" s="171"/>
      <c r="J99" s="171"/>
      <c r="K99" s="171"/>
      <c r="L99" s="169"/>
      <c r="M99" s="129" t="s">
        <v>52</v>
      </c>
      <c r="N99" s="129"/>
      <c r="O99" s="172"/>
      <c r="P99" s="172"/>
      <c r="Q99" s="129" t="s">
        <v>457</v>
      </c>
      <c r="R99" s="129">
        <v>45691</v>
      </c>
      <c r="S99" s="129" t="s">
        <v>11</v>
      </c>
      <c r="T99" s="173" t="str">
        <f ca="1">IF(AND('Inserimento dati'!$B$3=$H$2, TabellaA1[[#This Row],[LUN]]="X"), "X",IF(AND('Inserimento dati'!$B$3=$I$2, TabellaA1[[#This Row],[MAR]]="X"), "X", IF(AND('Inserimento dati'!$B$3=$J$2, TabellaA1[[#This Row],[MER]]="X"), "X",IF(AND('Inserimento dati'!$B$3=$K$2, TabellaA1[[#This Row],[GIO]]="X"), "X", IF(AND('Inserimento dati'!$B$3=$L$2, TabellaA1[[#This Row],[VEN]]="X"), "X","")))))</f>
        <v/>
      </c>
      <c r="U99" s="139" t="str">
        <f t="shared" ca="1" si="4"/>
        <v/>
      </c>
    </row>
    <row r="100" spans="1:21" ht="45" x14ac:dyDescent="0.25">
      <c r="A100" s="167"/>
      <c r="B100" s="167" t="str">
        <f t="shared" si="5"/>
        <v>X</v>
      </c>
      <c r="C100" s="167" t="str">
        <f>IF(OR(TabellaA1[[#This Row],[LUN]]="X",TabellaA1[[#This Row],[MAR]]="X",TabellaA1[[#This Row],[MER]]="X",TabellaA1[[#This Row],[GIO]]="X",TabellaA1[[#This Row],[VEN]]="X",),"X","")</f>
        <v/>
      </c>
      <c r="D100" s="168" t="s">
        <v>143</v>
      </c>
      <c r="E100" s="170" t="s">
        <v>458</v>
      </c>
      <c r="F100" s="170">
        <v>400</v>
      </c>
      <c r="G100" s="170" t="s">
        <v>459</v>
      </c>
      <c r="H100" s="171"/>
      <c r="I100" s="171"/>
      <c r="J100" s="171"/>
      <c r="K100" s="171"/>
      <c r="L100" s="169"/>
      <c r="M100" s="129" t="s">
        <v>52</v>
      </c>
      <c r="N100" s="129"/>
      <c r="O100" s="172"/>
      <c r="P100" s="172"/>
      <c r="Q100" s="129" t="s">
        <v>460</v>
      </c>
      <c r="R100" s="129">
        <v>45692</v>
      </c>
      <c r="S100" s="129" t="s">
        <v>461</v>
      </c>
      <c r="T100" s="173" t="str">
        <f ca="1">IF(AND('Inserimento dati'!$B$3=$H$2, TabellaA1[[#This Row],[LUN]]="X"), "X",IF(AND('Inserimento dati'!$B$3=$I$2, TabellaA1[[#This Row],[MAR]]="X"), "X", IF(AND('Inserimento dati'!$B$3=$J$2, TabellaA1[[#This Row],[MER]]="X"), "X",IF(AND('Inserimento dati'!$B$3=$K$2, TabellaA1[[#This Row],[GIO]]="X"), "X", IF(AND('Inserimento dati'!$B$3=$L$2, TabellaA1[[#This Row],[VEN]]="X"), "X","")))))</f>
        <v/>
      </c>
      <c r="U100" s="139" t="str">
        <f t="shared" ca="1" si="4"/>
        <v/>
      </c>
    </row>
    <row r="101" spans="1:21" ht="45" x14ac:dyDescent="0.25">
      <c r="A101" s="167"/>
      <c r="B101" s="167" t="str">
        <f t="shared" si="5"/>
        <v>X</v>
      </c>
      <c r="C101" s="167" t="str">
        <f>IF(OR(TabellaA1[[#This Row],[LUN]]="X",TabellaA1[[#This Row],[MAR]]="X",TabellaA1[[#This Row],[MER]]="X",TabellaA1[[#This Row],[GIO]]="X",TabellaA1[[#This Row],[VEN]]="X",),"X","")</f>
        <v/>
      </c>
      <c r="D101" s="168" t="s">
        <v>143</v>
      </c>
      <c r="E101" s="170" t="s">
        <v>462</v>
      </c>
      <c r="F101" s="170">
        <v>400</v>
      </c>
      <c r="G101" s="170" t="s">
        <v>463</v>
      </c>
      <c r="H101" s="171"/>
      <c r="I101" s="171"/>
      <c r="J101" s="171"/>
      <c r="K101" s="171"/>
      <c r="L101" s="169"/>
      <c r="M101" s="129" t="s">
        <v>52</v>
      </c>
      <c r="N101" s="129"/>
      <c r="O101" s="172"/>
      <c r="P101" s="172"/>
      <c r="Q101" s="129" t="s">
        <v>464</v>
      </c>
      <c r="R101" s="129">
        <v>45692</v>
      </c>
      <c r="S101" s="129" t="s">
        <v>461</v>
      </c>
      <c r="T101" s="173" t="str">
        <f ca="1">IF(AND('Inserimento dati'!$B$3=$H$2, TabellaA1[[#This Row],[LUN]]="X"), "X",IF(AND('Inserimento dati'!$B$3=$I$2, TabellaA1[[#This Row],[MAR]]="X"), "X", IF(AND('Inserimento dati'!$B$3=$J$2, TabellaA1[[#This Row],[MER]]="X"), "X",IF(AND('Inserimento dati'!$B$3=$K$2, TabellaA1[[#This Row],[GIO]]="X"), "X", IF(AND('Inserimento dati'!$B$3=$L$2, TabellaA1[[#This Row],[VEN]]="X"), "X","")))))</f>
        <v/>
      </c>
      <c r="U101" s="139" t="str">
        <f t="shared" ca="1" si="4"/>
        <v/>
      </c>
    </row>
    <row r="102" spans="1:21" ht="30" x14ac:dyDescent="0.25">
      <c r="A102" s="167"/>
      <c r="B102" s="167" t="str">
        <f t="shared" si="5"/>
        <v>X</v>
      </c>
      <c r="C102" s="167" t="str">
        <f>IF(OR(TabellaA1[[#This Row],[LUN]]="X",TabellaA1[[#This Row],[MAR]]="X",TabellaA1[[#This Row],[MER]]="X",TabellaA1[[#This Row],[GIO]]="X",TabellaA1[[#This Row],[VEN]]="X",),"X","")</f>
        <v/>
      </c>
      <c r="D102" s="168" t="s">
        <v>143</v>
      </c>
      <c r="E102" s="170" t="s">
        <v>465</v>
      </c>
      <c r="F102" s="170">
        <v>900</v>
      </c>
      <c r="G102" s="170" t="s">
        <v>466</v>
      </c>
      <c r="H102" s="171"/>
      <c r="I102" s="171"/>
      <c r="J102" s="171"/>
      <c r="K102" s="171"/>
      <c r="L102" s="169"/>
      <c r="M102" s="129" t="s">
        <v>52</v>
      </c>
      <c r="N102" s="129"/>
      <c r="O102" s="172"/>
      <c r="P102" s="172"/>
      <c r="Q102" s="129" t="s">
        <v>467</v>
      </c>
      <c r="R102" s="129">
        <v>45692</v>
      </c>
      <c r="S102" s="129" t="s">
        <v>461</v>
      </c>
      <c r="T102" s="173" t="str">
        <f ca="1">IF(AND('Inserimento dati'!$B$3=$H$2, TabellaA1[[#This Row],[LUN]]="X"), "X",IF(AND('Inserimento dati'!$B$3=$I$2, TabellaA1[[#This Row],[MAR]]="X"), "X", IF(AND('Inserimento dati'!$B$3=$J$2, TabellaA1[[#This Row],[MER]]="X"), "X",IF(AND('Inserimento dati'!$B$3=$K$2, TabellaA1[[#This Row],[GIO]]="X"), "X", IF(AND('Inserimento dati'!$B$3=$L$2, TabellaA1[[#This Row],[VEN]]="X"), "X","")))))</f>
        <v/>
      </c>
      <c r="U102" s="139" t="str">
        <f t="shared" ca="1" si="4"/>
        <v/>
      </c>
    </row>
    <row r="103" spans="1:21" ht="30" x14ac:dyDescent="0.25">
      <c r="A103" s="167"/>
      <c r="B103" s="167" t="str">
        <f t="shared" si="5"/>
        <v>X</v>
      </c>
      <c r="C103" s="167" t="str">
        <f>IF(OR(TabellaA1[[#This Row],[LUN]]="X",TabellaA1[[#This Row],[MAR]]="X",TabellaA1[[#This Row],[MER]]="X",TabellaA1[[#This Row],[GIO]]="X",TabellaA1[[#This Row],[VEN]]="X",),"X","")</f>
        <v/>
      </c>
      <c r="D103" s="168" t="s">
        <v>143</v>
      </c>
      <c r="E103" s="170" t="s">
        <v>468</v>
      </c>
      <c r="F103" s="170">
        <v>200</v>
      </c>
      <c r="G103" s="170" t="s">
        <v>469</v>
      </c>
      <c r="H103" s="171"/>
      <c r="I103" s="171"/>
      <c r="J103" s="171"/>
      <c r="K103" s="171"/>
      <c r="L103" s="169"/>
      <c r="M103" s="129" t="s">
        <v>52</v>
      </c>
      <c r="N103" s="129"/>
      <c r="O103" s="172"/>
      <c r="P103" s="172"/>
      <c r="Q103" s="129" t="s">
        <v>470</v>
      </c>
      <c r="R103" s="129">
        <v>45686</v>
      </c>
      <c r="S103" s="129" t="s">
        <v>11</v>
      </c>
      <c r="T103" s="173" t="str">
        <f ca="1">IF(AND('Inserimento dati'!$B$3=$H$2, TabellaA1[[#This Row],[LUN]]="X"), "X",IF(AND('Inserimento dati'!$B$3=$I$2, TabellaA1[[#This Row],[MAR]]="X"), "X", IF(AND('Inserimento dati'!$B$3=$J$2, TabellaA1[[#This Row],[MER]]="X"), "X",IF(AND('Inserimento dati'!$B$3=$K$2, TabellaA1[[#This Row],[GIO]]="X"), "X", IF(AND('Inserimento dati'!$B$3=$L$2, TabellaA1[[#This Row],[VEN]]="X"), "X","")))))</f>
        <v/>
      </c>
      <c r="U103" s="139" t="str">
        <f t="shared" ca="1" si="4"/>
        <v/>
      </c>
    </row>
    <row r="104" spans="1:21" ht="75" x14ac:dyDescent="0.25">
      <c r="A104" s="167"/>
      <c r="B104" s="167" t="str">
        <f t="shared" si="5"/>
        <v>X</v>
      </c>
      <c r="C104" s="167" t="str">
        <f>IF(OR(TabellaA1[[#This Row],[LUN]]="X",TabellaA1[[#This Row],[MAR]]="X",TabellaA1[[#This Row],[MER]]="X",TabellaA1[[#This Row],[GIO]]="X",TabellaA1[[#This Row],[VEN]]="X",),"X","")</f>
        <v/>
      </c>
      <c r="D104" s="168" t="s">
        <v>143</v>
      </c>
      <c r="E104" s="170" t="s">
        <v>471</v>
      </c>
      <c r="F104" s="170">
        <v>400</v>
      </c>
      <c r="G104" s="170" t="s">
        <v>472</v>
      </c>
      <c r="H104" s="171"/>
      <c r="I104" s="171"/>
      <c r="J104" s="171"/>
      <c r="K104" s="171"/>
      <c r="L104" s="169"/>
      <c r="M104" s="129" t="s">
        <v>52</v>
      </c>
      <c r="N104" s="129"/>
      <c r="O104" s="172"/>
      <c r="P104" s="172"/>
      <c r="Q104" s="129" t="s">
        <v>473</v>
      </c>
      <c r="R104" s="129">
        <v>45693</v>
      </c>
      <c r="S104" s="129" t="s">
        <v>11</v>
      </c>
      <c r="T104" s="173" t="str">
        <f ca="1">IF(AND('Inserimento dati'!$B$3=$H$2, TabellaA1[[#This Row],[LUN]]="X"), "X",IF(AND('Inserimento dati'!$B$3=$I$2, TabellaA1[[#This Row],[MAR]]="X"), "X", IF(AND('Inserimento dati'!$B$3=$J$2, TabellaA1[[#This Row],[MER]]="X"), "X",IF(AND('Inserimento dati'!$B$3=$K$2, TabellaA1[[#This Row],[GIO]]="X"), "X", IF(AND('Inserimento dati'!$B$3=$L$2, TabellaA1[[#This Row],[VEN]]="X"), "X","")))))</f>
        <v/>
      </c>
      <c r="U104" s="139" t="str">
        <f t="shared" ca="1" si="4"/>
        <v/>
      </c>
    </row>
    <row r="105" spans="1:21" ht="30" x14ac:dyDescent="0.25">
      <c r="A105" s="167"/>
      <c r="B105" s="167" t="str">
        <f t="shared" si="5"/>
        <v>X</v>
      </c>
      <c r="C105" s="167" t="str">
        <f>IF(OR(TabellaA1[[#This Row],[LUN]]="X",TabellaA1[[#This Row],[MAR]]="X",TabellaA1[[#This Row],[MER]]="X",TabellaA1[[#This Row],[GIO]]="X",TabellaA1[[#This Row],[VEN]]="X",),"X","")</f>
        <v/>
      </c>
      <c r="D105" s="168" t="s">
        <v>143</v>
      </c>
      <c r="E105" s="170" t="s">
        <v>474</v>
      </c>
      <c r="F105" s="170">
        <v>400</v>
      </c>
      <c r="G105" s="170" t="s">
        <v>475</v>
      </c>
      <c r="H105" s="171"/>
      <c r="I105" s="171"/>
      <c r="J105" s="171"/>
      <c r="K105" s="171"/>
      <c r="L105" s="169"/>
      <c r="M105" s="129" t="s">
        <v>52</v>
      </c>
      <c r="N105" s="129"/>
      <c r="O105" s="172"/>
      <c r="P105" s="172"/>
      <c r="Q105" s="129" t="s">
        <v>427</v>
      </c>
      <c r="R105" s="129">
        <v>45687</v>
      </c>
      <c r="S105" s="129" t="s">
        <v>9</v>
      </c>
      <c r="T105" s="173" t="str">
        <f ca="1">IF(AND('Inserimento dati'!$B$3=$H$2, TabellaA1[[#This Row],[LUN]]="X"), "X",IF(AND('Inserimento dati'!$B$3=$I$2, TabellaA1[[#This Row],[MAR]]="X"), "X", IF(AND('Inserimento dati'!$B$3=$J$2, TabellaA1[[#This Row],[MER]]="X"), "X",IF(AND('Inserimento dati'!$B$3=$K$2, TabellaA1[[#This Row],[GIO]]="X"), "X", IF(AND('Inserimento dati'!$B$3=$L$2, TabellaA1[[#This Row],[VEN]]="X"), "X","")))))</f>
        <v/>
      </c>
      <c r="U105" s="139" t="str">
        <f t="shared" ca="1" si="4"/>
        <v/>
      </c>
    </row>
    <row r="106" spans="1:21" ht="45" x14ac:dyDescent="0.25">
      <c r="A106" s="167"/>
      <c r="B106" s="167" t="str">
        <f t="shared" si="5"/>
        <v>X</v>
      </c>
      <c r="C106" s="167" t="str">
        <f>IF(OR(TabellaA1[[#This Row],[LUN]]="X",TabellaA1[[#This Row],[MAR]]="X",TabellaA1[[#This Row],[MER]]="X",TabellaA1[[#This Row],[GIO]]="X",TabellaA1[[#This Row],[VEN]]="X",),"X","")</f>
        <v/>
      </c>
      <c r="D106" s="168" t="s">
        <v>143</v>
      </c>
      <c r="E106" s="170" t="s">
        <v>476</v>
      </c>
      <c r="F106" s="170">
        <v>200</v>
      </c>
      <c r="G106" s="170" t="s">
        <v>477</v>
      </c>
      <c r="H106" s="171"/>
      <c r="I106" s="171"/>
      <c r="J106" s="171"/>
      <c r="K106" s="171"/>
      <c r="L106" s="169"/>
      <c r="M106" s="129" t="s">
        <v>52</v>
      </c>
      <c r="N106" s="129"/>
      <c r="O106" s="172"/>
      <c r="P106" s="172"/>
      <c r="Q106" s="129" t="s">
        <v>478</v>
      </c>
      <c r="R106" s="129">
        <v>45687</v>
      </c>
      <c r="S106" s="129" t="s">
        <v>11</v>
      </c>
      <c r="T106" s="173" t="str">
        <f ca="1">IF(AND('Inserimento dati'!$B$3=$H$2, TabellaA1[[#This Row],[LUN]]="X"), "X",IF(AND('Inserimento dati'!$B$3=$I$2, TabellaA1[[#This Row],[MAR]]="X"), "X", IF(AND('Inserimento dati'!$B$3=$J$2, TabellaA1[[#This Row],[MER]]="X"), "X",IF(AND('Inserimento dati'!$B$3=$K$2, TabellaA1[[#This Row],[GIO]]="X"), "X", IF(AND('Inserimento dati'!$B$3=$L$2, TabellaA1[[#This Row],[VEN]]="X"), "X","")))))</f>
        <v/>
      </c>
      <c r="U106" s="139" t="str">
        <f t="shared" ref="U106:U137" ca="1" si="6">IFERROR(MID(G106,_xlfn.AGGREGATE(15,6,(ROW(INDIRECT("1:"&amp;LEN(G106)-7)))/(ISNUMBER(--MID(G106,ROW(INDIRECT("1:"&amp;LEN(G106)-7)),8))),1),8),"")</f>
        <v/>
      </c>
    </row>
    <row r="107" spans="1:21" ht="30" x14ac:dyDescent="0.25">
      <c r="A107" s="167"/>
      <c r="B107" s="167" t="str">
        <f t="shared" si="5"/>
        <v>X</v>
      </c>
      <c r="C107" s="167" t="str">
        <f>IF(OR(TabellaA1[[#This Row],[LUN]]="X",TabellaA1[[#This Row],[MAR]]="X",TabellaA1[[#This Row],[MER]]="X",TabellaA1[[#This Row],[GIO]]="X",TabellaA1[[#This Row],[VEN]]="X",),"X","")</f>
        <v/>
      </c>
      <c r="D107" s="168" t="s">
        <v>143</v>
      </c>
      <c r="E107" s="170" t="s">
        <v>479</v>
      </c>
      <c r="F107" s="170">
        <v>900</v>
      </c>
      <c r="G107" s="170" t="s">
        <v>480</v>
      </c>
      <c r="H107" s="171"/>
      <c r="I107" s="171"/>
      <c r="J107" s="171"/>
      <c r="K107" s="171"/>
      <c r="L107" s="169"/>
      <c r="M107" s="129" t="s">
        <v>52</v>
      </c>
      <c r="N107" s="129"/>
      <c r="O107" s="172"/>
      <c r="P107" s="172"/>
      <c r="Q107" s="129" t="s">
        <v>481</v>
      </c>
      <c r="R107" s="129">
        <v>45687</v>
      </c>
      <c r="S107" s="129" t="s">
        <v>11</v>
      </c>
      <c r="T107" s="173" t="str">
        <f ca="1">IF(AND('Inserimento dati'!$B$3=$H$2, TabellaA1[[#This Row],[LUN]]="X"), "X",IF(AND('Inserimento dati'!$B$3=$I$2, TabellaA1[[#This Row],[MAR]]="X"), "X", IF(AND('Inserimento dati'!$B$3=$J$2, TabellaA1[[#This Row],[MER]]="X"), "X",IF(AND('Inserimento dati'!$B$3=$K$2, TabellaA1[[#This Row],[GIO]]="X"), "X", IF(AND('Inserimento dati'!$B$3=$L$2, TabellaA1[[#This Row],[VEN]]="X"), "X","")))))</f>
        <v/>
      </c>
      <c r="U107" s="139" t="str">
        <f t="shared" ca="1" si="6"/>
        <v/>
      </c>
    </row>
    <row r="108" spans="1:21" ht="23.25" x14ac:dyDescent="0.25">
      <c r="A108" s="167"/>
      <c r="B108" s="167" t="str">
        <f t="shared" si="5"/>
        <v>X</v>
      </c>
      <c r="C108" s="167" t="str">
        <f>IF(OR(TabellaA1[[#This Row],[LUN]]="X",TabellaA1[[#This Row],[MAR]]="X",TabellaA1[[#This Row],[MER]]="X",TabellaA1[[#This Row],[GIO]]="X",TabellaA1[[#This Row],[VEN]]="X",),"X","")</f>
        <v/>
      </c>
      <c r="D108" s="168" t="s">
        <v>143</v>
      </c>
      <c r="E108" s="170" t="s">
        <v>482</v>
      </c>
      <c r="F108" s="170">
        <v>100</v>
      </c>
      <c r="G108" s="170" t="s">
        <v>483</v>
      </c>
      <c r="H108" s="171"/>
      <c r="I108" s="171"/>
      <c r="J108" s="171"/>
      <c r="K108" s="171"/>
      <c r="L108" s="169"/>
      <c r="M108" s="129" t="s">
        <v>52</v>
      </c>
      <c r="N108" s="129"/>
      <c r="O108" s="172"/>
      <c r="P108" s="172"/>
      <c r="Q108" s="129" t="s">
        <v>484</v>
      </c>
      <c r="R108" s="129">
        <v>45686</v>
      </c>
      <c r="S108" s="129" t="s">
        <v>38</v>
      </c>
      <c r="T108" s="173" t="str">
        <f ca="1">IF(AND('Inserimento dati'!$B$3=$H$2, TabellaA1[[#This Row],[LUN]]="X"), "X",IF(AND('Inserimento dati'!$B$3=$I$2, TabellaA1[[#This Row],[MAR]]="X"), "X", IF(AND('Inserimento dati'!$B$3=$J$2, TabellaA1[[#This Row],[MER]]="X"), "X",IF(AND('Inserimento dati'!$B$3=$K$2, TabellaA1[[#This Row],[GIO]]="X"), "X", IF(AND('Inserimento dati'!$B$3=$L$2, TabellaA1[[#This Row],[VEN]]="X"), "X","")))))</f>
        <v/>
      </c>
      <c r="U108" s="139" t="str">
        <f t="shared" ca="1" si="6"/>
        <v/>
      </c>
    </row>
    <row r="109" spans="1:21" ht="30" x14ac:dyDescent="0.25">
      <c r="A109" s="167"/>
      <c r="B109" s="167" t="str">
        <f t="shared" si="5"/>
        <v>X</v>
      </c>
      <c r="C109" s="167" t="str">
        <f>IF(OR(TabellaA1[[#This Row],[LUN]]="X",TabellaA1[[#This Row],[MAR]]="X",TabellaA1[[#This Row],[MER]]="X",TabellaA1[[#This Row],[GIO]]="X",TabellaA1[[#This Row],[VEN]]="X",),"X","")</f>
        <v/>
      </c>
      <c r="D109" s="168" t="s">
        <v>143</v>
      </c>
      <c r="E109" s="170" t="s">
        <v>485</v>
      </c>
      <c r="F109" s="170">
        <v>100</v>
      </c>
      <c r="G109" s="170" t="s">
        <v>486</v>
      </c>
      <c r="H109" s="171"/>
      <c r="I109" s="171"/>
      <c r="J109" s="171"/>
      <c r="K109" s="171"/>
      <c r="L109" s="169"/>
      <c r="M109" s="129" t="s">
        <v>52</v>
      </c>
      <c r="N109" s="129"/>
      <c r="O109" s="172"/>
      <c r="P109" s="172"/>
      <c r="Q109" s="129" t="s">
        <v>487</v>
      </c>
      <c r="R109" s="129">
        <v>45685</v>
      </c>
      <c r="S109" s="129" t="s">
        <v>20</v>
      </c>
      <c r="T109" s="173" t="str">
        <f ca="1">IF(AND('Inserimento dati'!$B$3=$H$2, TabellaA1[[#This Row],[LUN]]="X"), "X",IF(AND('Inserimento dati'!$B$3=$I$2, TabellaA1[[#This Row],[MAR]]="X"), "X", IF(AND('Inserimento dati'!$B$3=$J$2, TabellaA1[[#This Row],[MER]]="X"), "X",IF(AND('Inserimento dati'!$B$3=$K$2, TabellaA1[[#This Row],[GIO]]="X"), "X", IF(AND('Inserimento dati'!$B$3=$L$2, TabellaA1[[#This Row],[VEN]]="X"), "X","")))))</f>
        <v/>
      </c>
      <c r="U109" s="139" t="str">
        <f t="shared" ca="1" si="6"/>
        <v/>
      </c>
    </row>
    <row r="110" spans="1:21" ht="30" x14ac:dyDescent="0.25">
      <c r="A110" s="167"/>
      <c r="B110" s="167" t="str">
        <f t="shared" si="5"/>
        <v>X</v>
      </c>
      <c r="C110" s="167" t="str">
        <f>IF(OR(TabellaA1[[#This Row],[LUN]]="X",TabellaA1[[#This Row],[MAR]]="X",TabellaA1[[#This Row],[MER]]="X",TabellaA1[[#This Row],[GIO]]="X",TabellaA1[[#This Row],[VEN]]="X",),"X","")</f>
        <v/>
      </c>
      <c r="D110" s="168" t="s">
        <v>143</v>
      </c>
      <c r="E110" s="170" t="s">
        <v>488</v>
      </c>
      <c r="F110" s="170">
        <v>200</v>
      </c>
      <c r="G110" s="170" t="s">
        <v>489</v>
      </c>
      <c r="H110" s="171"/>
      <c r="I110" s="171"/>
      <c r="J110" s="171"/>
      <c r="K110" s="171"/>
      <c r="L110" s="169"/>
      <c r="M110" s="129" t="s">
        <v>52</v>
      </c>
      <c r="N110" s="129"/>
      <c r="O110" s="172"/>
      <c r="P110" s="172"/>
      <c r="Q110" s="129" t="s">
        <v>490</v>
      </c>
      <c r="R110" s="129"/>
      <c r="S110" s="129" t="s">
        <v>38</v>
      </c>
      <c r="T110" s="173" t="str">
        <f ca="1">IF(AND('Inserimento dati'!$B$3=$H$2, TabellaA1[[#This Row],[LUN]]="X"), "X",IF(AND('Inserimento dati'!$B$3=$I$2, TabellaA1[[#This Row],[MAR]]="X"), "X", IF(AND('Inserimento dati'!$B$3=$J$2, TabellaA1[[#This Row],[MER]]="X"), "X",IF(AND('Inserimento dati'!$B$3=$K$2, TabellaA1[[#This Row],[GIO]]="X"), "X", IF(AND('Inserimento dati'!$B$3=$L$2, TabellaA1[[#This Row],[VEN]]="X"), "X","")))))</f>
        <v/>
      </c>
      <c r="U110" s="139" t="str">
        <f t="shared" ca="1" si="6"/>
        <v/>
      </c>
    </row>
    <row r="111" spans="1:21" ht="23.25" x14ac:dyDescent="0.25">
      <c r="A111" s="167"/>
      <c r="B111" s="167" t="str">
        <f t="shared" ref="B111:B142" si="7">IF(OR(A111="x",A111="X"),"",IF(ISBLANK(A111),"X",""))</f>
        <v>X</v>
      </c>
      <c r="C111" s="167" t="str">
        <f>IF(OR(TabellaA1[[#This Row],[LUN]]="X",TabellaA1[[#This Row],[MAR]]="X",TabellaA1[[#This Row],[MER]]="X",TabellaA1[[#This Row],[GIO]]="X",TabellaA1[[#This Row],[VEN]]="X",),"X","")</f>
        <v/>
      </c>
      <c r="D111" s="168" t="s">
        <v>143</v>
      </c>
      <c r="E111" s="170" t="s">
        <v>491</v>
      </c>
      <c r="F111" s="170">
        <v>100</v>
      </c>
      <c r="G111" s="170" t="s">
        <v>492</v>
      </c>
      <c r="H111" s="171"/>
      <c r="I111" s="171"/>
      <c r="J111" s="171"/>
      <c r="K111" s="171"/>
      <c r="L111" s="169"/>
      <c r="M111" s="129" t="s">
        <v>52</v>
      </c>
      <c r="N111" s="129"/>
      <c r="O111" s="172"/>
      <c r="P111" s="172"/>
      <c r="Q111" s="129" t="s">
        <v>493</v>
      </c>
      <c r="R111" s="129">
        <v>45684</v>
      </c>
      <c r="S111" s="129" t="s">
        <v>238</v>
      </c>
      <c r="T111" s="173" t="str">
        <f ca="1">IF(AND('Inserimento dati'!$B$3=$H$2, TabellaA1[[#This Row],[LUN]]="X"), "X",IF(AND('Inserimento dati'!$B$3=$I$2, TabellaA1[[#This Row],[MAR]]="X"), "X", IF(AND('Inserimento dati'!$B$3=$J$2, TabellaA1[[#This Row],[MER]]="X"), "X",IF(AND('Inserimento dati'!$B$3=$K$2, TabellaA1[[#This Row],[GIO]]="X"), "X", IF(AND('Inserimento dati'!$B$3=$L$2, TabellaA1[[#This Row],[VEN]]="X"), "X","")))))</f>
        <v/>
      </c>
      <c r="U111" s="139" t="str">
        <f t="shared" ca="1" si="6"/>
        <v/>
      </c>
    </row>
    <row r="112" spans="1:21" ht="45" x14ac:dyDescent="0.25">
      <c r="A112" s="167"/>
      <c r="B112" s="167" t="str">
        <f t="shared" si="7"/>
        <v>X</v>
      </c>
      <c r="C112" s="167" t="str">
        <f>IF(OR(TabellaA1[[#This Row],[LUN]]="X",TabellaA1[[#This Row],[MAR]]="X",TabellaA1[[#This Row],[MER]]="X",TabellaA1[[#This Row],[GIO]]="X",TabellaA1[[#This Row],[VEN]]="X",),"X","")</f>
        <v/>
      </c>
      <c r="D112" s="168" t="s">
        <v>143</v>
      </c>
      <c r="E112" s="170" t="s">
        <v>494</v>
      </c>
      <c r="F112" s="170">
        <v>400</v>
      </c>
      <c r="G112" s="170" t="s">
        <v>495</v>
      </c>
      <c r="H112" s="171"/>
      <c r="I112" s="171"/>
      <c r="J112" s="171"/>
      <c r="K112" s="171"/>
      <c r="L112" s="169"/>
      <c r="M112" s="129" t="s">
        <v>52</v>
      </c>
      <c r="N112" s="129"/>
      <c r="O112" s="172"/>
      <c r="P112" s="172"/>
      <c r="Q112" s="129" t="s">
        <v>496</v>
      </c>
      <c r="R112" s="129"/>
      <c r="S112" s="129"/>
      <c r="T112" s="173" t="str">
        <f ca="1">IF(AND('Inserimento dati'!$B$3=$H$2, TabellaA1[[#This Row],[LUN]]="X"), "X",IF(AND('Inserimento dati'!$B$3=$I$2, TabellaA1[[#This Row],[MAR]]="X"), "X", IF(AND('Inserimento dati'!$B$3=$J$2, TabellaA1[[#This Row],[MER]]="X"), "X",IF(AND('Inserimento dati'!$B$3=$K$2, TabellaA1[[#This Row],[GIO]]="X"), "X", IF(AND('Inserimento dati'!$B$3=$L$2, TabellaA1[[#This Row],[VEN]]="X"), "X","")))))</f>
        <v/>
      </c>
      <c r="U112" s="139" t="str">
        <f t="shared" ca="1" si="6"/>
        <v/>
      </c>
    </row>
    <row r="113" spans="1:21" ht="30" x14ac:dyDescent="0.25">
      <c r="A113" s="167"/>
      <c r="B113" s="167" t="str">
        <f t="shared" si="7"/>
        <v>X</v>
      </c>
      <c r="C113" s="167" t="str">
        <f>IF(OR(TabellaA1[[#This Row],[LUN]]="X",TabellaA1[[#This Row],[MAR]]="X",TabellaA1[[#This Row],[MER]]="X",TabellaA1[[#This Row],[GIO]]="X",TabellaA1[[#This Row],[VEN]]="X",),"X","")</f>
        <v/>
      </c>
      <c r="D113" s="168" t="s">
        <v>143</v>
      </c>
      <c r="E113" s="170" t="s">
        <v>497</v>
      </c>
      <c r="F113" s="170">
        <v>200</v>
      </c>
      <c r="G113" s="170" t="s">
        <v>498</v>
      </c>
      <c r="H113" s="171"/>
      <c r="I113" s="171"/>
      <c r="J113" s="171"/>
      <c r="K113" s="171"/>
      <c r="L113" s="169"/>
      <c r="M113" s="129" t="s">
        <v>52</v>
      </c>
      <c r="N113" s="129"/>
      <c r="O113" s="172"/>
      <c r="P113" s="172"/>
      <c r="Q113" s="129" t="s">
        <v>499</v>
      </c>
      <c r="R113" s="129">
        <v>45678</v>
      </c>
      <c r="S113" s="129" t="s">
        <v>238</v>
      </c>
      <c r="T113" s="173" t="str">
        <f ca="1">IF(AND('Inserimento dati'!$B$3=$H$2, TabellaA1[[#This Row],[LUN]]="X"), "X",IF(AND('Inserimento dati'!$B$3=$I$2, TabellaA1[[#This Row],[MAR]]="X"), "X", IF(AND('Inserimento dati'!$B$3=$J$2, TabellaA1[[#This Row],[MER]]="X"), "X",IF(AND('Inserimento dati'!$B$3=$K$2, TabellaA1[[#This Row],[GIO]]="X"), "X", IF(AND('Inserimento dati'!$B$3=$L$2, TabellaA1[[#This Row],[VEN]]="X"), "X","")))))</f>
        <v/>
      </c>
      <c r="U113" s="139" t="str">
        <f t="shared" ca="1" si="6"/>
        <v/>
      </c>
    </row>
    <row r="114" spans="1:21" ht="30" x14ac:dyDescent="0.25">
      <c r="A114" s="167"/>
      <c r="B114" s="167" t="str">
        <f t="shared" si="7"/>
        <v>X</v>
      </c>
      <c r="C114" s="167" t="str">
        <f>IF(OR(TabellaA1[[#This Row],[LUN]]="X",TabellaA1[[#This Row],[MAR]]="X",TabellaA1[[#This Row],[MER]]="X",TabellaA1[[#This Row],[GIO]]="X",TabellaA1[[#This Row],[VEN]]="X",),"X","")</f>
        <v/>
      </c>
      <c r="D114" s="168" t="s">
        <v>143</v>
      </c>
      <c r="E114" s="170" t="s">
        <v>500</v>
      </c>
      <c r="F114" s="170">
        <v>200</v>
      </c>
      <c r="G114" s="170" t="s">
        <v>501</v>
      </c>
      <c r="H114" s="171"/>
      <c r="I114" s="171"/>
      <c r="J114" s="171"/>
      <c r="K114" s="171"/>
      <c r="L114" s="169"/>
      <c r="M114" s="129" t="s">
        <v>52</v>
      </c>
      <c r="N114" s="129"/>
      <c r="O114" s="172"/>
      <c r="P114" s="172"/>
      <c r="Q114" s="129" t="s">
        <v>502</v>
      </c>
      <c r="R114" s="129">
        <v>45678</v>
      </c>
      <c r="S114" s="129" t="s">
        <v>238</v>
      </c>
      <c r="T114" s="173" t="str">
        <f ca="1">IF(AND('Inserimento dati'!$B$3=$H$2, TabellaA1[[#This Row],[LUN]]="X"), "X",IF(AND('Inserimento dati'!$B$3=$I$2, TabellaA1[[#This Row],[MAR]]="X"), "X", IF(AND('Inserimento dati'!$B$3=$J$2, TabellaA1[[#This Row],[MER]]="X"), "X",IF(AND('Inserimento dati'!$B$3=$K$2, TabellaA1[[#This Row],[GIO]]="X"), "X", IF(AND('Inserimento dati'!$B$3=$L$2, TabellaA1[[#This Row],[VEN]]="X"), "X","")))))</f>
        <v/>
      </c>
      <c r="U114" s="139" t="str">
        <f t="shared" ca="1" si="6"/>
        <v/>
      </c>
    </row>
    <row r="115" spans="1:21" ht="30" x14ac:dyDescent="0.25">
      <c r="A115" s="167"/>
      <c r="B115" s="167" t="str">
        <f t="shared" si="7"/>
        <v>X</v>
      </c>
      <c r="C115" s="167" t="str">
        <f>IF(OR(TabellaA1[[#This Row],[LUN]]="X",TabellaA1[[#This Row],[MAR]]="X",TabellaA1[[#This Row],[MER]]="X",TabellaA1[[#This Row],[GIO]]="X",TabellaA1[[#This Row],[VEN]]="X",),"X","")</f>
        <v/>
      </c>
      <c r="D115" s="168" t="s">
        <v>143</v>
      </c>
      <c r="E115" s="170" t="s">
        <v>503</v>
      </c>
      <c r="F115" s="170">
        <v>200</v>
      </c>
      <c r="G115" s="170" t="s">
        <v>504</v>
      </c>
      <c r="H115" s="171"/>
      <c r="I115" s="171"/>
      <c r="J115" s="171"/>
      <c r="K115" s="171"/>
      <c r="L115" s="169"/>
      <c r="M115" s="129" t="s">
        <v>52</v>
      </c>
      <c r="N115" s="129"/>
      <c r="O115" s="172"/>
      <c r="P115" s="172"/>
      <c r="Q115" s="129" t="s">
        <v>505</v>
      </c>
      <c r="R115" s="129">
        <v>45677</v>
      </c>
      <c r="S115" s="129" t="s">
        <v>20</v>
      </c>
      <c r="T115" s="173" t="str">
        <f ca="1">IF(AND('Inserimento dati'!$B$3=$H$2, TabellaA1[[#This Row],[LUN]]="X"), "X",IF(AND('Inserimento dati'!$B$3=$I$2, TabellaA1[[#This Row],[MAR]]="X"), "X", IF(AND('Inserimento dati'!$B$3=$J$2, TabellaA1[[#This Row],[MER]]="X"), "X",IF(AND('Inserimento dati'!$B$3=$K$2, TabellaA1[[#This Row],[GIO]]="X"), "X", IF(AND('Inserimento dati'!$B$3=$L$2, TabellaA1[[#This Row],[VEN]]="X"), "X","")))))</f>
        <v/>
      </c>
      <c r="U115" s="139" t="str">
        <f t="shared" ca="1" si="6"/>
        <v/>
      </c>
    </row>
    <row r="116" spans="1:21" ht="30" x14ac:dyDescent="0.25">
      <c r="A116" s="167"/>
      <c r="B116" s="167" t="str">
        <f t="shared" si="7"/>
        <v>X</v>
      </c>
      <c r="C116" s="167" t="str">
        <f>IF(OR(TabellaA1[[#This Row],[LUN]]="X",TabellaA1[[#This Row],[MAR]]="X",TabellaA1[[#This Row],[MER]]="X",TabellaA1[[#This Row],[GIO]]="X",TabellaA1[[#This Row],[VEN]]="X",),"X","")</f>
        <v/>
      </c>
      <c r="D116" s="168" t="s">
        <v>143</v>
      </c>
      <c r="E116" s="170" t="s">
        <v>506</v>
      </c>
      <c r="F116" s="170">
        <v>200</v>
      </c>
      <c r="G116" s="170" t="s">
        <v>507</v>
      </c>
      <c r="H116" s="171"/>
      <c r="I116" s="171"/>
      <c r="J116" s="171"/>
      <c r="K116" s="171"/>
      <c r="L116" s="169"/>
      <c r="M116" s="129" t="s">
        <v>52</v>
      </c>
      <c r="N116" s="129"/>
      <c r="O116" s="172"/>
      <c r="P116" s="172"/>
      <c r="Q116" s="129" t="s">
        <v>420</v>
      </c>
      <c r="R116" s="129">
        <v>45677</v>
      </c>
      <c r="S116" s="129" t="s">
        <v>20</v>
      </c>
      <c r="T116" s="173" t="str">
        <f ca="1">IF(AND('Inserimento dati'!$B$3=$H$2, TabellaA1[[#This Row],[LUN]]="X"), "X",IF(AND('Inserimento dati'!$B$3=$I$2, TabellaA1[[#This Row],[MAR]]="X"), "X", IF(AND('Inserimento dati'!$B$3=$J$2, TabellaA1[[#This Row],[MER]]="X"), "X",IF(AND('Inserimento dati'!$B$3=$K$2, TabellaA1[[#This Row],[GIO]]="X"), "X", IF(AND('Inserimento dati'!$B$3=$L$2, TabellaA1[[#This Row],[VEN]]="X"), "X","")))))</f>
        <v/>
      </c>
      <c r="U116" s="139" t="str">
        <f t="shared" ca="1" si="6"/>
        <v/>
      </c>
    </row>
    <row r="117" spans="1:21" ht="30" x14ac:dyDescent="0.25">
      <c r="A117" s="167"/>
      <c r="B117" s="167" t="str">
        <f t="shared" si="7"/>
        <v>X</v>
      </c>
      <c r="C117" s="167" t="str">
        <f>IF(OR(TabellaA1[[#This Row],[LUN]]="X",TabellaA1[[#This Row],[MAR]]="X",TabellaA1[[#This Row],[MER]]="X",TabellaA1[[#This Row],[GIO]]="X",TabellaA1[[#This Row],[VEN]]="X",),"X","")</f>
        <v/>
      </c>
      <c r="D117" s="168" t="s">
        <v>143</v>
      </c>
      <c r="E117" s="170" t="s">
        <v>508</v>
      </c>
      <c r="F117" s="170">
        <v>300</v>
      </c>
      <c r="G117" s="170" t="s">
        <v>509</v>
      </c>
      <c r="H117" s="171"/>
      <c r="I117" s="171"/>
      <c r="J117" s="171"/>
      <c r="K117" s="171"/>
      <c r="L117" s="169"/>
      <c r="M117" s="129" t="s">
        <v>52</v>
      </c>
      <c r="N117" s="129"/>
      <c r="O117" s="172"/>
      <c r="P117" s="172"/>
      <c r="Q117" s="129" t="s">
        <v>510</v>
      </c>
      <c r="R117" s="129">
        <v>45677</v>
      </c>
      <c r="S117" s="129" t="s">
        <v>9</v>
      </c>
      <c r="T117" s="173" t="str">
        <f ca="1">IF(AND('Inserimento dati'!$B$3=$H$2, TabellaA1[[#This Row],[LUN]]="X"), "X",IF(AND('Inserimento dati'!$B$3=$I$2, TabellaA1[[#This Row],[MAR]]="X"), "X", IF(AND('Inserimento dati'!$B$3=$J$2, TabellaA1[[#This Row],[MER]]="X"), "X",IF(AND('Inserimento dati'!$B$3=$K$2, TabellaA1[[#This Row],[GIO]]="X"), "X", IF(AND('Inserimento dati'!$B$3=$L$2, TabellaA1[[#This Row],[VEN]]="X"), "X","")))))</f>
        <v/>
      </c>
      <c r="U117" s="139" t="str">
        <f t="shared" ca="1" si="6"/>
        <v/>
      </c>
    </row>
    <row r="118" spans="1:21" ht="30" x14ac:dyDescent="0.25">
      <c r="A118" s="167"/>
      <c r="B118" s="167" t="str">
        <f t="shared" si="7"/>
        <v>X</v>
      </c>
      <c r="C118" s="167" t="str">
        <f>IF(OR(TabellaA1[[#This Row],[LUN]]="X",TabellaA1[[#This Row],[MAR]]="X",TabellaA1[[#This Row],[MER]]="X",TabellaA1[[#This Row],[GIO]]="X",TabellaA1[[#This Row],[VEN]]="X",),"X","")</f>
        <v/>
      </c>
      <c r="D118" s="168" t="s">
        <v>143</v>
      </c>
      <c r="E118" s="170" t="s">
        <v>511</v>
      </c>
      <c r="F118" s="170">
        <v>100</v>
      </c>
      <c r="G118" s="170" t="s">
        <v>512</v>
      </c>
      <c r="H118" s="171"/>
      <c r="I118" s="171"/>
      <c r="J118" s="171"/>
      <c r="K118" s="171"/>
      <c r="L118" s="169"/>
      <c r="M118" s="129" t="s">
        <v>52</v>
      </c>
      <c r="N118" s="129"/>
      <c r="O118" s="172"/>
      <c r="P118" s="172"/>
      <c r="Q118" s="129" t="s">
        <v>513</v>
      </c>
      <c r="R118" s="129">
        <v>45656</v>
      </c>
      <c r="S118" s="129" t="s">
        <v>20</v>
      </c>
      <c r="T118" s="173" t="str">
        <f ca="1">IF(AND('Inserimento dati'!$B$3=$H$2, TabellaA1[[#This Row],[LUN]]="X"), "X",IF(AND('Inserimento dati'!$B$3=$I$2, TabellaA1[[#This Row],[MAR]]="X"), "X", IF(AND('Inserimento dati'!$B$3=$J$2, TabellaA1[[#This Row],[MER]]="X"), "X",IF(AND('Inserimento dati'!$B$3=$K$2, TabellaA1[[#This Row],[GIO]]="X"), "X", IF(AND('Inserimento dati'!$B$3=$L$2, TabellaA1[[#This Row],[VEN]]="X"), "X","")))))</f>
        <v/>
      </c>
      <c r="U118" s="139" t="str">
        <f t="shared" ca="1" si="6"/>
        <v/>
      </c>
    </row>
    <row r="119" spans="1:21" ht="30" x14ac:dyDescent="0.25">
      <c r="A119" s="167"/>
      <c r="B119" s="167" t="str">
        <f t="shared" si="7"/>
        <v>X</v>
      </c>
      <c r="C119" s="167" t="str">
        <f>IF(OR(TabellaA1[[#This Row],[LUN]]="X",TabellaA1[[#This Row],[MAR]]="X",TabellaA1[[#This Row],[MER]]="X",TabellaA1[[#This Row],[GIO]]="X",TabellaA1[[#This Row],[VEN]]="X",),"X","")</f>
        <v/>
      </c>
      <c r="D119" s="168" t="s">
        <v>143</v>
      </c>
      <c r="E119" s="170" t="s">
        <v>514</v>
      </c>
      <c r="F119" s="170">
        <v>400</v>
      </c>
      <c r="G119" s="170" t="s">
        <v>515</v>
      </c>
      <c r="H119" s="171"/>
      <c r="I119" s="171"/>
      <c r="J119" s="171"/>
      <c r="K119" s="171"/>
      <c r="L119" s="169"/>
      <c r="M119" s="129" t="s">
        <v>52</v>
      </c>
      <c r="N119" s="129"/>
      <c r="O119" s="172"/>
      <c r="P119" s="172"/>
      <c r="Q119" s="129" t="s">
        <v>516</v>
      </c>
      <c r="R119" s="129">
        <v>45672</v>
      </c>
      <c r="S119" s="129" t="s">
        <v>517</v>
      </c>
      <c r="T119" s="173" t="str">
        <f ca="1">IF(AND('Inserimento dati'!$B$3=$H$2, TabellaA1[[#This Row],[LUN]]="X"), "X",IF(AND('Inserimento dati'!$B$3=$I$2, TabellaA1[[#This Row],[MAR]]="X"), "X", IF(AND('Inserimento dati'!$B$3=$J$2, TabellaA1[[#This Row],[MER]]="X"), "X",IF(AND('Inserimento dati'!$B$3=$K$2, TabellaA1[[#This Row],[GIO]]="X"), "X", IF(AND('Inserimento dati'!$B$3=$L$2, TabellaA1[[#This Row],[VEN]]="X"), "X","")))))</f>
        <v/>
      </c>
      <c r="U119" s="139" t="str">
        <f t="shared" ca="1" si="6"/>
        <v/>
      </c>
    </row>
    <row r="120" spans="1:21" ht="45" x14ac:dyDescent="0.25">
      <c r="A120" s="167"/>
      <c r="B120" s="167" t="str">
        <f t="shared" si="7"/>
        <v>X</v>
      </c>
      <c r="C120" s="167" t="str">
        <f>IF(OR(TabellaA1[[#This Row],[LUN]]="X",TabellaA1[[#This Row],[MAR]]="X",TabellaA1[[#This Row],[MER]]="X",TabellaA1[[#This Row],[GIO]]="X",TabellaA1[[#This Row],[VEN]]="X",),"X","")</f>
        <v/>
      </c>
      <c r="D120" s="168" t="s">
        <v>143</v>
      </c>
      <c r="E120" s="170" t="s">
        <v>518</v>
      </c>
      <c r="F120" s="170">
        <v>100</v>
      </c>
      <c r="G120" s="170" t="s">
        <v>519</v>
      </c>
      <c r="H120" s="171"/>
      <c r="I120" s="171"/>
      <c r="J120" s="171"/>
      <c r="K120" s="171"/>
      <c r="L120" s="169"/>
      <c r="M120" s="129" t="s">
        <v>52</v>
      </c>
      <c r="N120" s="129"/>
      <c r="O120" s="172"/>
      <c r="P120" s="172"/>
      <c r="Q120" s="129" t="s">
        <v>520</v>
      </c>
      <c r="R120" s="129">
        <v>45672</v>
      </c>
      <c r="S120" s="129" t="s">
        <v>521</v>
      </c>
      <c r="T120" s="173" t="str">
        <f ca="1">IF(AND('Inserimento dati'!$B$3=$H$2, TabellaA1[[#This Row],[LUN]]="X"), "X",IF(AND('Inserimento dati'!$B$3=$I$2, TabellaA1[[#This Row],[MAR]]="X"), "X", IF(AND('Inserimento dati'!$B$3=$J$2, TabellaA1[[#This Row],[MER]]="X"), "X",IF(AND('Inserimento dati'!$B$3=$K$2, TabellaA1[[#This Row],[GIO]]="X"), "X", IF(AND('Inserimento dati'!$B$3=$L$2, TabellaA1[[#This Row],[VEN]]="X"), "X","")))))</f>
        <v/>
      </c>
      <c r="U120" s="139" t="str">
        <f t="shared" ca="1" si="6"/>
        <v/>
      </c>
    </row>
    <row r="121" spans="1:21" ht="30" x14ac:dyDescent="0.25">
      <c r="A121" s="167"/>
      <c r="B121" s="167" t="str">
        <f t="shared" si="7"/>
        <v>X</v>
      </c>
      <c r="C121" s="167" t="str">
        <f>IF(OR(TabellaA1[[#This Row],[LUN]]="X",TabellaA1[[#This Row],[MAR]]="X",TabellaA1[[#This Row],[MER]]="X",TabellaA1[[#This Row],[GIO]]="X",TabellaA1[[#This Row],[VEN]]="X",),"X","")</f>
        <v/>
      </c>
      <c r="D121" s="168" t="s">
        <v>143</v>
      </c>
      <c r="E121" s="170" t="s">
        <v>522</v>
      </c>
      <c r="F121" s="170">
        <v>100</v>
      </c>
      <c r="G121" s="170" t="s">
        <v>523</v>
      </c>
      <c r="H121" s="171"/>
      <c r="I121" s="171"/>
      <c r="J121" s="171"/>
      <c r="K121" s="171"/>
      <c r="L121" s="169"/>
      <c r="M121" s="129" t="s">
        <v>52</v>
      </c>
      <c r="N121" s="129"/>
      <c r="O121" s="172"/>
      <c r="P121" s="172"/>
      <c r="Q121" s="129" t="s">
        <v>524</v>
      </c>
      <c r="R121" s="129">
        <v>45672</v>
      </c>
      <c r="S121" s="129" t="s">
        <v>521</v>
      </c>
      <c r="T121" s="173" t="str">
        <f ca="1">IF(AND('Inserimento dati'!$B$3=$H$2, TabellaA1[[#This Row],[LUN]]="X"), "X",IF(AND('Inserimento dati'!$B$3=$I$2, TabellaA1[[#This Row],[MAR]]="X"), "X", IF(AND('Inserimento dati'!$B$3=$J$2, TabellaA1[[#This Row],[MER]]="X"), "X",IF(AND('Inserimento dati'!$B$3=$K$2, TabellaA1[[#This Row],[GIO]]="X"), "X", IF(AND('Inserimento dati'!$B$3=$L$2, TabellaA1[[#This Row],[VEN]]="X"), "X","")))))</f>
        <v/>
      </c>
      <c r="U121" s="139" t="str">
        <f t="shared" ca="1" si="6"/>
        <v/>
      </c>
    </row>
    <row r="122" spans="1:21" ht="45" x14ac:dyDescent="0.25">
      <c r="A122" s="167"/>
      <c r="B122" s="167" t="str">
        <f t="shared" si="7"/>
        <v>X</v>
      </c>
      <c r="C122" s="167" t="str">
        <f>IF(OR(TabellaA1[[#This Row],[LUN]]="X",TabellaA1[[#This Row],[MAR]]="X",TabellaA1[[#This Row],[MER]]="X",TabellaA1[[#This Row],[GIO]]="X",TabellaA1[[#This Row],[VEN]]="X",),"X","")</f>
        <v/>
      </c>
      <c r="D122" s="168" t="s">
        <v>143</v>
      </c>
      <c r="E122" s="170" t="s">
        <v>525</v>
      </c>
      <c r="F122" s="170">
        <v>100</v>
      </c>
      <c r="G122" s="170" t="s">
        <v>526</v>
      </c>
      <c r="H122" s="171"/>
      <c r="I122" s="171"/>
      <c r="J122" s="171"/>
      <c r="K122" s="171"/>
      <c r="L122" s="169"/>
      <c r="M122" s="129" t="s">
        <v>52</v>
      </c>
      <c r="N122" s="129"/>
      <c r="O122" s="172"/>
      <c r="P122" s="172"/>
      <c r="Q122" s="129" t="s">
        <v>527</v>
      </c>
      <c r="R122" s="129">
        <v>45672</v>
      </c>
      <c r="S122" s="129" t="s">
        <v>517</v>
      </c>
      <c r="T122" s="173" t="str">
        <f ca="1">IF(AND('Inserimento dati'!$B$3=$H$2, TabellaA1[[#This Row],[LUN]]="X"), "X",IF(AND('Inserimento dati'!$B$3=$I$2, TabellaA1[[#This Row],[MAR]]="X"), "X", IF(AND('Inserimento dati'!$B$3=$J$2, TabellaA1[[#This Row],[MER]]="X"), "X",IF(AND('Inserimento dati'!$B$3=$K$2, TabellaA1[[#This Row],[GIO]]="X"), "X", IF(AND('Inserimento dati'!$B$3=$L$2, TabellaA1[[#This Row],[VEN]]="X"), "X","")))))</f>
        <v/>
      </c>
      <c r="U122" s="139" t="str">
        <f t="shared" ca="1" si="6"/>
        <v/>
      </c>
    </row>
    <row r="123" spans="1:21" ht="30" x14ac:dyDescent="0.25">
      <c r="A123" s="167"/>
      <c r="B123" s="167" t="str">
        <f t="shared" si="7"/>
        <v>X</v>
      </c>
      <c r="C123" s="167" t="str">
        <f>IF(OR(TabellaA1[[#This Row],[LUN]]="X",TabellaA1[[#This Row],[MAR]]="X",TabellaA1[[#This Row],[MER]]="X",TabellaA1[[#This Row],[GIO]]="X",TabellaA1[[#This Row],[VEN]]="X",),"X","")</f>
        <v/>
      </c>
      <c r="D123" s="168" t="s">
        <v>143</v>
      </c>
      <c r="E123" s="170" t="s">
        <v>528</v>
      </c>
      <c r="F123" s="170">
        <v>100</v>
      </c>
      <c r="G123" s="170" t="s">
        <v>529</v>
      </c>
      <c r="H123" s="171"/>
      <c r="I123" s="171"/>
      <c r="J123" s="171"/>
      <c r="K123" s="171"/>
      <c r="L123" s="169"/>
      <c r="M123" s="129" t="s">
        <v>52</v>
      </c>
      <c r="N123" s="129"/>
      <c r="O123" s="172"/>
      <c r="P123" s="172"/>
      <c r="Q123" s="129" t="s">
        <v>530</v>
      </c>
      <c r="R123" s="129">
        <v>45671</v>
      </c>
      <c r="S123" s="129" t="s">
        <v>318</v>
      </c>
      <c r="T123" s="173" t="str">
        <f ca="1">IF(AND('Inserimento dati'!$B$3=$H$2, TabellaA1[[#This Row],[LUN]]="X"), "X",IF(AND('Inserimento dati'!$B$3=$I$2, TabellaA1[[#This Row],[MAR]]="X"), "X", IF(AND('Inserimento dati'!$B$3=$J$2, TabellaA1[[#This Row],[MER]]="X"), "X",IF(AND('Inserimento dati'!$B$3=$K$2, TabellaA1[[#This Row],[GIO]]="X"), "X", IF(AND('Inserimento dati'!$B$3=$L$2, TabellaA1[[#This Row],[VEN]]="X"), "X","")))))</f>
        <v/>
      </c>
      <c r="U123" s="139" t="str">
        <f t="shared" ca="1" si="6"/>
        <v>10211872</v>
      </c>
    </row>
    <row r="124" spans="1:21" ht="23.25" x14ac:dyDescent="0.25">
      <c r="A124" s="167"/>
      <c r="B124" s="167" t="str">
        <f t="shared" si="7"/>
        <v>X</v>
      </c>
      <c r="C124" s="167" t="str">
        <f>IF(OR(TabellaA1[[#This Row],[LUN]]="X",TabellaA1[[#This Row],[MAR]]="X",TabellaA1[[#This Row],[MER]]="X",TabellaA1[[#This Row],[GIO]]="X",TabellaA1[[#This Row],[VEN]]="X",),"X","")</f>
        <v/>
      </c>
      <c r="D124" s="168" t="s">
        <v>143</v>
      </c>
      <c r="E124" s="170" t="s">
        <v>531</v>
      </c>
      <c r="F124" s="170">
        <v>100</v>
      </c>
      <c r="G124" s="170" t="s">
        <v>532</v>
      </c>
      <c r="H124" s="171"/>
      <c r="I124" s="171"/>
      <c r="J124" s="171"/>
      <c r="K124" s="171"/>
      <c r="L124" s="169"/>
      <c r="M124" s="129" t="s">
        <v>52</v>
      </c>
      <c r="N124" s="129"/>
      <c r="O124" s="172"/>
      <c r="P124" s="172"/>
      <c r="Q124" s="129"/>
      <c r="R124" s="129">
        <v>45656</v>
      </c>
      <c r="S124" s="129" t="s">
        <v>20</v>
      </c>
      <c r="T124" s="173" t="str">
        <f ca="1">IF(AND('Inserimento dati'!$B$3=$H$2, TabellaA1[[#This Row],[LUN]]="X"), "X",IF(AND('Inserimento dati'!$B$3=$I$2, TabellaA1[[#This Row],[MAR]]="X"), "X", IF(AND('Inserimento dati'!$B$3=$J$2, TabellaA1[[#This Row],[MER]]="X"), "X",IF(AND('Inserimento dati'!$B$3=$K$2, TabellaA1[[#This Row],[GIO]]="X"), "X", IF(AND('Inserimento dati'!$B$3=$L$2, TabellaA1[[#This Row],[VEN]]="X"), "X","")))))</f>
        <v/>
      </c>
      <c r="U124" s="139" t="str">
        <f t="shared" ca="1" si="6"/>
        <v/>
      </c>
    </row>
    <row r="125" spans="1:21" ht="30" x14ac:dyDescent="0.25">
      <c r="A125" s="167"/>
      <c r="B125" s="167" t="str">
        <f t="shared" si="7"/>
        <v>X</v>
      </c>
      <c r="C125" s="167" t="str">
        <f>IF(OR(TabellaA1[[#This Row],[LUN]]="X",TabellaA1[[#This Row],[MAR]]="X",TabellaA1[[#This Row],[MER]]="X",TabellaA1[[#This Row],[GIO]]="X",TabellaA1[[#This Row],[VEN]]="X",),"X","")</f>
        <v/>
      </c>
      <c r="D125" s="168" t="s">
        <v>143</v>
      </c>
      <c r="E125" s="170" t="s">
        <v>533</v>
      </c>
      <c r="F125" s="170">
        <v>400</v>
      </c>
      <c r="G125" s="170" t="s">
        <v>534</v>
      </c>
      <c r="H125" s="171"/>
      <c r="I125" s="171"/>
      <c r="J125" s="171"/>
      <c r="K125" s="171"/>
      <c r="L125" s="169"/>
      <c r="M125" s="129" t="s">
        <v>52</v>
      </c>
      <c r="N125" s="129"/>
      <c r="O125" s="172"/>
      <c r="P125" s="172"/>
      <c r="Q125" s="129"/>
      <c r="R125" s="129">
        <v>45649</v>
      </c>
      <c r="S125" s="129" t="s">
        <v>535</v>
      </c>
      <c r="T125" s="173" t="str">
        <f ca="1">IF(AND('Inserimento dati'!$B$3=$H$2, TabellaA1[[#This Row],[LUN]]="X"), "X",IF(AND('Inserimento dati'!$B$3=$I$2, TabellaA1[[#This Row],[MAR]]="X"), "X", IF(AND('Inserimento dati'!$B$3=$J$2, TabellaA1[[#This Row],[MER]]="X"), "X",IF(AND('Inserimento dati'!$B$3=$K$2, TabellaA1[[#This Row],[GIO]]="X"), "X", IF(AND('Inserimento dati'!$B$3=$L$2, TabellaA1[[#This Row],[VEN]]="X"), "X","")))))</f>
        <v/>
      </c>
      <c r="U125" s="139" t="str">
        <f t="shared" ca="1" si="6"/>
        <v/>
      </c>
    </row>
    <row r="126" spans="1:21" ht="23.25" x14ac:dyDescent="0.25">
      <c r="A126" s="167"/>
      <c r="B126" s="167" t="str">
        <f t="shared" si="7"/>
        <v>X</v>
      </c>
      <c r="C126" s="167" t="str">
        <f>IF(OR(TabellaA1[[#This Row],[LUN]]="X",TabellaA1[[#This Row],[MAR]]="X",TabellaA1[[#This Row],[MER]]="X",TabellaA1[[#This Row],[GIO]]="X",TabellaA1[[#This Row],[VEN]]="X",),"X","")</f>
        <v/>
      </c>
      <c r="D126" s="168" t="s">
        <v>143</v>
      </c>
      <c r="E126" s="170" t="s">
        <v>536</v>
      </c>
      <c r="F126" s="170">
        <v>100</v>
      </c>
      <c r="G126" s="170" t="s">
        <v>537</v>
      </c>
      <c r="H126" s="171"/>
      <c r="I126" s="171"/>
      <c r="J126" s="171"/>
      <c r="K126" s="171"/>
      <c r="L126" s="169"/>
      <c r="M126" s="129" t="s">
        <v>52</v>
      </c>
      <c r="N126" s="129"/>
      <c r="O126" s="172"/>
      <c r="P126" s="172"/>
      <c r="Q126" s="129"/>
      <c r="R126" s="129">
        <v>45646</v>
      </c>
      <c r="S126" s="129" t="s">
        <v>20</v>
      </c>
      <c r="T126" s="173" t="str">
        <f ca="1">IF(AND('Inserimento dati'!$B$3=$H$2, TabellaA1[[#This Row],[LUN]]="X"), "X",IF(AND('Inserimento dati'!$B$3=$I$2, TabellaA1[[#This Row],[MAR]]="X"), "X", IF(AND('Inserimento dati'!$B$3=$J$2, TabellaA1[[#This Row],[MER]]="X"), "X",IF(AND('Inserimento dati'!$B$3=$K$2, TabellaA1[[#This Row],[GIO]]="X"), "X", IF(AND('Inserimento dati'!$B$3=$L$2, TabellaA1[[#This Row],[VEN]]="X"), "X","")))))</f>
        <v/>
      </c>
      <c r="U126" s="139" t="str">
        <f t="shared" ca="1" si="6"/>
        <v/>
      </c>
    </row>
    <row r="127" spans="1:21" ht="23.25" x14ac:dyDescent="0.25">
      <c r="A127" s="167"/>
      <c r="B127" s="167" t="str">
        <f t="shared" si="7"/>
        <v>X</v>
      </c>
      <c r="C127" s="167" t="str">
        <f>IF(OR(TabellaA1[[#This Row],[LUN]]="X",TabellaA1[[#This Row],[MAR]]="X",TabellaA1[[#This Row],[MER]]="X",TabellaA1[[#This Row],[GIO]]="X",TabellaA1[[#This Row],[VEN]]="X",),"X","")</f>
        <v/>
      </c>
      <c r="D127" s="168" t="s">
        <v>143</v>
      </c>
      <c r="E127" s="170" t="s">
        <v>538</v>
      </c>
      <c r="F127" s="170">
        <v>100</v>
      </c>
      <c r="G127" s="170" t="s">
        <v>539</v>
      </c>
      <c r="H127" s="171"/>
      <c r="I127" s="171"/>
      <c r="J127" s="171"/>
      <c r="K127" s="171"/>
      <c r="L127" s="169"/>
      <c r="M127" s="129" t="s">
        <v>52</v>
      </c>
      <c r="N127" s="129"/>
      <c r="O127" s="172"/>
      <c r="P127" s="172"/>
      <c r="Q127" s="129"/>
      <c r="R127" s="129">
        <v>45646</v>
      </c>
      <c r="S127" s="129" t="s">
        <v>20</v>
      </c>
      <c r="T127" s="173" t="str">
        <f ca="1">IF(AND('Inserimento dati'!$B$3=$H$2, TabellaA1[[#This Row],[LUN]]="X"), "X",IF(AND('Inserimento dati'!$B$3=$I$2, TabellaA1[[#This Row],[MAR]]="X"), "X", IF(AND('Inserimento dati'!$B$3=$J$2, TabellaA1[[#This Row],[MER]]="X"), "X",IF(AND('Inserimento dati'!$B$3=$K$2, TabellaA1[[#This Row],[GIO]]="X"), "X", IF(AND('Inserimento dati'!$B$3=$L$2, TabellaA1[[#This Row],[VEN]]="X"), "X","")))))</f>
        <v/>
      </c>
      <c r="U127" s="139" t="str">
        <f t="shared" ca="1" si="6"/>
        <v/>
      </c>
    </row>
    <row r="128" spans="1:21" ht="23.25" x14ac:dyDescent="0.25">
      <c r="A128" s="167"/>
      <c r="B128" s="167" t="str">
        <f t="shared" si="7"/>
        <v>X</v>
      </c>
      <c r="C128" s="167" t="str">
        <f>IF(OR(TabellaA1[[#This Row],[LUN]]="X",TabellaA1[[#This Row],[MAR]]="X",TabellaA1[[#This Row],[MER]]="X",TabellaA1[[#This Row],[GIO]]="X",TabellaA1[[#This Row],[VEN]]="X",),"X","")</f>
        <v/>
      </c>
      <c r="D128" s="168" t="s">
        <v>143</v>
      </c>
      <c r="E128" s="170" t="s">
        <v>540</v>
      </c>
      <c r="F128" s="170">
        <v>300</v>
      </c>
      <c r="G128" s="170" t="s">
        <v>541</v>
      </c>
      <c r="H128" s="171"/>
      <c r="I128" s="171"/>
      <c r="J128" s="171"/>
      <c r="K128" s="171"/>
      <c r="L128" s="169"/>
      <c r="M128" s="129" t="s">
        <v>52</v>
      </c>
      <c r="N128" s="129"/>
      <c r="O128" s="172"/>
      <c r="P128" s="172"/>
      <c r="Q128" s="129"/>
      <c r="R128" s="129"/>
      <c r="S128" s="129"/>
      <c r="T128" s="173" t="str">
        <f ca="1">IF(AND('Inserimento dati'!$B$3=$H$2, TabellaA1[[#This Row],[LUN]]="X"), "X",IF(AND('Inserimento dati'!$B$3=$I$2, TabellaA1[[#This Row],[MAR]]="X"), "X", IF(AND('Inserimento dati'!$B$3=$J$2, TabellaA1[[#This Row],[MER]]="X"), "X",IF(AND('Inserimento dati'!$B$3=$K$2, TabellaA1[[#This Row],[GIO]]="X"), "X", IF(AND('Inserimento dati'!$B$3=$L$2, TabellaA1[[#This Row],[VEN]]="X"), "X","")))))</f>
        <v/>
      </c>
      <c r="U128" s="139" t="str">
        <f t="shared" ca="1" si="6"/>
        <v/>
      </c>
    </row>
    <row r="129" spans="1:21" ht="23.25" x14ac:dyDescent="0.25">
      <c r="A129" s="167"/>
      <c r="B129" s="167" t="str">
        <f t="shared" si="7"/>
        <v>X</v>
      </c>
      <c r="C129" s="167" t="str">
        <f>IF(OR(TabellaA1[[#This Row],[LUN]]="X",TabellaA1[[#This Row],[MAR]]="X",TabellaA1[[#This Row],[MER]]="X",TabellaA1[[#This Row],[GIO]]="X",TabellaA1[[#This Row],[VEN]]="X",),"X","")</f>
        <v/>
      </c>
      <c r="D129" s="168" t="s">
        <v>143</v>
      </c>
      <c r="E129" s="170" t="s">
        <v>542</v>
      </c>
      <c r="F129" s="170">
        <v>400</v>
      </c>
      <c r="G129" s="170" t="s">
        <v>543</v>
      </c>
      <c r="H129" s="171"/>
      <c r="I129" s="171"/>
      <c r="J129" s="171"/>
      <c r="K129" s="171"/>
      <c r="L129" s="169"/>
      <c r="M129" s="129" t="s">
        <v>52</v>
      </c>
      <c r="N129" s="129"/>
      <c r="O129" s="172"/>
      <c r="P129" s="172"/>
      <c r="Q129" s="129"/>
      <c r="R129" s="129"/>
      <c r="S129" s="129"/>
      <c r="T129" s="173" t="str">
        <f ca="1">IF(AND('Inserimento dati'!$B$3=$H$2, TabellaA1[[#This Row],[LUN]]="X"), "X",IF(AND('Inserimento dati'!$B$3=$I$2, TabellaA1[[#This Row],[MAR]]="X"), "X", IF(AND('Inserimento dati'!$B$3=$J$2, TabellaA1[[#This Row],[MER]]="X"), "X",IF(AND('Inserimento dati'!$B$3=$K$2, TabellaA1[[#This Row],[GIO]]="X"), "X", IF(AND('Inserimento dati'!$B$3=$L$2, TabellaA1[[#This Row],[VEN]]="X"), "X","")))))</f>
        <v/>
      </c>
      <c r="U129" s="139" t="str">
        <f t="shared" ca="1" si="6"/>
        <v/>
      </c>
    </row>
    <row r="130" spans="1:21" ht="30" x14ac:dyDescent="0.25">
      <c r="A130" s="167"/>
      <c r="B130" s="167" t="str">
        <f t="shared" si="7"/>
        <v>X</v>
      </c>
      <c r="C130" s="167" t="str">
        <f>IF(OR(TabellaA1[[#This Row],[LUN]]="X",TabellaA1[[#This Row],[MAR]]="X",TabellaA1[[#This Row],[MER]]="X",TabellaA1[[#This Row],[GIO]]="X",TabellaA1[[#This Row],[VEN]]="X",),"X","")</f>
        <v/>
      </c>
      <c r="D130" s="168" t="s">
        <v>143</v>
      </c>
      <c r="E130" s="170" t="s">
        <v>544</v>
      </c>
      <c r="F130" s="170">
        <v>900</v>
      </c>
      <c r="G130" s="170" t="s">
        <v>545</v>
      </c>
      <c r="H130" s="171"/>
      <c r="I130" s="171"/>
      <c r="J130" s="171"/>
      <c r="K130" s="171"/>
      <c r="L130" s="169"/>
      <c r="M130" s="129" t="s">
        <v>52</v>
      </c>
      <c r="N130" s="129"/>
      <c r="O130" s="172"/>
      <c r="P130" s="172"/>
      <c r="Q130" s="129"/>
      <c r="R130" s="129">
        <v>45609</v>
      </c>
      <c r="S130" s="129" t="s">
        <v>546</v>
      </c>
      <c r="T130" s="173" t="str">
        <f ca="1">IF(AND('Inserimento dati'!$B$3=$H$2, TabellaA1[[#This Row],[LUN]]="X"), "X",IF(AND('Inserimento dati'!$B$3=$I$2, TabellaA1[[#This Row],[MAR]]="X"), "X", IF(AND('Inserimento dati'!$B$3=$J$2, TabellaA1[[#This Row],[MER]]="X"), "X",IF(AND('Inserimento dati'!$B$3=$K$2, TabellaA1[[#This Row],[GIO]]="X"), "X", IF(AND('Inserimento dati'!$B$3=$L$2, TabellaA1[[#This Row],[VEN]]="X"), "X","")))))</f>
        <v/>
      </c>
      <c r="U130" s="139" t="str">
        <f t="shared" ca="1" si="6"/>
        <v/>
      </c>
    </row>
    <row r="131" spans="1:21" ht="30" x14ac:dyDescent="0.25">
      <c r="A131" s="167"/>
      <c r="B131" s="167" t="str">
        <f t="shared" si="7"/>
        <v>X</v>
      </c>
      <c r="C131" s="167" t="str">
        <f>IF(OR(TabellaA1[[#This Row],[LUN]]="X",TabellaA1[[#This Row],[MAR]]="X",TabellaA1[[#This Row],[MER]]="X",TabellaA1[[#This Row],[GIO]]="X",TabellaA1[[#This Row],[VEN]]="X",),"X","")</f>
        <v/>
      </c>
      <c r="D131" s="168" t="s">
        <v>143</v>
      </c>
      <c r="E131" s="170" t="s">
        <v>547</v>
      </c>
      <c r="F131" s="170">
        <v>900</v>
      </c>
      <c r="G131" s="170" t="s">
        <v>548</v>
      </c>
      <c r="H131" s="171"/>
      <c r="I131" s="171"/>
      <c r="J131" s="171"/>
      <c r="K131" s="171"/>
      <c r="L131" s="169"/>
      <c r="M131" s="129" t="s">
        <v>52</v>
      </c>
      <c r="N131" s="129"/>
      <c r="O131" s="172"/>
      <c r="P131" s="172"/>
      <c r="Q131" s="129"/>
      <c r="R131" s="129">
        <v>45609</v>
      </c>
      <c r="S131" s="129" t="s">
        <v>546</v>
      </c>
      <c r="T131" s="173" t="str">
        <f ca="1">IF(AND('Inserimento dati'!$B$3=$H$2, TabellaA1[[#This Row],[LUN]]="X"), "X",IF(AND('Inserimento dati'!$B$3=$I$2, TabellaA1[[#This Row],[MAR]]="X"), "X", IF(AND('Inserimento dati'!$B$3=$J$2, TabellaA1[[#This Row],[MER]]="X"), "X",IF(AND('Inserimento dati'!$B$3=$K$2, TabellaA1[[#This Row],[GIO]]="X"), "X", IF(AND('Inserimento dati'!$B$3=$L$2, TabellaA1[[#This Row],[VEN]]="X"), "X","")))))</f>
        <v/>
      </c>
      <c r="U131" s="139" t="str">
        <f t="shared" ca="1" si="6"/>
        <v/>
      </c>
    </row>
    <row r="132" spans="1:21" ht="30" x14ac:dyDescent="0.25">
      <c r="A132" s="167"/>
      <c r="B132" s="167" t="str">
        <f t="shared" si="7"/>
        <v>X</v>
      </c>
      <c r="C132" s="167" t="str">
        <f>IF(OR(TabellaA1[[#This Row],[LUN]]="X",TabellaA1[[#This Row],[MAR]]="X",TabellaA1[[#This Row],[MER]]="X",TabellaA1[[#This Row],[GIO]]="X",TabellaA1[[#This Row],[VEN]]="X",),"X","")</f>
        <v/>
      </c>
      <c r="D132" s="168" t="s">
        <v>143</v>
      </c>
      <c r="E132" s="170" t="s">
        <v>549</v>
      </c>
      <c r="F132" s="170">
        <v>300</v>
      </c>
      <c r="G132" s="170" t="s">
        <v>550</v>
      </c>
      <c r="H132" s="171"/>
      <c r="I132" s="171"/>
      <c r="J132" s="171"/>
      <c r="K132" s="171"/>
      <c r="L132" s="169"/>
      <c r="M132" s="129" t="s">
        <v>52</v>
      </c>
      <c r="N132" s="129"/>
      <c r="O132" s="172"/>
      <c r="P132" s="172"/>
      <c r="Q132" s="129"/>
      <c r="R132" s="129"/>
      <c r="S132" s="129"/>
      <c r="T132" s="173" t="str">
        <f ca="1">IF(AND('Inserimento dati'!$B$3=$H$2, TabellaA1[[#This Row],[LUN]]="X"), "X",IF(AND('Inserimento dati'!$B$3=$I$2, TabellaA1[[#This Row],[MAR]]="X"), "X", IF(AND('Inserimento dati'!$B$3=$J$2, TabellaA1[[#This Row],[MER]]="X"), "X",IF(AND('Inserimento dati'!$B$3=$K$2, TabellaA1[[#This Row],[GIO]]="X"), "X", IF(AND('Inserimento dati'!$B$3=$L$2, TabellaA1[[#This Row],[VEN]]="X"), "X","")))))</f>
        <v/>
      </c>
      <c r="U132" s="139" t="str">
        <f t="shared" ca="1" si="6"/>
        <v/>
      </c>
    </row>
    <row r="133" spans="1:21" ht="30" x14ac:dyDescent="0.25">
      <c r="A133" s="167"/>
      <c r="B133" s="167" t="str">
        <f t="shared" si="7"/>
        <v>X</v>
      </c>
      <c r="C133" s="167" t="str">
        <f>IF(OR(TabellaA1[[#This Row],[LUN]]="X",TabellaA1[[#This Row],[MAR]]="X",TabellaA1[[#This Row],[MER]]="X",TabellaA1[[#This Row],[GIO]]="X",TabellaA1[[#This Row],[VEN]]="X",),"X","")</f>
        <v/>
      </c>
      <c r="D133" s="168" t="s">
        <v>143</v>
      </c>
      <c r="E133" s="170" t="s">
        <v>551</v>
      </c>
      <c r="F133" s="170">
        <v>100</v>
      </c>
      <c r="G133" s="170" t="s">
        <v>552</v>
      </c>
      <c r="H133" s="171"/>
      <c r="I133" s="171"/>
      <c r="J133" s="171"/>
      <c r="K133" s="171"/>
      <c r="L133" s="169"/>
      <c r="M133" s="129" t="s">
        <v>52</v>
      </c>
      <c r="N133" s="129"/>
      <c r="O133" s="172"/>
      <c r="P133" s="172"/>
      <c r="Q133" s="129"/>
      <c r="R133" s="129"/>
      <c r="S133" s="129"/>
      <c r="T133" s="173" t="str">
        <f ca="1">IF(AND('Inserimento dati'!$B$3=$H$2, TabellaA1[[#This Row],[LUN]]="X"), "X",IF(AND('Inserimento dati'!$B$3=$I$2, TabellaA1[[#This Row],[MAR]]="X"), "X", IF(AND('Inserimento dati'!$B$3=$J$2, TabellaA1[[#This Row],[MER]]="X"), "X",IF(AND('Inserimento dati'!$B$3=$K$2, TabellaA1[[#This Row],[GIO]]="X"), "X", IF(AND('Inserimento dati'!$B$3=$L$2, TabellaA1[[#This Row],[VEN]]="X"), "X","")))))</f>
        <v/>
      </c>
      <c r="U133" s="139" t="str">
        <f t="shared" ca="1" si="6"/>
        <v/>
      </c>
    </row>
    <row r="134" spans="1:21" ht="23.25" x14ac:dyDescent="0.25">
      <c r="A134" s="167"/>
      <c r="B134" s="167" t="str">
        <f t="shared" si="7"/>
        <v>X</v>
      </c>
      <c r="C134" s="167" t="str">
        <f>IF(OR(TabellaA1[[#This Row],[LUN]]="X",TabellaA1[[#This Row],[MAR]]="X",TabellaA1[[#This Row],[MER]]="X",TabellaA1[[#This Row],[GIO]]="X",TabellaA1[[#This Row],[VEN]]="X",),"X","")</f>
        <v/>
      </c>
      <c r="D134" s="168" t="s">
        <v>143</v>
      </c>
      <c r="E134" s="170" t="s">
        <v>553</v>
      </c>
      <c r="F134" s="170">
        <v>100</v>
      </c>
      <c r="G134" s="170" t="s">
        <v>554</v>
      </c>
      <c r="H134" s="171"/>
      <c r="I134" s="171"/>
      <c r="J134" s="171"/>
      <c r="K134" s="171"/>
      <c r="L134" s="169"/>
      <c r="M134" s="129" t="s">
        <v>52</v>
      </c>
      <c r="N134" s="129"/>
      <c r="O134" s="172"/>
      <c r="P134" s="172"/>
      <c r="Q134" s="129"/>
      <c r="R134" s="129"/>
      <c r="S134" s="129"/>
      <c r="T134" s="173" t="str">
        <f ca="1">IF(AND('Inserimento dati'!$B$3=$H$2, TabellaA1[[#This Row],[LUN]]="X"), "X",IF(AND('Inserimento dati'!$B$3=$I$2, TabellaA1[[#This Row],[MAR]]="X"), "X", IF(AND('Inserimento dati'!$B$3=$J$2, TabellaA1[[#This Row],[MER]]="X"), "X",IF(AND('Inserimento dati'!$B$3=$K$2, TabellaA1[[#This Row],[GIO]]="X"), "X", IF(AND('Inserimento dati'!$B$3=$L$2, TabellaA1[[#This Row],[VEN]]="X"), "X","")))))</f>
        <v/>
      </c>
      <c r="U134" s="139" t="str">
        <f t="shared" ca="1" si="6"/>
        <v/>
      </c>
    </row>
    <row r="135" spans="1:21" ht="23.25" x14ac:dyDescent="0.25">
      <c r="A135" s="167"/>
      <c r="B135" s="167" t="str">
        <f t="shared" si="7"/>
        <v>X</v>
      </c>
      <c r="C135" s="167" t="str">
        <f>IF(OR(TabellaA1[[#This Row],[LUN]]="X",TabellaA1[[#This Row],[MAR]]="X",TabellaA1[[#This Row],[MER]]="X",TabellaA1[[#This Row],[GIO]]="X",TabellaA1[[#This Row],[VEN]]="X",),"X","")</f>
        <v/>
      </c>
      <c r="D135" s="168" t="s">
        <v>143</v>
      </c>
      <c r="E135" s="170" t="s">
        <v>555</v>
      </c>
      <c r="F135" s="170">
        <v>900</v>
      </c>
      <c r="G135" s="170" t="s">
        <v>556</v>
      </c>
      <c r="H135" s="171"/>
      <c r="I135" s="171"/>
      <c r="J135" s="171"/>
      <c r="K135" s="171"/>
      <c r="L135" s="169"/>
      <c r="M135" s="129" t="s">
        <v>52</v>
      </c>
      <c r="N135" s="129"/>
      <c r="O135" s="172"/>
      <c r="P135" s="172"/>
      <c r="Q135" s="129"/>
      <c r="R135" s="129"/>
      <c r="S135" s="129"/>
      <c r="T135" s="173" t="str">
        <f ca="1">IF(AND('Inserimento dati'!$B$3=$H$2, TabellaA1[[#This Row],[LUN]]="X"), "X",IF(AND('Inserimento dati'!$B$3=$I$2, TabellaA1[[#This Row],[MAR]]="X"), "X", IF(AND('Inserimento dati'!$B$3=$J$2, TabellaA1[[#This Row],[MER]]="X"), "X",IF(AND('Inserimento dati'!$B$3=$K$2, TabellaA1[[#This Row],[GIO]]="X"), "X", IF(AND('Inserimento dati'!$B$3=$L$2, TabellaA1[[#This Row],[VEN]]="X"), "X","")))))</f>
        <v/>
      </c>
      <c r="U135" s="139" t="str">
        <f t="shared" ca="1" si="6"/>
        <v/>
      </c>
    </row>
    <row r="136" spans="1:21" ht="23.25" x14ac:dyDescent="0.25">
      <c r="A136" s="167"/>
      <c r="B136" s="167" t="str">
        <f t="shared" si="7"/>
        <v>X</v>
      </c>
      <c r="C136" s="167" t="str">
        <f>IF(OR(TabellaA1[[#This Row],[LUN]]="X",TabellaA1[[#This Row],[MAR]]="X",TabellaA1[[#This Row],[MER]]="X",TabellaA1[[#This Row],[GIO]]="X",TabellaA1[[#This Row],[VEN]]="X",),"X","")</f>
        <v/>
      </c>
      <c r="D136" s="168" t="s">
        <v>143</v>
      </c>
      <c r="E136" s="170" t="s">
        <v>557</v>
      </c>
      <c r="F136" s="170">
        <v>900</v>
      </c>
      <c r="G136" s="170" t="s">
        <v>558</v>
      </c>
      <c r="H136" s="171"/>
      <c r="I136" s="171"/>
      <c r="J136" s="171"/>
      <c r="K136" s="171"/>
      <c r="L136" s="169"/>
      <c r="M136" s="129" t="s">
        <v>52</v>
      </c>
      <c r="N136" s="129"/>
      <c r="O136" s="172"/>
      <c r="P136" s="172"/>
      <c r="Q136" s="129"/>
      <c r="R136" s="129"/>
      <c r="S136" s="129"/>
      <c r="T136" s="173" t="str">
        <f ca="1">IF(AND('Inserimento dati'!$B$3=$H$2, TabellaA1[[#This Row],[LUN]]="X"), "X",IF(AND('Inserimento dati'!$B$3=$I$2, TabellaA1[[#This Row],[MAR]]="X"), "X", IF(AND('Inserimento dati'!$B$3=$J$2, TabellaA1[[#This Row],[MER]]="X"), "X",IF(AND('Inserimento dati'!$B$3=$K$2, TabellaA1[[#This Row],[GIO]]="X"), "X", IF(AND('Inserimento dati'!$B$3=$L$2, TabellaA1[[#This Row],[VEN]]="X"), "X","")))))</f>
        <v/>
      </c>
      <c r="U136" s="139" t="str">
        <f t="shared" ca="1" si="6"/>
        <v/>
      </c>
    </row>
    <row r="137" spans="1:21" ht="23.25" x14ac:dyDescent="0.25">
      <c r="A137" s="167"/>
      <c r="B137" s="167" t="str">
        <f t="shared" si="7"/>
        <v>X</v>
      </c>
      <c r="C137" s="167" t="str">
        <f>IF(OR(TabellaA1[[#This Row],[LUN]]="X",TabellaA1[[#This Row],[MAR]]="X",TabellaA1[[#This Row],[MER]]="X",TabellaA1[[#This Row],[GIO]]="X",TabellaA1[[#This Row],[VEN]]="X",),"X","")</f>
        <v/>
      </c>
      <c r="D137" s="168" t="s">
        <v>143</v>
      </c>
      <c r="E137" s="170" t="s">
        <v>559</v>
      </c>
      <c r="F137" s="170">
        <v>900</v>
      </c>
      <c r="G137" s="170" t="s">
        <v>560</v>
      </c>
      <c r="H137" s="171"/>
      <c r="I137" s="171"/>
      <c r="J137" s="171"/>
      <c r="K137" s="171"/>
      <c r="L137" s="169"/>
      <c r="M137" s="129" t="s">
        <v>52</v>
      </c>
      <c r="N137" s="129"/>
      <c r="O137" s="172"/>
      <c r="P137" s="172"/>
      <c r="Q137" s="129"/>
      <c r="R137" s="129"/>
      <c r="S137" s="129"/>
      <c r="T137" s="173" t="str">
        <f ca="1">IF(AND('Inserimento dati'!$B$3=$H$2, TabellaA1[[#This Row],[LUN]]="X"), "X",IF(AND('Inserimento dati'!$B$3=$I$2, TabellaA1[[#This Row],[MAR]]="X"), "X", IF(AND('Inserimento dati'!$B$3=$J$2, TabellaA1[[#This Row],[MER]]="X"), "X",IF(AND('Inserimento dati'!$B$3=$K$2, TabellaA1[[#This Row],[GIO]]="X"), "X", IF(AND('Inserimento dati'!$B$3=$L$2, TabellaA1[[#This Row],[VEN]]="X"), "X","")))))</f>
        <v/>
      </c>
      <c r="U137" s="139" t="str">
        <f t="shared" ca="1" si="6"/>
        <v/>
      </c>
    </row>
    <row r="138" spans="1:21" ht="23.25" x14ac:dyDescent="0.25">
      <c r="A138" s="167"/>
      <c r="B138" s="167" t="str">
        <f t="shared" si="7"/>
        <v>X</v>
      </c>
      <c r="C138" s="167" t="str">
        <f>IF(OR(TabellaA1[[#This Row],[LUN]]="X",TabellaA1[[#This Row],[MAR]]="X",TabellaA1[[#This Row],[MER]]="X",TabellaA1[[#This Row],[GIO]]="X",TabellaA1[[#This Row],[VEN]]="X",),"X","")</f>
        <v/>
      </c>
      <c r="D138" s="168" t="s">
        <v>143</v>
      </c>
      <c r="E138" s="170" t="s">
        <v>561</v>
      </c>
      <c r="F138" s="170">
        <v>900</v>
      </c>
      <c r="G138" s="170" t="s">
        <v>562</v>
      </c>
      <c r="H138" s="171"/>
      <c r="I138" s="171"/>
      <c r="J138" s="171"/>
      <c r="K138" s="171"/>
      <c r="L138" s="169"/>
      <c r="M138" s="129" t="s">
        <v>52</v>
      </c>
      <c r="N138" s="129"/>
      <c r="O138" s="172"/>
      <c r="P138" s="172"/>
      <c r="Q138" s="129"/>
      <c r="R138" s="129"/>
      <c r="S138" s="129"/>
      <c r="T138" s="173" t="str">
        <f ca="1">IF(AND('Inserimento dati'!$B$3=$H$2, TabellaA1[[#This Row],[LUN]]="X"), "X",IF(AND('Inserimento dati'!$B$3=$I$2, TabellaA1[[#This Row],[MAR]]="X"), "X", IF(AND('Inserimento dati'!$B$3=$J$2, TabellaA1[[#This Row],[MER]]="X"), "X",IF(AND('Inserimento dati'!$B$3=$K$2, TabellaA1[[#This Row],[GIO]]="X"), "X", IF(AND('Inserimento dati'!$B$3=$L$2, TabellaA1[[#This Row],[VEN]]="X"), "X","")))))</f>
        <v/>
      </c>
      <c r="U138" s="139" t="str">
        <f t="shared" ref="U138:U170" ca="1" si="8">IFERROR(MID(G138,_xlfn.AGGREGATE(15,6,(ROW(INDIRECT("1:"&amp;LEN(G138)-7)))/(ISNUMBER(--MID(G138,ROW(INDIRECT("1:"&amp;LEN(G138)-7)),8))),1),8),"")</f>
        <v/>
      </c>
    </row>
    <row r="139" spans="1:21" ht="23.25" x14ac:dyDescent="0.25">
      <c r="A139" s="167"/>
      <c r="B139" s="167" t="str">
        <f t="shared" si="7"/>
        <v>X</v>
      </c>
      <c r="C139" s="167" t="str">
        <f>IF(OR(TabellaA1[[#This Row],[LUN]]="X",TabellaA1[[#This Row],[MAR]]="X",TabellaA1[[#This Row],[MER]]="X",TabellaA1[[#This Row],[GIO]]="X",TabellaA1[[#This Row],[VEN]]="X",),"X","")</f>
        <v/>
      </c>
      <c r="D139" s="168" t="s">
        <v>143</v>
      </c>
      <c r="E139" s="170" t="s">
        <v>563</v>
      </c>
      <c r="F139" s="170">
        <v>300</v>
      </c>
      <c r="G139" s="170" t="s">
        <v>564</v>
      </c>
      <c r="H139" s="171"/>
      <c r="I139" s="171"/>
      <c r="J139" s="171"/>
      <c r="K139" s="171"/>
      <c r="L139" s="169"/>
      <c r="M139" s="129" t="s">
        <v>52</v>
      </c>
      <c r="N139" s="129"/>
      <c r="O139" s="172"/>
      <c r="P139" s="172"/>
      <c r="Q139" s="129"/>
      <c r="R139" s="129"/>
      <c r="S139" s="129"/>
      <c r="T139" s="173" t="str">
        <f ca="1">IF(AND('Inserimento dati'!$B$3=$H$2, TabellaA1[[#This Row],[LUN]]="X"), "X",IF(AND('Inserimento dati'!$B$3=$I$2, TabellaA1[[#This Row],[MAR]]="X"), "X", IF(AND('Inserimento dati'!$B$3=$J$2, TabellaA1[[#This Row],[MER]]="X"), "X",IF(AND('Inserimento dati'!$B$3=$K$2, TabellaA1[[#This Row],[GIO]]="X"), "X", IF(AND('Inserimento dati'!$B$3=$L$2, TabellaA1[[#This Row],[VEN]]="X"), "X","")))))</f>
        <v/>
      </c>
      <c r="U139" s="139" t="str">
        <f t="shared" ca="1" si="8"/>
        <v/>
      </c>
    </row>
    <row r="140" spans="1:21" ht="23.25" x14ac:dyDescent="0.25">
      <c r="A140" s="167"/>
      <c r="B140" s="167" t="str">
        <f t="shared" si="7"/>
        <v>X</v>
      </c>
      <c r="C140" s="167" t="str">
        <f>IF(OR(TabellaA1[[#This Row],[LUN]]="X",TabellaA1[[#This Row],[MAR]]="X",TabellaA1[[#This Row],[MER]]="X",TabellaA1[[#This Row],[GIO]]="X",TabellaA1[[#This Row],[VEN]]="X",),"X","")</f>
        <v/>
      </c>
      <c r="D140" s="168" t="s">
        <v>143</v>
      </c>
      <c r="E140" s="170" t="s">
        <v>565</v>
      </c>
      <c r="F140" s="170">
        <v>300</v>
      </c>
      <c r="G140" s="170" t="s">
        <v>566</v>
      </c>
      <c r="H140" s="171"/>
      <c r="I140" s="171"/>
      <c r="J140" s="171"/>
      <c r="K140" s="171"/>
      <c r="L140" s="169"/>
      <c r="M140" s="129" t="s">
        <v>52</v>
      </c>
      <c r="N140" s="129"/>
      <c r="O140" s="172"/>
      <c r="P140" s="172"/>
      <c r="Q140" s="129"/>
      <c r="R140" s="129"/>
      <c r="S140" s="129"/>
      <c r="T140" s="173" t="str">
        <f ca="1">IF(AND('Inserimento dati'!$B$3=$H$2, TabellaA1[[#This Row],[LUN]]="X"), "X",IF(AND('Inserimento dati'!$B$3=$I$2, TabellaA1[[#This Row],[MAR]]="X"), "X", IF(AND('Inserimento dati'!$B$3=$J$2, TabellaA1[[#This Row],[MER]]="X"), "X",IF(AND('Inserimento dati'!$B$3=$K$2, TabellaA1[[#This Row],[GIO]]="X"), "X", IF(AND('Inserimento dati'!$B$3=$L$2, TabellaA1[[#This Row],[VEN]]="X"), "X","")))))</f>
        <v/>
      </c>
      <c r="U140" s="139" t="str">
        <f t="shared" ca="1" si="8"/>
        <v/>
      </c>
    </row>
    <row r="141" spans="1:21" ht="30" x14ac:dyDescent="0.25">
      <c r="A141" s="167"/>
      <c r="B141" s="167" t="str">
        <f t="shared" si="7"/>
        <v>X</v>
      </c>
      <c r="C141" s="167" t="str">
        <f>IF(OR(TabellaA1[[#This Row],[LUN]]="X",TabellaA1[[#This Row],[MAR]]="X",TabellaA1[[#This Row],[MER]]="X",TabellaA1[[#This Row],[GIO]]="X",TabellaA1[[#This Row],[VEN]]="X",),"X","")</f>
        <v/>
      </c>
      <c r="D141" s="168" t="s">
        <v>143</v>
      </c>
      <c r="E141" s="170" t="s">
        <v>567</v>
      </c>
      <c r="F141" s="170">
        <v>100</v>
      </c>
      <c r="G141" s="170" t="s">
        <v>568</v>
      </c>
      <c r="H141" s="171"/>
      <c r="I141" s="171"/>
      <c r="J141" s="171"/>
      <c r="K141" s="171"/>
      <c r="L141" s="169"/>
      <c r="M141" s="129" t="s">
        <v>52</v>
      </c>
      <c r="N141" s="129"/>
      <c r="O141" s="172"/>
      <c r="P141" s="172"/>
      <c r="Q141" s="129" t="s">
        <v>569</v>
      </c>
      <c r="R141" s="129"/>
      <c r="S141" s="129"/>
      <c r="T141" s="173" t="str">
        <f ca="1">IF(AND('Inserimento dati'!$B$3=$H$2, TabellaA1[[#This Row],[LUN]]="X"), "X",IF(AND('Inserimento dati'!$B$3=$I$2, TabellaA1[[#This Row],[MAR]]="X"), "X", IF(AND('Inserimento dati'!$B$3=$J$2, TabellaA1[[#This Row],[MER]]="X"), "X",IF(AND('Inserimento dati'!$B$3=$K$2, TabellaA1[[#This Row],[GIO]]="X"), "X", IF(AND('Inserimento dati'!$B$3=$L$2, TabellaA1[[#This Row],[VEN]]="X"), "X","")))))</f>
        <v/>
      </c>
      <c r="U141" s="139" t="str">
        <f t="shared" ca="1" si="8"/>
        <v/>
      </c>
    </row>
    <row r="142" spans="1:21" ht="30" x14ac:dyDescent="0.25">
      <c r="A142" s="167"/>
      <c r="B142" s="167" t="str">
        <f t="shared" si="7"/>
        <v>X</v>
      </c>
      <c r="C142" s="167" t="str">
        <f>IF(OR(TabellaA1[[#This Row],[LUN]]="X",TabellaA1[[#This Row],[MAR]]="X",TabellaA1[[#This Row],[MER]]="X",TabellaA1[[#This Row],[GIO]]="X",TabellaA1[[#This Row],[VEN]]="X",),"X","")</f>
        <v/>
      </c>
      <c r="D142" s="168" t="s">
        <v>143</v>
      </c>
      <c r="E142" s="170" t="s">
        <v>570</v>
      </c>
      <c r="F142" s="170">
        <v>100</v>
      </c>
      <c r="G142" s="170" t="s">
        <v>571</v>
      </c>
      <c r="H142" s="171"/>
      <c r="I142" s="171"/>
      <c r="J142" s="171"/>
      <c r="K142" s="171"/>
      <c r="L142" s="169"/>
      <c r="M142" s="129" t="s">
        <v>52</v>
      </c>
      <c r="N142" s="129"/>
      <c r="O142" s="172"/>
      <c r="P142" s="172"/>
      <c r="Q142" s="129" t="s">
        <v>572</v>
      </c>
      <c r="R142" s="129">
        <v>45602</v>
      </c>
      <c r="S142" s="129" t="s">
        <v>9</v>
      </c>
      <c r="T142" s="173" t="str">
        <f ca="1">IF(AND('Inserimento dati'!$B$3=$H$2, TabellaA1[[#This Row],[LUN]]="X"), "X",IF(AND('Inserimento dati'!$B$3=$I$2, TabellaA1[[#This Row],[MAR]]="X"), "X", IF(AND('Inserimento dati'!$B$3=$J$2, TabellaA1[[#This Row],[MER]]="X"), "X",IF(AND('Inserimento dati'!$B$3=$K$2, TabellaA1[[#This Row],[GIO]]="X"), "X", IF(AND('Inserimento dati'!$B$3=$L$2, TabellaA1[[#This Row],[VEN]]="X"), "X","")))))</f>
        <v/>
      </c>
      <c r="U142" s="139" t="str">
        <f t="shared" ca="1" si="8"/>
        <v/>
      </c>
    </row>
    <row r="143" spans="1:21" ht="30" x14ac:dyDescent="0.25">
      <c r="A143" s="167"/>
      <c r="B143" s="167" t="str">
        <f t="shared" ref="B143:B157" si="9">IF(OR(A143="x",A143="X"),"",IF(ISBLANK(A143),"X",""))</f>
        <v>X</v>
      </c>
      <c r="C143" s="167" t="str">
        <f>IF(OR(TabellaA1[[#This Row],[LUN]]="X",TabellaA1[[#This Row],[MAR]]="X",TabellaA1[[#This Row],[MER]]="X",TabellaA1[[#This Row],[GIO]]="X",TabellaA1[[#This Row],[VEN]]="X",),"X","")</f>
        <v/>
      </c>
      <c r="D143" s="168" t="s">
        <v>143</v>
      </c>
      <c r="E143" s="170" t="s">
        <v>573</v>
      </c>
      <c r="F143" s="170">
        <v>100</v>
      </c>
      <c r="G143" s="170" t="s">
        <v>574</v>
      </c>
      <c r="H143" s="171"/>
      <c r="I143" s="171"/>
      <c r="J143" s="171"/>
      <c r="K143" s="171"/>
      <c r="L143" s="169"/>
      <c r="M143" s="129" t="s">
        <v>52</v>
      </c>
      <c r="N143" s="129"/>
      <c r="O143" s="172"/>
      <c r="P143" s="172"/>
      <c r="Q143" s="129"/>
      <c r="R143" s="129">
        <v>45629</v>
      </c>
      <c r="S143" s="129" t="s">
        <v>20</v>
      </c>
      <c r="T143" s="173" t="str">
        <f ca="1">IF(AND('Inserimento dati'!$B$3=$H$2, TabellaA1[[#This Row],[LUN]]="X"), "X",IF(AND('Inserimento dati'!$B$3=$I$2, TabellaA1[[#This Row],[MAR]]="X"), "X", IF(AND('Inserimento dati'!$B$3=$J$2, TabellaA1[[#This Row],[MER]]="X"), "X",IF(AND('Inserimento dati'!$B$3=$K$2, TabellaA1[[#This Row],[GIO]]="X"), "X", IF(AND('Inserimento dati'!$B$3=$L$2, TabellaA1[[#This Row],[VEN]]="X"), "X","")))))</f>
        <v/>
      </c>
      <c r="U143" s="139" t="str">
        <f t="shared" ca="1" si="8"/>
        <v/>
      </c>
    </row>
    <row r="144" spans="1:21" ht="30" x14ac:dyDescent="0.25">
      <c r="A144" s="167"/>
      <c r="B144" s="167" t="str">
        <f t="shared" si="9"/>
        <v>X</v>
      </c>
      <c r="C144" s="167" t="str">
        <f>IF(OR(TabellaA1[[#This Row],[LUN]]="X",TabellaA1[[#This Row],[MAR]]="X",TabellaA1[[#This Row],[MER]]="X",TabellaA1[[#This Row],[GIO]]="X",TabellaA1[[#This Row],[VEN]]="X",),"X","")</f>
        <v/>
      </c>
      <c r="D144" s="168" t="s">
        <v>143</v>
      </c>
      <c r="E144" s="170" t="s">
        <v>575</v>
      </c>
      <c r="F144" s="170">
        <v>300</v>
      </c>
      <c r="G144" s="170" t="s">
        <v>576</v>
      </c>
      <c r="H144" s="171"/>
      <c r="I144" s="171"/>
      <c r="J144" s="171"/>
      <c r="K144" s="171"/>
      <c r="L144" s="169"/>
      <c r="M144" s="129" t="s">
        <v>52</v>
      </c>
      <c r="N144" s="129"/>
      <c r="O144" s="172"/>
      <c r="P144" s="172"/>
      <c r="Q144" s="129"/>
      <c r="R144" s="129">
        <v>45622</v>
      </c>
      <c r="S144" s="129" t="s">
        <v>546</v>
      </c>
      <c r="T144" s="173" t="str">
        <f ca="1">IF(AND('Inserimento dati'!$B$3=$H$2, TabellaA1[[#This Row],[LUN]]="X"), "X",IF(AND('Inserimento dati'!$B$3=$I$2, TabellaA1[[#This Row],[MAR]]="X"), "X", IF(AND('Inserimento dati'!$B$3=$J$2, TabellaA1[[#This Row],[MER]]="X"), "X",IF(AND('Inserimento dati'!$B$3=$K$2, TabellaA1[[#This Row],[GIO]]="X"), "X", IF(AND('Inserimento dati'!$B$3=$L$2, TabellaA1[[#This Row],[VEN]]="X"), "X","")))))</f>
        <v/>
      </c>
      <c r="U144" s="139" t="str">
        <f t="shared" ca="1" si="8"/>
        <v/>
      </c>
    </row>
    <row r="145" spans="1:21" ht="30" x14ac:dyDescent="0.25">
      <c r="A145" s="167"/>
      <c r="B145" s="167" t="str">
        <f t="shared" si="9"/>
        <v>X</v>
      </c>
      <c r="C145" s="167" t="str">
        <f>IF(OR(TabellaA1[[#This Row],[LUN]]="X",TabellaA1[[#This Row],[MAR]]="X",TabellaA1[[#This Row],[MER]]="X",TabellaA1[[#This Row],[GIO]]="X",TabellaA1[[#This Row],[VEN]]="X",),"X","")</f>
        <v/>
      </c>
      <c r="D145" s="168" t="s">
        <v>143</v>
      </c>
      <c r="E145" s="170" t="s">
        <v>577</v>
      </c>
      <c r="F145" s="170">
        <v>100</v>
      </c>
      <c r="G145" s="170" t="s">
        <v>578</v>
      </c>
      <c r="H145" s="171"/>
      <c r="I145" s="171"/>
      <c r="J145" s="171"/>
      <c r="K145" s="171"/>
      <c r="L145" s="169"/>
      <c r="M145" s="129" t="s">
        <v>52</v>
      </c>
      <c r="N145" s="129"/>
      <c r="O145" s="172"/>
      <c r="P145" s="172"/>
      <c r="Q145" s="129"/>
      <c r="R145" s="129"/>
      <c r="S145" s="129" t="s">
        <v>546</v>
      </c>
      <c r="T145" s="173" t="str">
        <f ca="1">IF(AND('Inserimento dati'!$B$3=$H$2, TabellaA1[[#This Row],[LUN]]="X"), "X",IF(AND('Inserimento dati'!$B$3=$I$2, TabellaA1[[#This Row],[MAR]]="X"), "X", IF(AND('Inserimento dati'!$B$3=$J$2, TabellaA1[[#This Row],[MER]]="X"), "X",IF(AND('Inserimento dati'!$B$3=$K$2, TabellaA1[[#This Row],[GIO]]="X"), "X", IF(AND('Inserimento dati'!$B$3=$L$2, TabellaA1[[#This Row],[VEN]]="X"), "X","")))))</f>
        <v/>
      </c>
      <c r="U145" s="139" t="str">
        <f t="shared" ca="1" si="8"/>
        <v/>
      </c>
    </row>
    <row r="146" spans="1:21" ht="30" x14ac:dyDescent="0.25">
      <c r="A146" s="167"/>
      <c r="B146" s="167" t="str">
        <f t="shared" si="9"/>
        <v>X</v>
      </c>
      <c r="C146" s="167" t="str">
        <f>IF(OR(TabellaA1[[#This Row],[LUN]]="X",TabellaA1[[#This Row],[MAR]]="X",TabellaA1[[#This Row],[MER]]="X",TabellaA1[[#This Row],[GIO]]="X",TabellaA1[[#This Row],[VEN]]="X",),"X","")</f>
        <v/>
      </c>
      <c r="D146" s="168" t="s">
        <v>143</v>
      </c>
      <c r="E146" s="170" t="s">
        <v>579</v>
      </c>
      <c r="F146" s="170">
        <v>100</v>
      </c>
      <c r="G146" s="170" t="s">
        <v>580</v>
      </c>
      <c r="H146" s="171"/>
      <c r="I146" s="171"/>
      <c r="J146" s="171"/>
      <c r="K146" s="171"/>
      <c r="L146" s="169"/>
      <c r="M146" s="129" t="s">
        <v>52</v>
      </c>
      <c r="N146" s="129"/>
      <c r="O146" s="172"/>
      <c r="P146" s="172"/>
      <c r="Q146" s="129"/>
      <c r="R146" s="129"/>
      <c r="S146" s="129" t="s">
        <v>546</v>
      </c>
      <c r="T146" s="173" t="str">
        <f ca="1">IF(AND('Inserimento dati'!$B$3=$H$2, TabellaA1[[#This Row],[LUN]]="X"), "X",IF(AND('Inserimento dati'!$B$3=$I$2, TabellaA1[[#This Row],[MAR]]="X"), "X", IF(AND('Inserimento dati'!$B$3=$J$2, TabellaA1[[#This Row],[MER]]="X"), "X",IF(AND('Inserimento dati'!$B$3=$K$2, TabellaA1[[#This Row],[GIO]]="X"), "X", IF(AND('Inserimento dati'!$B$3=$L$2, TabellaA1[[#This Row],[VEN]]="X"), "X","")))))</f>
        <v/>
      </c>
      <c r="U146" s="139" t="str">
        <f t="shared" ca="1" si="8"/>
        <v/>
      </c>
    </row>
    <row r="147" spans="1:21" ht="23.25" x14ac:dyDescent="0.25">
      <c r="A147" s="167"/>
      <c r="B147" s="167" t="str">
        <f t="shared" si="9"/>
        <v>X</v>
      </c>
      <c r="C147" s="167" t="str">
        <f>IF(OR(TabellaA1[[#This Row],[LUN]]="X",TabellaA1[[#This Row],[MAR]]="X",TabellaA1[[#This Row],[MER]]="X",TabellaA1[[#This Row],[GIO]]="X",TabellaA1[[#This Row],[VEN]]="X",),"X","")</f>
        <v/>
      </c>
      <c r="D147" s="168" t="s">
        <v>143</v>
      </c>
      <c r="E147" s="170" t="s">
        <v>581</v>
      </c>
      <c r="F147" s="170">
        <v>200</v>
      </c>
      <c r="G147" s="170" t="s">
        <v>582</v>
      </c>
      <c r="H147" s="171"/>
      <c r="I147" s="171"/>
      <c r="J147" s="171"/>
      <c r="K147" s="171"/>
      <c r="L147" s="169"/>
      <c r="M147" s="129" t="s">
        <v>52</v>
      </c>
      <c r="N147" s="129"/>
      <c r="O147" s="172"/>
      <c r="P147" s="172"/>
      <c r="Q147" s="129" t="s">
        <v>583</v>
      </c>
      <c r="R147" s="129"/>
      <c r="S147" s="129"/>
      <c r="T147" s="173" t="str">
        <f ca="1">IF(AND('Inserimento dati'!$B$3=$H$2, TabellaA1[[#This Row],[LUN]]="X"), "X",IF(AND('Inserimento dati'!$B$3=$I$2, TabellaA1[[#This Row],[MAR]]="X"), "X", IF(AND('Inserimento dati'!$B$3=$J$2, TabellaA1[[#This Row],[MER]]="X"), "X",IF(AND('Inserimento dati'!$B$3=$K$2, TabellaA1[[#This Row],[GIO]]="X"), "X", IF(AND('Inserimento dati'!$B$3=$L$2, TabellaA1[[#This Row],[VEN]]="X"), "X","")))))</f>
        <v/>
      </c>
      <c r="U147" s="139" t="str">
        <f t="shared" ca="1" si="8"/>
        <v/>
      </c>
    </row>
    <row r="148" spans="1:21" ht="30" x14ac:dyDescent="0.25">
      <c r="A148" s="167"/>
      <c r="B148" s="167" t="str">
        <f t="shared" si="9"/>
        <v>X</v>
      </c>
      <c r="C148" s="167" t="str">
        <f>IF(OR(TabellaA1[[#This Row],[LUN]]="X",TabellaA1[[#This Row],[MAR]]="X",TabellaA1[[#This Row],[MER]]="X",TabellaA1[[#This Row],[GIO]]="X",TabellaA1[[#This Row],[VEN]]="X",),"X","")</f>
        <v/>
      </c>
      <c r="D148" s="168" t="s">
        <v>143</v>
      </c>
      <c r="E148" s="170" t="s">
        <v>584</v>
      </c>
      <c r="F148" s="170">
        <v>400</v>
      </c>
      <c r="G148" s="170" t="s">
        <v>585</v>
      </c>
      <c r="H148" s="171"/>
      <c r="I148" s="171"/>
      <c r="J148" s="171"/>
      <c r="K148" s="171"/>
      <c r="L148" s="169"/>
      <c r="M148" s="129" t="s">
        <v>52</v>
      </c>
      <c r="N148" s="129"/>
      <c r="O148" s="172"/>
      <c r="P148" s="172"/>
      <c r="Q148" s="129"/>
      <c r="R148" s="129"/>
      <c r="S148" s="129"/>
      <c r="T148" s="173" t="str">
        <f ca="1">IF(AND('Inserimento dati'!$B$3=$H$2, TabellaA1[[#This Row],[LUN]]="X"), "X",IF(AND('Inserimento dati'!$B$3=$I$2, TabellaA1[[#This Row],[MAR]]="X"), "X", IF(AND('Inserimento dati'!$B$3=$J$2, TabellaA1[[#This Row],[MER]]="X"), "X",IF(AND('Inserimento dati'!$B$3=$K$2, TabellaA1[[#This Row],[GIO]]="X"), "X", IF(AND('Inserimento dati'!$B$3=$L$2, TabellaA1[[#This Row],[VEN]]="X"), "X","")))))</f>
        <v/>
      </c>
      <c r="U148" s="139" t="str">
        <f t="shared" ca="1" si="8"/>
        <v/>
      </c>
    </row>
    <row r="149" spans="1:21" ht="30" x14ac:dyDescent="0.25">
      <c r="A149" s="167"/>
      <c r="B149" s="167" t="str">
        <f t="shared" si="9"/>
        <v>X</v>
      </c>
      <c r="C149" s="167" t="str">
        <f>IF(OR(TabellaA1[[#This Row],[LUN]]="X",TabellaA1[[#This Row],[MAR]]="X",TabellaA1[[#This Row],[MER]]="X",TabellaA1[[#This Row],[GIO]]="X",TabellaA1[[#This Row],[VEN]]="X",),"X","")</f>
        <v/>
      </c>
      <c r="D149" s="168" t="s">
        <v>143</v>
      </c>
      <c r="E149" s="170" t="s">
        <v>586</v>
      </c>
      <c r="F149" s="170">
        <v>400</v>
      </c>
      <c r="G149" s="170" t="s">
        <v>587</v>
      </c>
      <c r="H149" s="171"/>
      <c r="I149" s="171"/>
      <c r="J149" s="171"/>
      <c r="K149" s="171"/>
      <c r="L149" s="169"/>
      <c r="M149" s="129" t="s">
        <v>52</v>
      </c>
      <c r="N149" s="129"/>
      <c r="O149" s="172"/>
      <c r="P149" s="172"/>
      <c r="Q149" s="129"/>
      <c r="R149" s="129">
        <v>45615</v>
      </c>
      <c r="S149" s="129" t="s">
        <v>546</v>
      </c>
      <c r="T149" s="173" t="str">
        <f ca="1">IF(AND('Inserimento dati'!$B$3=$H$2, TabellaA1[[#This Row],[LUN]]="X"), "X",IF(AND('Inserimento dati'!$B$3=$I$2, TabellaA1[[#This Row],[MAR]]="X"), "X", IF(AND('Inserimento dati'!$B$3=$J$2, TabellaA1[[#This Row],[MER]]="X"), "X",IF(AND('Inserimento dati'!$B$3=$K$2, TabellaA1[[#This Row],[GIO]]="X"), "X", IF(AND('Inserimento dati'!$B$3=$L$2, TabellaA1[[#This Row],[VEN]]="X"), "X","")))))</f>
        <v/>
      </c>
      <c r="U149" s="139" t="str">
        <f t="shared" ca="1" si="8"/>
        <v/>
      </c>
    </row>
    <row r="150" spans="1:21" ht="23.25" x14ac:dyDescent="0.25">
      <c r="A150" s="167"/>
      <c r="B150" s="167" t="str">
        <f t="shared" si="9"/>
        <v>X</v>
      </c>
      <c r="C150" s="167" t="str">
        <f>IF(OR(TabellaA1[[#This Row],[LUN]]="X",TabellaA1[[#This Row],[MAR]]="X",TabellaA1[[#This Row],[MER]]="X",TabellaA1[[#This Row],[GIO]]="X",TabellaA1[[#This Row],[VEN]]="X",),"X","")</f>
        <v/>
      </c>
      <c r="D150" s="168" t="s">
        <v>143</v>
      </c>
      <c r="E150" s="170" t="s">
        <v>588</v>
      </c>
      <c r="F150" s="170">
        <v>300</v>
      </c>
      <c r="G150" s="170" t="s">
        <v>589</v>
      </c>
      <c r="H150" s="171"/>
      <c r="I150" s="171"/>
      <c r="J150" s="171"/>
      <c r="K150" s="171"/>
      <c r="L150" s="169"/>
      <c r="M150" s="129" t="s">
        <v>52</v>
      </c>
      <c r="N150" s="129"/>
      <c r="O150" s="172"/>
      <c r="P150" s="172"/>
      <c r="Q150" s="129"/>
      <c r="R150" s="129"/>
      <c r="S150" s="129"/>
      <c r="T150" s="173" t="str">
        <f ca="1">IF(AND('Inserimento dati'!$B$3=$H$2, TabellaA1[[#This Row],[LUN]]="X"), "X",IF(AND('Inserimento dati'!$B$3=$I$2, TabellaA1[[#This Row],[MAR]]="X"), "X", IF(AND('Inserimento dati'!$B$3=$J$2, TabellaA1[[#This Row],[MER]]="X"), "X",IF(AND('Inserimento dati'!$B$3=$K$2, TabellaA1[[#This Row],[GIO]]="X"), "X", IF(AND('Inserimento dati'!$B$3=$L$2, TabellaA1[[#This Row],[VEN]]="X"), "X","")))))</f>
        <v/>
      </c>
      <c r="U150" s="139" t="str">
        <f t="shared" ca="1" si="8"/>
        <v/>
      </c>
    </row>
    <row r="151" spans="1:21" ht="30" x14ac:dyDescent="0.25">
      <c r="A151" s="167"/>
      <c r="B151" s="167" t="str">
        <f t="shared" si="9"/>
        <v>X</v>
      </c>
      <c r="C151" s="167" t="str">
        <f>IF(OR(TabellaA1[[#This Row],[LUN]]="X",TabellaA1[[#This Row],[MAR]]="X",TabellaA1[[#This Row],[MER]]="X",TabellaA1[[#This Row],[GIO]]="X",TabellaA1[[#This Row],[VEN]]="X",),"X","")</f>
        <v/>
      </c>
      <c r="D151" s="168" t="s">
        <v>143</v>
      </c>
      <c r="E151" s="170" t="s">
        <v>590</v>
      </c>
      <c r="F151" s="170">
        <v>900</v>
      </c>
      <c r="G151" s="170" t="s">
        <v>591</v>
      </c>
      <c r="H151" s="171"/>
      <c r="I151" s="171"/>
      <c r="J151" s="171"/>
      <c r="K151" s="171"/>
      <c r="L151" s="169"/>
      <c r="M151" s="129" t="s">
        <v>52</v>
      </c>
      <c r="N151" s="129"/>
      <c r="O151" s="172"/>
      <c r="P151" s="172"/>
      <c r="Q151" s="129" t="s">
        <v>592</v>
      </c>
      <c r="R151" s="129">
        <v>45609</v>
      </c>
      <c r="S151" s="129" t="s">
        <v>546</v>
      </c>
      <c r="T151" s="173" t="str">
        <f ca="1">IF(AND('Inserimento dati'!$B$3=$H$2, TabellaA1[[#This Row],[LUN]]="X"), "X",IF(AND('Inserimento dati'!$B$3=$I$2, TabellaA1[[#This Row],[MAR]]="X"), "X", IF(AND('Inserimento dati'!$B$3=$J$2, TabellaA1[[#This Row],[MER]]="X"), "X",IF(AND('Inserimento dati'!$B$3=$K$2, TabellaA1[[#This Row],[GIO]]="X"), "X", IF(AND('Inserimento dati'!$B$3=$L$2, TabellaA1[[#This Row],[VEN]]="X"), "X","")))))</f>
        <v/>
      </c>
      <c r="U151" s="139" t="str">
        <f t="shared" ca="1" si="8"/>
        <v/>
      </c>
    </row>
    <row r="152" spans="1:21" ht="30" x14ac:dyDescent="0.25">
      <c r="A152" s="167"/>
      <c r="B152" s="167" t="str">
        <f t="shared" si="9"/>
        <v>X</v>
      </c>
      <c r="C152" s="167" t="str">
        <f>IF(OR(TabellaA1[[#This Row],[LUN]]="X",TabellaA1[[#This Row],[MAR]]="X",TabellaA1[[#This Row],[MER]]="X",TabellaA1[[#This Row],[GIO]]="X",TabellaA1[[#This Row],[VEN]]="X",),"X","")</f>
        <v/>
      </c>
      <c r="D152" s="168" t="s">
        <v>143</v>
      </c>
      <c r="E152" s="170" t="s">
        <v>593</v>
      </c>
      <c r="F152" s="170">
        <v>200</v>
      </c>
      <c r="G152" s="170" t="s">
        <v>594</v>
      </c>
      <c r="H152" s="171"/>
      <c r="I152" s="171"/>
      <c r="J152" s="171"/>
      <c r="K152" s="171"/>
      <c r="L152" s="169"/>
      <c r="M152" s="129" t="s">
        <v>52</v>
      </c>
      <c r="N152" s="129"/>
      <c r="O152" s="172"/>
      <c r="P152" s="172"/>
      <c r="Q152" s="129" t="s">
        <v>595</v>
      </c>
      <c r="R152" s="129">
        <v>45600</v>
      </c>
      <c r="S152" s="129" t="s">
        <v>546</v>
      </c>
      <c r="T152" s="173" t="str">
        <f ca="1">IF(AND('Inserimento dati'!$B$3=$H$2, TabellaA1[[#This Row],[LUN]]="X"), "X",IF(AND('Inserimento dati'!$B$3=$I$2, TabellaA1[[#This Row],[MAR]]="X"), "X", IF(AND('Inserimento dati'!$B$3=$J$2, TabellaA1[[#This Row],[MER]]="X"), "X",IF(AND('Inserimento dati'!$B$3=$K$2, TabellaA1[[#This Row],[GIO]]="X"), "X", IF(AND('Inserimento dati'!$B$3=$L$2, TabellaA1[[#This Row],[VEN]]="X"), "X","")))))</f>
        <v/>
      </c>
      <c r="U152" s="139" t="str">
        <f t="shared" ca="1" si="8"/>
        <v/>
      </c>
    </row>
    <row r="153" spans="1:21" ht="30" x14ac:dyDescent="0.25">
      <c r="A153" s="167"/>
      <c r="B153" s="167" t="str">
        <f t="shared" si="9"/>
        <v>X</v>
      </c>
      <c r="C153" s="167" t="str">
        <f>IF(OR(TabellaA1[[#This Row],[LUN]]="X",TabellaA1[[#This Row],[MAR]]="X",TabellaA1[[#This Row],[MER]]="X",TabellaA1[[#This Row],[GIO]]="X",TabellaA1[[#This Row],[VEN]]="X",),"X","")</f>
        <v/>
      </c>
      <c r="D153" s="168" t="s">
        <v>143</v>
      </c>
      <c r="E153" s="170" t="s">
        <v>596</v>
      </c>
      <c r="F153" s="170">
        <v>200</v>
      </c>
      <c r="G153" s="170" t="s">
        <v>597</v>
      </c>
      <c r="H153" s="171"/>
      <c r="I153" s="171"/>
      <c r="J153" s="171"/>
      <c r="K153" s="171"/>
      <c r="L153" s="169"/>
      <c r="M153" s="129" t="s">
        <v>52</v>
      </c>
      <c r="N153" s="129"/>
      <c r="O153" s="172"/>
      <c r="P153" s="172"/>
      <c r="Q153" s="129" t="s">
        <v>595</v>
      </c>
      <c r="R153" s="129">
        <v>45600</v>
      </c>
      <c r="S153" s="129" t="s">
        <v>546</v>
      </c>
      <c r="T153" s="173" t="str">
        <f ca="1">IF(AND('Inserimento dati'!$B$3=$H$2, TabellaA1[[#This Row],[LUN]]="X"), "X",IF(AND('Inserimento dati'!$B$3=$I$2, TabellaA1[[#This Row],[MAR]]="X"), "X", IF(AND('Inserimento dati'!$B$3=$J$2, TabellaA1[[#This Row],[MER]]="X"), "X",IF(AND('Inserimento dati'!$B$3=$K$2, TabellaA1[[#This Row],[GIO]]="X"), "X", IF(AND('Inserimento dati'!$B$3=$L$2, TabellaA1[[#This Row],[VEN]]="X"), "X","")))))</f>
        <v/>
      </c>
      <c r="U153" s="139" t="str">
        <f t="shared" ca="1" si="8"/>
        <v/>
      </c>
    </row>
    <row r="154" spans="1:21" ht="23.25" x14ac:dyDescent="0.25">
      <c r="A154" s="167"/>
      <c r="B154" s="167" t="str">
        <f t="shared" si="9"/>
        <v>X</v>
      </c>
      <c r="C154" s="167" t="str">
        <f>IF(OR(TabellaA1[[#This Row],[LUN]]="X",TabellaA1[[#This Row],[MAR]]="X",TabellaA1[[#This Row],[MER]]="X",TabellaA1[[#This Row],[GIO]]="X",TabellaA1[[#This Row],[VEN]]="X",),"X","")</f>
        <v/>
      </c>
      <c r="D154" s="168" t="s">
        <v>143</v>
      </c>
      <c r="E154" s="170" t="s">
        <v>598</v>
      </c>
      <c r="F154" s="170">
        <v>100</v>
      </c>
      <c r="G154" s="170" t="s">
        <v>599</v>
      </c>
      <c r="H154" s="171"/>
      <c r="I154" s="171"/>
      <c r="J154" s="171"/>
      <c r="K154" s="171"/>
      <c r="L154" s="169"/>
      <c r="M154" s="129" t="s">
        <v>52</v>
      </c>
      <c r="N154" s="129"/>
      <c r="O154" s="172"/>
      <c r="P154" s="172"/>
      <c r="Q154" s="129" t="s">
        <v>600</v>
      </c>
      <c r="R154" s="129"/>
      <c r="S154" s="129"/>
      <c r="T154" s="173" t="str">
        <f ca="1">IF(AND('Inserimento dati'!$B$3=$H$2, TabellaA1[[#This Row],[LUN]]="X"), "X",IF(AND('Inserimento dati'!$B$3=$I$2, TabellaA1[[#This Row],[MAR]]="X"), "X", IF(AND('Inserimento dati'!$B$3=$J$2, TabellaA1[[#This Row],[MER]]="X"), "X",IF(AND('Inserimento dati'!$B$3=$K$2, TabellaA1[[#This Row],[GIO]]="X"), "X", IF(AND('Inserimento dati'!$B$3=$L$2, TabellaA1[[#This Row],[VEN]]="X"), "X","")))))</f>
        <v/>
      </c>
      <c r="U154" s="139" t="str">
        <f t="shared" ca="1" si="8"/>
        <v/>
      </c>
    </row>
    <row r="155" spans="1:21" ht="23.25" x14ac:dyDescent="0.25">
      <c r="A155" s="167"/>
      <c r="B155" s="167" t="str">
        <f t="shared" si="9"/>
        <v>X</v>
      </c>
      <c r="C155" s="167" t="str">
        <f>IF(OR(TabellaA1[[#This Row],[LUN]]="X",TabellaA1[[#This Row],[MAR]]="X",TabellaA1[[#This Row],[MER]]="X",TabellaA1[[#This Row],[GIO]]="X",TabellaA1[[#This Row],[VEN]]="X",),"X","")</f>
        <v/>
      </c>
      <c r="D155" s="168" t="s">
        <v>143</v>
      </c>
      <c r="E155" s="170" t="s">
        <v>601</v>
      </c>
      <c r="F155" s="170">
        <v>100</v>
      </c>
      <c r="G155" s="170" t="s">
        <v>602</v>
      </c>
      <c r="H155" s="171"/>
      <c r="I155" s="171"/>
      <c r="J155" s="171"/>
      <c r="K155" s="171"/>
      <c r="L155" s="169"/>
      <c r="M155" s="129" t="s">
        <v>52</v>
      </c>
      <c r="N155" s="129"/>
      <c r="O155" s="172"/>
      <c r="P155" s="172"/>
      <c r="Q155" s="129" t="s">
        <v>603</v>
      </c>
      <c r="R155" s="129"/>
      <c r="S155" s="129"/>
      <c r="T155" s="173" t="str">
        <f ca="1">IF(AND('Inserimento dati'!$B$3=$H$2, TabellaA1[[#This Row],[LUN]]="X"), "X",IF(AND('Inserimento dati'!$B$3=$I$2, TabellaA1[[#This Row],[MAR]]="X"), "X", IF(AND('Inserimento dati'!$B$3=$J$2, TabellaA1[[#This Row],[MER]]="X"), "X",IF(AND('Inserimento dati'!$B$3=$K$2, TabellaA1[[#This Row],[GIO]]="X"), "X", IF(AND('Inserimento dati'!$B$3=$L$2, TabellaA1[[#This Row],[VEN]]="X"), "X","")))))</f>
        <v/>
      </c>
      <c r="U155" s="139" t="str">
        <f t="shared" ca="1" si="8"/>
        <v/>
      </c>
    </row>
    <row r="156" spans="1:21" ht="30" x14ac:dyDescent="0.25">
      <c r="A156" s="167"/>
      <c r="B156" s="167" t="str">
        <f t="shared" si="9"/>
        <v>X</v>
      </c>
      <c r="C156" s="167" t="str">
        <f>IF(OR(TabellaA1[[#This Row],[LUN]]="X",TabellaA1[[#This Row],[MAR]]="X",TabellaA1[[#This Row],[MER]]="X",TabellaA1[[#This Row],[GIO]]="X",TabellaA1[[#This Row],[VEN]]="X",),"X","")</f>
        <v/>
      </c>
      <c r="D156" s="168" t="s">
        <v>143</v>
      </c>
      <c r="E156" s="170" t="s">
        <v>604</v>
      </c>
      <c r="F156" s="170">
        <v>100</v>
      </c>
      <c r="G156" s="170" t="s">
        <v>605</v>
      </c>
      <c r="H156" s="171"/>
      <c r="I156" s="171"/>
      <c r="J156" s="171"/>
      <c r="K156" s="171"/>
      <c r="L156" s="169"/>
      <c r="M156" s="129" t="s">
        <v>52</v>
      </c>
      <c r="N156" s="129"/>
      <c r="O156" s="172"/>
      <c r="P156" s="172"/>
      <c r="Q156" s="129" t="s">
        <v>606</v>
      </c>
      <c r="R156" s="129">
        <v>45602</v>
      </c>
      <c r="S156" s="129" t="s">
        <v>9</v>
      </c>
      <c r="T156" s="173" t="str">
        <f ca="1">IF(AND('Inserimento dati'!$B$3=$H$2, TabellaA1[[#This Row],[LUN]]="X"), "X",IF(AND('Inserimento dati'!$B$3=$I$2, TabellaA1[[#This Row],[MAR]]="X"), "X", IF(AND('Inserimento dati'!$B$3=$J$2, TabellaA1[[#This Row],[MER]]="X"), "X",IF(AND('Inserimento dati'!$B$3=$K$2, TabellaA1[[#This Row],[GIO]]="X"), "X", IF(AND('Inserimento dati'!$B$3=$L$2, TabellaA1[[#This Row],[VEN]]="X"), "X","")))))</f>
        <v/>
      </c>
      <c r="U156" s="139" t="str">
        <f t="shared" ca="1" si="8"/>
        <v/>
      </c>
    </row>
    <row r="157" spans="1:21" ht="30" x14ac:dyDescent="0.25">
      <c r="A157" s="167"/>
      <c r="B157" s="167" t="str">
        <f t="shared" si="9"/>
        <v>X</v>
      </c>
      <c r="C157" s="167" t="str">
        <f>IF(OR(TabellaA1[[#This Row],[LUN]]="X",TabellaA1[[#This Row],[MAR]]="X",TabellaA1[[#This Row],[MER]]="X",TabellaA1[[#This Row],[GIO]]="X",TabellaA1[[#This Row],[VEN]]="X",),"X","")</f>
        <v/>
      </c>
      <c r="D157" s="168" t="s">
        <v>143</v>
      </c>
      <c r="E157" s="170" t="s">
        <v>607</v>
      </c>
      <c r="F157" s="170">
        <v>400</v>
      </c>
      <c r="G157" s="170" t="s">
        <v>608</v>
      </c>
      <c r="H157" s="171"/>
      <c r="I157" s="171"/>
      <c r="J157" s="171"/>
      <c r="K157" s="171"/>
      <c r="L157" s="169"/>
      <c r="M157" s="129" t="s">
        <v>52</v>
      </c>
      <c r="N157" s="129"/>
      <c r="O157" s="172"/>
      <c r="P157" s="172"/>
      <c r="Q157" s="129" t="s">
        <v>609</v>
      </c>
      <c r="R157" s="129">
        <v>45788</v>
      </c>
      <c r="S157" s="129" t="s">
        <v>610</v>
      </c>
      <c r="T157" s="173" t="str">
        <f ca="1">IF(AND('Inserimento dati'!$B$3=$H$2, TabellaA1[[#This Row],[LUN]]="X"), "X",IF(AND('Inserimento dati'!$B$3=$I$2, TabellaA1[[#This Row],[MAR]]="X"), "X", IF(AND('Inserimento dati'!$B$3=$J$2, TabellaA1[[#This Row],[MER]]="X"), "X",IF(AND('Inserimento dati'!$B$3=$K$2, TabellaA1[[#This Row],[GIO]]="X"), "X", IF(AND('Inserimento dati'!$B$3=$L$2, TabellaA1[[#This Row],[VEN]]="X"), "X","")))))</f>
        <v/>
      </c>
      <c r="U157" s="139" t="str">
        <f t="shared" ca="1" si="8"/>
        <v/>
      </c>
    </row>
    <row r="158" spans="1:21" ht="30" x14ac:dyDescent="0.25">
      <c r="A158" s="167"/>
      <c r="B158" s="167"/>
      <c r="C158" s="167" t="str">
        <f>IF(OR(TabellaA1[[#This Row],[LUN]]="X",TabellaA1[[#This Row],[MAR]]="X",TabellaA1[[#This Row],[MER]]="X",TabellaA1[[#This Row],[GIO]]="X",TabellaA1[[#This Row],[VEN]]="X",),"X","")</f>
        <v/>
      </c>
      <c r="D158" s="168" t="s">
        <v>143</v>
      </c>
      <c r="E158" s="170" t="s">
        <v>611</v>
      </c>
      <c r="F158" s="170">
        <v>400</v>
      </c>
      <c r="G158" s="170" t="s">
        <v>612</v>
      </c>
      <c r="H158" s="171"/>
      <c r="I158" s="171"/>
      <c r="J158" s="171"/>
      <c r="K158" s="171"/>
      <c r="L158" s="169"/>
      <c r="M158" s="129" t="s">
        <v>52</v>
      </c>
      <c r="N158" s="129"/>
      <c r="O158" s="172"/>
      <c r="P158" s="172"/>
      <c r="Q158" s="129" t="s">
        <v>613</v>
      </c>
      <c r="R158" s="129"/>
      <c r="S158" s="129" t="s">
        <v>614</v>
      </c>
      <c r="T158" s="173" t="str">
        <f ca="1">IF(AND('Inserimento dati'!$B$3=$H$2, TabellaA1[[#This Row],[LUN]]="X"), "X",IF(AND('Inserimento dati'!$B$3=$I$2, TabellaA1[[#This Row],[MAR]]="X"), "X", IF(AND('Inserimento dati'!$B$3=$J$2, TabellaA1[[#This Row],[MER]]="X"), "X",IF(AND('Inserimento dati'!$B$3=$K$2, TabellaA1[[#This Row],[GIO]]="X"), "X", IF(AND('Inserimento dati'!$B$3=$L$2, TabellaA1[[#This Row],[VEN]]="X"), "X","")))))</f>
        <v/>
      </c>
      <c r="U158" s="139" t="str">
        <f t="shared" ca="1" si="8"/>
        <v/>
      </c>
    </row>
    <row r="159" spans="1:21" ht="23.25" x14ac:dyDescent="0.25">
      <c r="A159" s="167"/>
      <c r="B159" s="167"/>
      <c r="C159" s="167" t="str">
        <f>IF(OR(TabellaA1[[#This Row],[LUN]]="X",TabellaA1[[#This Row],[MAR]]="X",TabellaA1[[#This Row],[MER]]="X",TabellaA1[[#This Row],[GIO]]="X",TabellaA1[[#This Row],[VEN]]="X",),"X","")</f>
        <v/>
      </c>
      <c r="D159" s="168" t="s">
        <v>143</v>
      </c>
      <c r="E159" s="170" t="s">
        <v>615</v>
      </c>
      <c r="F159" s="170">
        <v>400</v>
      </c>
      <c r="G159" s="170" t="s">
        <v>616</v>
      </c>
      <c r="H159" s="171"/>
      <c r="I159" s="171"/>
      <c r="J159" s="171"/>
      <c r="K159" s="171"/>
      <c r="L159" s="169"/>
      <c r="M159" s="129" t="s">
        <v>52</v>
      </c>
      <c r="N159" s="129"/>
      <c r="O159" s="172"/>
      <c r="P159" s="172"/>
      <c r="Q159" s="129"/>
      <c r="R159" s="129"/>
      <c r="S159" s="129"/>
      <c r="T159" s="173" t="str">
        <f ca="1">IF(AND('Inserimento dati'!$B$3=$H$2, TabellaA1[[#This Row],[LUN]]="X"), "X",IF(AND('Inserimento dati'!$B$3=$I$2, TabellaA1[[#This Row],[MAR]]="X"), "X", IF(AND('Inserimento dati'!$B$3=$J$2, TabellaA1[[#This Row],[MER]]="X"), "X",IF(AND('Inserimento dati'!$B$3=$K$2, TabellaA1[[#This Row],[GIO]]="X"), "X", IF(AND('Inserimento dati'!$B$3=$L$2, TabellaA1[[#This Row],[VEN]]="X"), "X","")))))</f>
        <v/>
      </c>
      <c r="U159" s="139" t="str">
        <f t="shared" ca="1" si="8"/>
        <v/>
      </c>
    </row>
    <row r="160" spans="1:21" ht="30" x14ac:dyDescent="0.25">
      <c r="A160" s="167"/>
      <c r="B160" s="167" t="str">
        <f>IF(OR(A160="x",A160="X"),"",IF(ISBLANK(A160),"X",""))</f>
        <v>X</v>
      </c>
      <c r="C160" s="167" t="str">
        <f>IF(OR(TabellaA1[[#This Row],[LUN]]="X",TabellaA1[[#This Row],[MAR]]="X",TabellaA1[[#This Row],[MER]]="X",TabellaA1[[#This Row],[GIO]]="X",TabellaA1[[#This Row],[VEN]]="X",),"X","")</f>
        <v/>
      </c>
      <c r="D160" s="168" t="s">
        <v>143</v>
      </c>
      <c r="E160" s="170" t="s">
        <v>617</v>
      </c>
      <c r="F160" s="170">
        <v>100</v>
      </c>
      <c r="G160" s="170" t="s">
        <v>618</v>
      </c>
      <c r="H160" s="171"/>
      <c r="I160" s="171"/>
      <c r="J160" s="171"/>
      <c r="K160" s="171"/>
      <c r="L160" s="169"/>
      <c r="M160" s="129" t="s">
        <v>52</v>
      </c>
      <c r="N160" s="129"/>
      <c r="O160" s="172"/>
      <c r="P160" s="172"/>
      <c r="Q160" s="129"/>
      <c r="R160" s="129">
        <v>45800</v>
      </c>
      <c r="S160" s="129" t="s">
        <v>619</v>
      </c>
      <c r="T160" s="173" t="str">
        <f ca="1">IF(AND('Inserimento dati'!$B$3=$H$2, TabellaA1[[#This Row],[LUN]]="X"), "X",IF(AND('Inserimento dati'!$B$3=$I$2, TabellaA1[[#This Row],[MAR]]="X"), "X", IF(AND('Inserimento dati'!$B$3=$J$2, TabellaA1[[#This Row],[MER]]="X"), "X",IF(AND('Inserimento dati'!$B$3=$K$2, TabellaA1[[#This Row],[GIO]]="X"), "X", IF(AND('Inserimento dati'!$B$3=$L$2, TabellaA1[[#This Row],[VEN]]="X"), "X","")))))</f>
        <v/>
      </c>
      <c r="U160" s="139" t="str">
        <f t="shared" ca="1" si="8"/>
        <v/>
      </c>
    </row>
    <row r="161" spans="1:21" ht="30" x14ac:dyDescent="0.25">
      <c r="A161" s="167"/>
      <c r="B161" s="167"/>
      <c r="C161" s="167" t="str">
        <f>IF(OR(TabellaA1[[#This Row],[LUN]]="X",TabellaA1[[#This Row],[MAR]]="X",TabellaA1[[#This Row],[MER]]="X",TabellaA1[[#This Row],[GIO]]="X",TabellaA1[[#This Row],[VEN]]="X",),"X","")</f>
        <v/>
      </c>
      <c r="D161" s="168" t="s">
        <v>143</v>
      </c>
      <c r="E161" s="170" t="s">
        <v>620</v>
      </c>
      <c r="F161" s="170">
        <v>300</v>
      </c>
      <c r="G161" s="170" t="s">
        <v>621</v>
      </c>
      <c r="H161" s="171"/>
      <c r="I161" s="171"/>
      <c r="J161" s="171"/>
      <c r="K161" s="171"/>
      <c r="L161" s="169"/>
      <c r="M161" s="129" t="s">
        <v>52</v>
      </c>
      <c r="N161" s="129"/>
      <c r="O161" s="172"/>
      <c r="P161" s="172"/>
      <c r="Q161" s="129" t="s">
        <v>622</v>
      </c>
      <c r="R161" s="129">
        <v>45803</v>
      </c>
      <c r="S161" s="129" t="s">
        <v>623</v>
      </c>
      <c r="T161" s="173" t="str">
        <f ca="1">IF(AND('Inserimento dati'!$B$3=$H$2, TabellaA1[[#This Row],[LUN]]="X"), "X",IF(AND('Inserimento dati'!$B$3=$I$2, TabellaA1[[#This Row],[MAR]]="X"), "X", IF(AND('Inserimento dati'!$B$3=$J$2, TabellaA1[[#This Row],[MER]]="X"), "X",IF(AND('Inserimento dati'!$B$3=$K$2, TabellaA1[[#This Row],[GIO]]="X"), "X", IF(AND('Inserimento dati'!$B$3=$L$2, TabellaA1[[#This Row],[VEN]]="X"), "X","")))))</f>
        <v/>
      </c>
      <c r="U161" s="139" t="str">
        <f t="shared" ca="1" si="8"/>
        <v/>
      </c>
    </row>
    <row r="162" spans="1:21" ht="30" x14ac:dyDescent="0.25">
      <c r="A162" s="167"/>
      <c r="B162" s="167"/>
      <c r="C162" s="167" t="str">
        <f>IF(OR(TabellaA1[[#This Row],[LUN]]="X",TabellaA1[[#This Row],[MAR]]="X",TabellaA1[[#This Row],[MER]]="X",TabellaA1[[#This Row],[GIO]]="X",TabellaA1[[#This Row],[VEN]]="X",),"X","")</f>
        <v/>
      </c>
      <c r="D162" s="168" t="s">
        <v>143</v>
      </c>
      <c r="E162" s="170" t="s">
        <v>624</v>
      </c>
      <c r="F162" s="170">
        <v>400</v>
      </c>
      <c r="G162" s="170" t="s">
        <v>625</v>
      </c>
      <c r="H162" s="171"/>
      <c r="I162" s="171"/>
      <c r="J162" s="171"/>
      <c r="K162" s="171"/>
      <c r="L162" s="169"/>
      <c r="M162" s="129" t="s">
        <v>52</v>
      </c>
      <c r="N162" s="129"/>
      <c r="O162" s="172"/>
      <c r="P162" s="172"/>
      <c r="Q162" s="129" t="s">
        <v>626</v>
      </c>
      <c r="R162" s="129">
        <v>45804</v>
      </c>
      <c r="S162" s="129" t="s">
        <v>627</v>
      </c>
      <c r="T162" s="173" t="str">
        <f ca="1">IF(AND('Inserimento dati'!$B$3=$H$2, TabellaA1[[#This Row],[LUN]]="X"), "X",IF(AND('Inserimento dati'!$B$3=$I$2, TabellaA1[[#This Row],[MAR]]="X"), "X", IF(AND('Inserimento dati'!$B$3=$J$2, TabellaA1[[#This Row],[MER]]="X"), "X",IF(AND('Inserimento dati'!$B$3=$K$2, TabellaA1[[#This Row],[GIO]]="X"), "X", IF(AND('Inserimento dati'!$B$3=$L$2, TabellaA1[[#This Row],[VEN]]="X"), "X","")))))</f>
        <v/>
      </c>
      <c r="U162" s="139" t="str">
        <f t="shared" ca="1" si="8"/>
        <v/>
      </c>
    </row>
    <row r="163" spans="1:21" ht="30" x14ac:dyDescent="0.25">
      <c r="A163" s="167"/>
      <c r="B163" s="167"/>
      <c r="C163" s="167" t="str">
        <f>IF(OR(TabellaA1[[#This Row],[LUN]]="X",TabellaA1[[#This Row],[MAR]]="X",TabellaA1[[#This Row],[MER]]="X",TabellaA1[[#This Row],[GIO]]="X",TabellaA1[[#This Row],[VEN]]="X",),"X","")</f>
        <v/>
      </c>
      <c r="D163" s="168" t="s">
        <v>143</v>
      </c>
      <c r="E163" s="170" t="s">
        <v>628</v>
      </c>
      <c r="F163" s="170">
        <v>400</v>
      </c>
      <c r="G163" s="170" t="s">
        <v>629</v>
      </c>
      <c r="H163" s="171"/>
      <c r="I163" s="171"/>
      <c r="J163" s="171"/>
      <c r="K163" s="171"/>
      <c r="L163" s="169"/>
      <c r="M163" s="129" t="s">
        <v>52</v>
      </c>
      <c r="N163" s="129"/>
      <c r="O163" s="172"/>
      <c r="P163" s="172"/>
      <c r="Q163" s="129" t="s">
        <v>630</v>
      </c>
      <c r="R163" s="129">
        <v>45804</v>
      </c>
      <c r="S163" s="129" t="s">
        <v>627</v>
      </c>
      <c r="T163" s="173" t="str">
        <f ca="1">IF(AND('Inserimento dati'!$B$3=$H$2, TabellaA1[[#This Row],[LUN]]="X"), "X",IF(AND('Inserimento dati'!$B$3=$I$2, TabellaA1[[#This Row],[MAR]]="X"), "X", IF(AND('Inserimento dati'!$B$3=$J$2, TabellaA1[[#This Row],[MER]]="X"), "X",IF(AND('Inserimento dati'!$B$3=$K$2, TabellaA1[[#This Row],[GIO]]="X"), "X", IF(AND('Inserimento dati'!$B$3=$L$2, TabellaA1[[#This Row],[VEN]]="X"), "X","")))))</f>
        <v/>
      </c>
      <c r="U163" s="139" t="str">
        <f t="shared" ca="1" si="8"/>
        <v/>
      </c>
    </row>
    <row r="164" spans="1:21" ht="23.25" x14ac:dyDescent="0.25">
      <c r="A164" s="167"/>
      <c r="B164" s="167"/>
      <c r="C164" s="167" t="str">
        <f>IF(OR(TabellaA1[[#This Row],[LUN]]="X",TabellaA1[[#This Row],[MAR]]="X",TabellaA1[[#This Row],[MER]]="X",TabellaA1[[#This Row],[GIO]]="X",TabellaA1[[#This Row],[VEN]]="X",),"X","")</f>
        <v/>
      </c>
      <c r="D164" s="168" t="s">
        <v>143</v>
      </c>
      <c r="E164" s="170" t="s">
        <v>631</v>
      </c>
      <c r="F164" s="170">
        <v>100</v>
      </c>
      <c r="G164" s="170" t="s">
        <v>632</v>
      </c>
      <c r="H164" s="171"/>
      <c r="I164" s="171"/>
      <c r="J164" s="171"/>
      <c r="K164" s="171"/>
      <c r="L164" s="169"/>
      <c r="M164" s="129" t="s">
        <v>52</v>
      </c>
      <c r="N164" s="129"/>
      <c r="O164" s="172"/>
      <c r="P164" s="172"/>
      <c r="Q164" s="129"/>
      <c r="R164" s="129"/>
      <c r="S164" s="129"/>
      <c r="T164" s="173" t="str">
        <f ca="1">IF(AND('Inserimento dati'!$B$3=$H$2, TabellaA1[[#This Row],[LUN]]="X"), "X",IF(AND('Inserimento dati'!$B$3=$I$2, TabellaA1[[#This Row],[MAR]]="X"), "X", IF(AND('Inserimento dati'!$B$3=$J$2, TabellaA1[[#This Row],[MER]]="X"), "X",IF(AND('Inserimento dati'!$B$3=$K$2, TabellaA1[[#This Row],[GIO]]="X"), "X", IF(AND('Inserimento dati'!$B$3=$L$2, TabellaA1[[#This Row],[VEN]]="X"), "X","")))))</f>
        <v/>
      </c>
      <c r="U164" s="139" t="str">
        <f t="shared" ca="1" si="8"/>
        <v/>
      </c>
    </row>
    <row r="165" spans="1:21" ht="45" x14ac:dyDescent="0.25">
      <c r="A165" s="167"/>
      <c r="B165" s="167"/>
      <c r="C165" s="167" t="str">
        <f>IF(OR(TabellaA1[[#This Row],[LUN]]="X",TabellaA1[[#This Row],[MAR]]="X",TabellaA1[[#This Row],[MER]]="X",TabellaA1[[#This Row],[GIO]]="X",TabellaA1[[#This Row],[VEN]]="X",),"X","")</f>
        <v/>
      </c>
      <c r="D165" s="168" t="s">
        <v>143</v>
      </c>
      <c r="E165" s="170" t="s">
        <v>633</v>
      </c>
      <c r="F165" s="170">
        <v>100</v>
      </c>
      <c r="G165" s="170" t="s">
        <v>634</v>
      </c>
      <c r="H165" s="171"/>
      <c r="I165" s="171"/>
      <c r="J165" s="171"/>
      <c r="K165" s="171"/>
      <c r="L165" s="169"/>
      <c r="M165" s="129" t="s">
        <v>52</v>
      </c>
      <c r="N165" s="129"/>
      <c r="O165" s="172"/>
      <c r="P165" s="172"/>
      <c r="Q165" s="129" t="s">
        <v>635</v>
      </c>
      <c r="R165" s="129"/>
      <c r="S165" s="129"/>
      <c r="T165" s="173" t="str">
        <f ca="1">IF(AND('Inserimento dati'!$B$3=$H$2, TabellaA1[[#This Row],[LUN]]="X"), "X",IF(AND('Inserimento dati'!$B$3=$I$2, TabellaA1[[#This Row],[MAR]]="X"), "X", IF(AND('Inserimento dati'!$B$3=$J$2, TabellaA1[[#This Row],[MER]]="X"), "X",IF(AND('Inserimento dati'!$B$3=$K$2, TabellaA1[[#This Row],[GIO]]="X"), "X", IF(AND('Inserimento dati'!$B$3=$L$2, TabellaA1[[#This Row],[VEN]]="X"), "X","")))))</f>
        <v/>
      </c>
      <c r="U165" s="139" t="str">
        <f t="shared" ca="1" si="8"/>
        <v/>
      </c>
    </row>
    <row r="166" spans="1:21" ht="30" x14ac:dyDescent="0.25">
      <c r="A166" s="167"/>
      <c r="B166" s="167"/>
      <c r="C166" s="167" t="str">
        <f>IF(OR(TabellaA1[[#This Row],[LUN]]="X",TabellaA1[[#This Row],[MAR]]="X",TabellaA1[[#This Row],[MER]]="X",TabellaA1[[#This Row],[GIO]]="X",TabellaA1[[#This Row],[VEN]]="X",),"X","")</f>
        <v/>
      </c>
      <c r="D166" s="168" t="s">
        <v>143</v>
      </c>
      <c r="E166" s="170" t="s">
        <v>636</v>
      </c>
      <c r="F166" s="170">
        <v>100</v>
      </c>
      <c r="G166" s="170" t="s">
        <v>637</v>
      </c>
      <c r="H166" s="171"/>
      <c r="I166" s="171"/>
      <c r="J166" s="171"/>
      <c r="K166" s="171"/>
      <c r="L166" s="169"/>
      <c r="M166" s="129" t="s">
        <v>52</v>
      </c>
      <c r="N166" s="129"/>
      <c r="O166" s="172"/>
      <c r="P166" s="172"/>
      <c r="Q166" s="129" t="s">
        <v>638</v>
      </c>
      <c r="R166" s="129">
        <v>45831</v>
      </c>
      <c r="S166" s="129" t="s">
        <v>639</v>
      </c>
      <c r="T166" s="173" t="str">
        <f ca="1">IF(AND('Inserimento dati'!$B$3=$H$2, TabellaA1[[#This Row],[LUN]]="X"), "X",IF(AND('Inserimento dati'!$B$3=$I$2, TabellaA1[[#This Row],[MAR]]="X"), "X", IF(AND('Inserimento dati'!$B$3=$J$2, TabellaA1[[#This Row],[MER]]="X"), "X",IF(AND('Inserimento dati'!$B$3=$K$2, TabellaA1[[#This Row],[GIO]]="X"), "X", IF(AND('Inserimento dati'!$B$3=$L$2, TabellaA1[[#This Row],[VEN]]="X"), "X","")))))</f>
        <v/>
      </c>
      <c r="U166" s="139" t="str">
        <f t="shared" ca="1" si="8"/>
        <v/>
      </c>
    </row>
    <row r="167" spans="1:21" ht="30" x14ac:dyDescent="0.25">
      <c r="A167" s="167"/>
      <c r="B167" s="167"/>
      <c r="C167" s="167" t="str">
        <f>IF(OR(TabellaA1[[#This Row],[LUN]]="X",TabellaA1[[#This Row],[MAR]]="X",TabellaA1[[#This Row],[MER]]="X",TabellaA1[[#This Row],[GIO]]="X",TabellaA1[[#This Row],[VEN]]="X",),"X","")</f>
        <v/>
      </c>
      <c r="D167" s="168" t="s">
        <v>143</v>
      </c>
      <c r="E167" s="170" t="s">
        <v>640</v>
      </c>
      <c r="F167" s="170">
        <v>100</v>
      </c>
      <c r="G167" s="170" t="s">
        <v>641</v>
      </c>
      <c r="H167" s="171"/>
      <c r="I167" s="171"/>
      <c r="J167" s="171"/>
      <c r="K167" s="171"/>
      <c r="L167" s="169"/>
      <c r="M167" s="129" t="s">
        <v>52</v>
      </c>
      <c r="N167" s="129"/>
      <c r="O167" s="172"/>
      <c r="P167" s="172"/>
      <c r="Q167" s="129" t="s">
        <v>642</v>
      </c>
      <c r="R167" s="129">
        <v>45831</v>
      </c>
      <c r="S167" s="129" t="s">
        <v>9</v>
      </c>
      <c r="T167" s="173" t="str">
        <f ca="1">IF(AND('Inserimento dati'!$B$3=$H$2, TabellaA1[[#This Row],[LUN]]="X"), "X",IF(AND('Inserimento dati'!$B$3=$I$2, TabellaA1[[#This Row],[MAR]]="X"), "X", IF(AND('Inserimento dati'!$B$3=$J$2, TabellaA1[[#This Row],[MER]]="X"), "X",IF(AND('Inserimento dati'!$B$3=$K$2, TabellaA1[[#This Row],[GIO]]="X"), "X", IF(AND('Inserimento dati'!$B$3=$L$2, TabellaA1[[#This Row],[VEN]]="X"), "X","")))))</f>
        <v/>
      </c>
      <c r="U167" s="139" t="str">
        <f t="shared" ca="1" si="8"/>
        <v/>
      </c>
    </row>
    <row r="168" spans="1:21" ht="23.25" x14ac:dyDescent="0.25">
      <c r="A168" s="167"/>
      <c r="B168" s="167"/>
      <c r="C168" s="167" t="str">
        <f>IF(OR(TabellaA1[[#This Row],[LUN]]="X",TabellaA1[[#This Row],[MAR]]="X",TabellaA1[[#This Row],[MER]]="X",TabellaA1[[#This Row],[GIO]]="X",TabellaA1[[#This Row],[VEN]]="X",),"X","")</f>
        <v/>
      </c>
      <c r="D168" s="168" t="s">
        <v>143</v>
      </c>
      <c r="E168" s="170" t="s">
        <v>643</v>
      </c>
      <c r="F168" s="170">
        <v>100</v>
      </c>
      <c r="G168" s="170" t="s">
        <v>644</v>
      </c>
      <c r="H168" s="171"/>
      <c r="I168" s="171"/>
      <c r="J168" s="171"/>
      <c r="K168" s="171"/>
      <c r="L168" s="169"/>
      <c r="M168" s="129" t="s">
        <v>52</v>
      </c>
      <c r="N168" s="129"/>
      <c r="O168" s="172"/>
      <c r="P168" s="172"/>
      <c r="Q168" s="129" t="s">
        <v>645</v>
      </c>
      <c r="R168" s="129">
        <v>45832</v>
      </c>
      <c r="S168" s="129" t="s">
        <v>23</v>
      </c>
      <c r="T168" s="173" t="str">
        <f ca="1">IF(AND('Inserimento dati'!$B$3=$H$2, TabellaA1[[#This Row],[LUN]]="X"), "X",IF(AND('Inserimento dati'!$B$3=$I$2, TabellaA1[[#This Row],[MAR]]="X"), "X", IF(AND('Inserimento dati'!$B$3=$J$2, TabellaA1[[#This Row],[MER]]="X"), "X",IF(AND('Inserimento dati'!$B$3=$K$2, TabellaA1[[#This Row],[GIO]]="X"), "X", IF(AND('Inserimento dati'!$B$3=$L$2, TabellaA1[[#This Row],[VEN]]="X"), "X","")))))</f>
        <v/>
      </c>
      <c r="U168" s="139" t="str">
        <f t="shared" ca="1" si="8"/>
        <v/>
      </c>
    </row>
    <row r="169" spans="1:21" ht="23.25" x14ac:dyDescent="0.25">
      <c r="A169" s="167"/>
      <c r="B169" s="167"/>
      <c r="C169" s="167" t="str">
        <f>IF(OR(TabellaA1[[#This Row],[LUN]]="X",TabellaA1[[#This Row],[MAR]]="X",TabellaA1[[#This Row],[MER]]="X",TabellaA1[[#This Row],[GIO]]="X",TabellaA1[[#This Row],[VEN]]="X",),"X","")</f>
        <v/>
      </c>
      <c r="D169" s="168" t="s">
        <v>143</v>
      </c>
      <c r="E169" s="170" t="s">
        <v>646</v>
      </c>
      <c r="F169" s="170">
        <v>400</v>
      </c>
      <c r="G169" s="170" t="s">
        <v>647</v>
      </c>
      <c r="H169" s="171"/>
      <c r="I169" s="171"/>
      <c r="J169" s="171"/>
      <c r="K169" s="171"/>
      <c r="L169" s="169"/>
      <c r="M169" s="129" t="s">
        <v>52</v>
      </c>
      <c r="N169" s="129"/>
      <c r="O169" s="172"/>
      <c r="P169" s="172"/>
      <c r="Q169" s="129" t="s">
        <v>648</v>
      </c>
      <c r="R169" s="129">
        <v>45841</v>
      </c>
      <c r="S169" s="129" t="s">
        <v>20</v>
      </c>
      <c r="T169" s="173" t="str">
        <f ca="1">IF(AND('Inserimento dati'!$B$3=$H$2, TabellaA1[[#This Row],[LUN]]="X"), "X",IF(AND('Inserimento dati'!$B$3=$I$2, TabellaA1[[#This Row],[MAR]]="X"), "X", IF(AND('Inserimento dati'!$B$3=$J$2, TabellaA1[[#This Row],[MER]]="X"), "X",IF(AND('Inserimento dati'!$B$3=$K$2, TabellaA1[[#This Row],[GIO]]="X"), "X", IF(AND('Inserimento dati'!$B$3=$L$2, TabellaA1[[#This Row],[VEN]]="X"), "X","")))))</f>
        <v/>
      </c>
      <c r="U169" s="139" t="str">
        <f t="shared" ca="1" si="8"/>
        <v/>
      </c>
    </row>
    <row r="170" spans="1:21" ht="30" x14ac:dyDescent="0.25">
      <c r="A170" s="167"/>
      <c r="B170" s="167"/>
      <c r="C170" s="167" t="str">
        <f>IF(OR(TabellaA1[[#This Row],[LUN]]="X",TabellaA1[[#This Row],[MAR]]="X",TabellaA1[[#This Row],[MER]]="X",TabellaA1[[#This Row],[GIO]]="X",TabellaA1[[#This Row],[VEN]]="X",),"X","")</f>
        <v/>
      </c>
      <c r="D170" s="168" t="s">
        <v>143</v>
      </c>
      <c r="E170" s="170" t="s">
        <v>649</v>
      </c>
      <c r="F170" s="170" t="s">
        <v>262</v>
      </c>
      <c r="G170" s="170" t="s">
        <v>650</v>
      </c>
      <c r="H170" s="171"/>
      <c r="I170" s="171"/>
      <c r="J170" s="171"/>
      <c r="K170" s="171"/>
      <c r="L170" s="169"/>
      <c r="M170" s="129" t="s">
        <v>52</v>
      </c>
      <c r="N170" s="129"/>
      <c r="O170" s="172"/>
      <c r="P170" s="172"/>
      <c r="Q170" s="129" t="s">
        <v>651</v>
      </c>
      <c r="R170" s="129">
        <v>45841</v>
      </c>
      <c r="S170" s="129" t="s">
        <v>652</v>
      </c>
      <c r="T170" s="173" t="str">
        <f ca="1">IF(AND('Inserimento dati'!$B$3=$H$2, TabellaA1[[#This Row],[LUN]]="X"), "X",IF(AND('Inserimento dati'!$B$3=$I$2, TabellaA1[[#This Row],[MAR]]="X"), "X", IF(AND('Inserimento dati'!$B$3=$J$2, TabellaA1[[#This Row],[MER]]="X"), "X",IF(AND('Inserimento dati'!$B$3=$K$2, TabellaA1[[#This Row],[GIO]]="X"), "X", IF(AND('Inserimento dati'!$B$3=$L$2, TabellaA1[[#This Row],[VEN]]="X"), "X","")))))</f>
        <v/>
      </c>
      <c r="U170" s="139" t="str">
        <f t="shared" ca="1" si="8"/>
        <v/>
      </c>
    </row>
    <row r="171" spans="1:21" ht="45" x14ac:dyDescent="0.25">
      <c r="A171" s="167"/>
      <c r="B171" s="167"/>
      <c r="C171" s="167" t="str">
        <f>IF(OR(TabellaA1[[#This Row],[LUN]]="X",TabellaA1[[#This Row],[MAR]]="X",TabellaA1[[#This Row],[MER]]="X",TabellaA1[[#This Row],[GIO]]="X",TabellaA1[[#This Row],[VEN]]="X",),"X","")</f>
        <v/>
      </c>
      <c r="D171" s="168" t="s">
        <v>143</v>
      </c>
      <c r="E171" s="170" t="s">
        <v>653</v>
      </c>
      <c r="F171" s="170">
        <v>100</v>
      </c>
      <c r="G171" s="170" t="s">
        <v>654</v>
      </c>
      <c r="H171" s="171"/>
      <c r="I171" s="171"/>
      <c r="J171" s="171"/>
      <c r="K171" s="171"/>
      <c r="L171" s="169"/>
      <c r="M171" s="129" t="s">
        <v>52</v>
      </c>
      <c r="N171" s="129"/>
      <c r="O171" s="172"/>
      <c r="P171" s="172"/>
      <c r="Q171" s="129" t="s">
        <v>655</v>
      </c>
      <c r="R171" s="129">
        <v>45847</v>
      </c>
      <c r="S171" s="129" t="s">
        <v>623</v>
      </c>
      <c r="T171" s="173" t="str">
        <f ca="1">IF(AND('Inserimento dati'!$B$3=$H$2, TabellaA1[[#This Row],[LUN]]="X"), "X",IF(AND('Inserimento dati'!$B$3=$I$2, TabellaA1[[#This Row],[MAR]]="X"), "X", IF(AND('Inserimento dati'!$B$3=$J$2, TabellaA1[[#This Row],[MER]]="X"), "X",IF(AND('Inserimento dati'!$B$3=$K$2, TabellaA1[[#This Row],[GIO]]="X"), "X", IF(AND('Inserimento dati'!$B$3=$L$2, TabellaA1[[#This Row],[VEN]]="X"), "X","")))))</f>
        <v/>
      </c>
      <c r="U171" s="139"/>
    </row>
    <row r="172" spans="1:21" ht="30" x14ac:dyDescent="0.25">
      <c r="A172" s="167"/>
      <c r="B172" s="167"/>
      <c r="C172" s="167" t="str">
        <f>IF(OR(TabellaA1[[#This Row],[LUN]]="X",TabellaA1[[#This Row],[MAR]]="X",TabellaA1[[#This Row],[MER]]="X",TabellaA1[[#This Row],[GIO]]="X",TabellaA1[[#This Row],[VEN]]="X",),"X","")</f>
        <v/>
      </c>
      <c r="D172" s="168" t="s">
        <v>143</v>
      </c>
      <c r="E172" s="170" t="s">
        <v>656</v>
      </c>
      <c r="F172" s="170">
        <v>100</v>
      </c>
      <c r="G172" s="170" t="s">
        <v>657</v>
      </c>
      <c r="H172" s="171"/>
      <c r="I172" s="171"/>
      <c r="J172" s="171"/>
      <c r="K172" s="171"/>
      <c r="L172" s="169"/>
      <c r="M172" s="129" t="s">
        <v>52</v>
      </c>
      <c r="N172" s="129"/>
      <c r="O172" s="172"/>
      <c r="P172" s="172"/>
      <c r="Q172" s="129" t="s">
        <v>658</v>
      </c>
      <c r="R172" s="129">
        <v>45853</v>
      </c>
      <c r="S172" s="129" t="s">
        <v>38</v>
      </c>
      <c r="T172" s="173" t="str">
        <f ca="1">IF(AND('Inserimento dati'!$B$3=$H$2, TabellaA1[[#This Row],[LUN]]="X"), "X",IF(AND('Inserimento dati'!$B$3=$I$2, TabellaA1[[#This Row],[MAR]]="X"), "X", IF(AND('Inserimento dati'!$B$3=$J$2, TabellaA1[[#This Row],[MER]]="X"), "X",IF(AND('Inserimento dati'!$B$3=$K$2, TabellaA1[[#This Row],[GIO]]="X"), "X", IF(AND('Inserimento dati'!$B$3=$L$2, TabellaA1[[#This Row],[VEN]]="X"), "X","")))))</f>
        <v/>
      </c>
      <c r="U172" s="139"/>
    </row>
    <row r="173" spans="1:21" ht="23.25" x14ac:dyDescent="0.25">
      <c r="A173" s="167"/>
      <c r="B173" s="167"/>
      <c r="C173" s="167" t="str">
        <f>IF(OR(TabellaA1[[#This Row],[LUN]]="X",TabellaA1[[#This Row],[MAR]]="X",TabellaA1[[#This Row],[MER]]="X",TabellaA1[[#This Row],[GIO]]="X",TabellaA1[[#This Row],[VEN]]="X",),"X","")</f>
        <v/>
      </c>
      <c r="D173" s="168" t="s">
        <v>143</v>
      </c>
      <c r="E173" s="170" t="s">
        <v>659</v>
      </c>
      <c r="F173" s="170">
        <v>300</v>
      </c>
      <c r="G173" s="170" t="s">
        <v>660</v>
      </c>
      <c r="H173" s="171"/>
      <c r="I173" s="171"/>
      <c r="J173" s="171"/>
      <c r="K173" s="171"/>
      <c r="L173" s="169"/>
      <c r="M173" s="129" t="s">
        <v>52</v>
      </c>
      <c r="N173" s="129"/>
      <c r="O173" s="172"/>
      <c r="P173" s="172"/>
      <c r="Q173" s="129" t="s">
        <v>661</v>
      </c>
      <c r="R173" s="129">
        <v>45860</v>
      </c>
      <c r="S173" s="129" t="s">
        <v>23</v>
      </c>
      <c r="T173" s="173" t="str">
        <f ca="1">IF(AND('Inserimento dati'!$B$3=$H$2, TabellaA1[[#This Row],[LUN]]="X"), "X",IF(AND('Inserimento dati'!$B$3=$I$2, TabellaA1[[#This Row],[MAR]]="X"), "X", IF(AND('Inserimento dati'!$B$3=$J$2, TabellaA1[[#This Row],[MER]]="X"), "X",IF(AND('Inserimento dati'!$B$3=$K$2, TabellaA1[[#This Row],[GIO]]="X"), "X", IF(AND('Inserimento dati'!$B$3=$L$2, TabellaA1[[#This Row],[VEN]]="X"), "X","")))))</f>
        <v/>
      </c>
      <c r="U173" s="139"/>
    </row>
    <row r="174" spans="1:21" ht="30" x14ac:dyDescent="0.25">
      <c r="A174" s="167"/>
      <c r="B174" s="167"/>
      <c r="C174" s="167" t="str">
        <f>IF(OR(TabellaA1[[#This Row],[LUN]]="X",TabellaA1[[#This Row],[MAR]]="X",TabellaA1[[#This Row],[MER]]="X",TabellaA1[[#This Row],[GIO]]="X",TabellaA1[[#This Row],[VEN]]="X",),"X","")</f>
        <v/>
      </c>
      <c r="D174" s="168" t="s">
        <v>143</v>
      </c>
      <c r="E174" s="170" t="s">
        <v>662</v>
      </c>
      <c r="F174" s="170" t="s">
        <v>262</v>
      </c>
      <c r="G174" s="170" t="s">
        <v>663</v>
      </c>
      <c r="H174" s="171"/>
      <c r="I174" s="171"/>
      <c r="J174" s="171"/>
      <c r="K174" s="171"/>
      <c r="L174" s="169"/>
      <c r="M174" s="129" t="s">
        <v>52</v>
      </c>
      <c r="N174" s="129"/>
      <c r="O174" s="172"/>
      <c r="P174" s="172"/>
      <c r="Q174" s="129" t="s">
        <v>664</v>
      </c>
      <c r="R174" s="129">
        <v>45856</v>
      </c>
      <c r="S174" s="129" t="s">
        <v>45</v>
      </c>
      <c r="T174" s="173" t="str">
        <f ca="1">IF(AND('Inserimento dati'!$B$3=$H$2, TabellaA1[[#This Row],[LUN]]="X"), "X",IF(AND('Inserimento dati'!$B$3=$I$2, TabellaA1[[#This Row],[MAR]]="X"), "X", IF(AND('Inserimento dati'!$B$3=$J$2, TabellaA1[[#This Row],[MER]]="X"), "X",IF(AND('Inserimento dati'!$B$3=$K$2, TabellaA1[[#This Row],[GIO]]="X"), "X", IF(AND('Inserimento dati'!$B$3=$L$2, TabellaA1[[#This Row],[VEN]]="X"), "X","")))))</f>
        <v/>
      </c>
      <c r="U174" s="139"/>
    </row>
    <row r="175" spans="1:21" ht="23.25" x14ac:dyDescent="0.25">
      <c r="A175" s="167"/>
      <c r="B175" s="167"/>
      <c r="C175" s="167" t="str">
        <f>IF(OR(TabellaA1[[#This Row],[LUN]]="X",TabellaA1[[#This Row],[MAR]]="X",TabellaA1[[#This Row],[MER]]="X",TabellaA1[[#This Row],[GIO]]="X",TabellaA1[[#This Row],[VEN]]="X",),"X","")</f>
        <v/>
      </c>
      <c r="D175" s="168" t="s">
        <v>143</v>
      </c>
      <c r="E175" s="170" t="s">
        <v>665</v>
      </c>
      <c r="F175" s="170">
        <v>200</v>
      </c>
      <c r="G175" s="170" t="s">
        <v>666</v>
      </c>
      <c r="H175" s="171"/>
      <c r="I175" s="171"/>
      <c r="J175" s="171"/>
      <c r="K175" s="171"/>
      <c r="L175" s="169"/>
      <c r="M175" s="129" t="s">
        <v>52</v>
      </c>
      <c r="N175" s="129"/>
      <c r="O175" s="172"/>
      <c r="P175" s="172"/>
      <c r="Q175" s="129" t="s">
        <v>667</v>
      </c>
      <c r="R175" s="129">
        <v>45852</v>
      </c>
      <c r="S175" s="129" t="s">
        <v>20</v>
      </c>
      <c r="T175" s="173" t="str">
        <f ca="1">IF(AND('Inserimento dati'!$B$3=$H$2, TabellaA1[[#This Row],[LUN]]="X"), "X",IF(AND('Inserimento dati'!$B$3=$I$2, TabellaA1[[#This Row],[MAR]]="X"), "X", IF(AND('Inserimento dati'!$B$3=$J$2, TabellaA1[[#This Row],[MER]]="X"), "X",IF(AND('Inserimento dati'!$B$3=$K$2, TabellaA1[[#This Row],[GIO]]="X"), "X", IF(AND('Inserimento dati'!$B$3=$L$2, TabellaA1[[#This Row],[VEN]]="X"), "X","")))))</f>
        <v/>
      </c>
      <c r="U175" s="139" t="str">
        <f ca="1">IFERROR(MID(G175,_xlfn.AGGREGATE(15,6,(ROW(INDIRECT("1:"&amp;LEN(G175)-7)))/(ISNUMBER(--MID(G175,ROW(INDIRECT("1:"&amp;LEN(G175)-7)),8))),1),8),"")</f>
        <v/>
      </c>
    </row>
    <row r="176" spans="1:21" ht="23.25" x14ac:dyDescent="0.25">
      <c r="A176" s="167"/>
      <c r="B176" s="167"/>
      <c r="C176" s="167" t="str">
        <f>IF(OR(TabellaA1[[#This Row],[LUN]]="X",TabellaA1[[#This Row],[MAR]]="X",TabellaA1[[#This Row],[MER]]="X",TabellaA1[[#This Row],[GIO]]="X",TabellaA1[[#This Row],[VEN]]="X",),"X","")</f>
        <v/>
      </c>
      <c r="D176" s="168" t="s">
        <v>143</v>
      </c>
      <c r="E176" s="170" t="s">
        <v>668</v>
      </c>
      <c r="F176" s="170">
        <v>400</v>
      </c>
      <c r="G176" s="170" t="s">
        <v>669</v>
      </c>
      <c r="H176" s="171"/>
      <c r="I176" s="171"/>
      <c r="J176" s="171"/>
      <c r="K176" s="171"/>
      <c r="L176" s="169"/>
      <c r="M176" s="129" t="s">
        <v>52</v>
      </c>
      <c r="N176" s="129"/>
      <c r="O176" s="172"/>
      <c r="P176" s="172"/>
      <c r="Q176" s="129" t="s">
        <v>670</v>
      </c>
      <c r="R176" s="129">
        <v>45868</v>
      </c>
      <c r="S176" s="129" t="s">
        <v>238</v>
      </c>
      <c r="T176" s="173" t="str">
        <f ca="1">IF(AND('Inserimento dati'!$B$3=$H$2, TabellaA1[[#This Row],[LUN]]="X"), "X",IF(AND('Inserimento dati'!$B$3=$I$2, TabellaA1[[#This Row],[MAR]]="X"), "X", IF(AND('Inserimento dati'!$B$3=$J$2, TabellaA1[[#This Row],[MER]]="X"), "X",IF(AND('Inserimento dati'!$B$3=$K$2, TabellaA1[[#This Row],[GIO]]="X"), "X", IF(AND('Inserimento dati'!$B$3=$L$2, TabellaA1[[#This Row],[VEN]]="X"), "X","")))))</f>
        <v/>
      </c>
      <c r="U176" s="139"/>
    </row>
    <row r="177" spans="1:21" ht="45" x14ac:dyDescent="0.25">
      <c r="A177" s="167"/>
      <c r="B177" s="167"/>
      <c r="C177" s="167" t="str">
        <f>IF(OR(TabellaA1[[#This Row],[LUN]]="X",TabellaA1[[#This Row],[MAR]]="X",TabellaA1[[#This Row],[MER]]="X",TabellaA1[[#This Row],[GIO]]="X",TabellaA1[[#This Row],[VEN]]="X",),"X","")</f>
        <v/>
      </c>
      <c r="D177" s="168" t="s">
        <v>143</v>
      </c>
      <c r="E177" s="170" t="s">
        <v>671</v>
      </c>
      <c r="F177" s="170">
        <v>100</v>
      </c>
      <c r="G177" s="170" t="s">
        <v>672</v>
      </c>
      <c r="H177" s="171"/>
      <c r="I177" s="171"/>
      <c r="J177" s="171"/>
      <c r="K177" s="171"/>
      <c r="L177" s="169"/>
      <c r="M177" s="129" t="s">
        <v>52</v>
      </c>
      <c r="N177" s="129"/>
      <c r="O177" s="172"/>
      <c r="P177" s="172"/>
      <c r="Q177" s="129" t="s">
        <v>673</v>
      </c>
      <c r="R177" s="129">
        <v>45882</v>
      </c>
      <c r="S177" s="129" t="s">
        <v>674</v>
      </c>
      <c r="T177" s="173" t="str">
        <f ca="1">IF(AND('Inserimento dati'!$B$3=$H$2, TabellaA1[[#This Row],[LUN]]="X"), "X",IF(AND('Inserimento dati'!$B$3=$I$2, TabellaA1[[#This Row],[MAR]]="X"), "X", IF(AND('Inserimento dati'!$B$3=$J$2, TabellaA1[[#This Row],[MER]]="X"), "X",IF(AND('Inserimento dati'!$B$3=$K$2, TabellaA1[[#This Row],[GIO]]="X"), "X", IF(AND('Inserimento dati'!$B$3=$L$2, TabellaA1[[#This Row],[VEN]]="X"), "X","")))))</f>
        <v/>
      </c>
      <c r="U177" s="139"/>
    </row>
    <row r="178" spans="1:21" ht="30" x14ac:dyDescent="0.25">
      <c r="A178" s="167"/>
      <c r="B178" s="167"/>
      <c r="C178" s="167" t="str">
        <f>IF(OR(TabellaA1[[#This Row],[LUN]]="X",TabellaA1[[#This Row],[MAR]]="X",TabellaA1[[#This Row],[MER]]="X",TabellaA1[[#This Row],[GIO]]="X",TabellaA1[[#This Row],[VEN]]="X",),"X","")</f>
        <v/>
      </c>
      <c r="D178" s="168" t="s">
        <v>143</v>
      </c>
      <c r="E178" s="170" t="s">
        <v>675</v>
      </c>
      <c r="F178" s="170">
        <v>100</v>
      </c>
      <c r="G178" s="170" t="s">
        <v>676</v>
      </c>
      <c r="H178" s="171"/>
      <c r="I178" s="171"/>
      <c r="J178" s="171"/>
      <c r="K178" s="171"/>
      <c r="L178" s="169"/>
      <c r="M178" s="129" t="s">
        <v>52</v>
      </c>
      <c r="N178" s="129"/>
      <c r="O178" s="172"/>
      <c r="P178" s="172"/>
      <c r="Q178" s="129" t="s">
        <v>677</v>
      </c>
      <c r="R178" s="129">
        <v>45882</v>
      </c>
      <c r="S178" s="129" t="s">
        <v>20</v>
      </c>
      <c r="T178" s="173" t="str">
        <f ca="1">IF(AND('Inserimento dati'!$B$3=$H$2, TabellaA1[[#This Row],[LUN]]="X"), "X",IF(AND('Inserimento dati'!$B$3=$I$2, TabellaA1[[#This Row],[MAR]]="X"), "X", IF(AND('Inserimento dati'!$B$3=$J$2, TabellaA1[[#This Row],[MER]]="X"), "X",IF(AND('Inserimento dati'!$B$3=$K$2, TabellaA1[[#This Row],[GIO]]="X"), "X", IF(AND('Inserimento dati'!$B$3=$L$2, TabellaA1[[#This Row],[VEN]]="X"), "X","")))))</f>
        <v/>
      </c>
      <c r="U178" s="139"/>
    </row>
    <row r="179" spans="1:21" ht="23.25" x14ac:dyDescent="0.25">
      <c r="A179" s="167"/>
      <c r="B179" s="167"/>
      <c r="C179" s="167" t="str">
        <f>IF(OR(TabellaA1[[#This Row],[LUN]]="X",TabellaA1[[#This Row],[MAR]]="X",TabellaA1[[#This Row],[MER]]="X",TabellaA1[[#This Row],[GIO]]="X",TabellaA1[[#This Row],[VEN]]="X",),"X","")</f>
        <v/>
      </c>
      <c r="D179" s="168" t="s">
        <v>143</v>
      </c>
      <c r="E179" s="170" t="s">
        <v>678</v>
      </c>
      <c r="F179" s="170">
        <v>300</v>
      </c>
      <c r="G179" s="170" t="s">
        <v>679</v>
      </c>
      <c r="H179" s="171"/>
      <c r="I179" s="171"/>
      <c r="J179" s="171"/>
      <c r="K179" s="171"/>
      <c r="L179" s="169"/>
      <c r="M179" s="129" t="s">
        <v>52</v>
      </c>
      <c r="N179" s="129"/>
      <c r="O179" s="172"/>
      <c r="P179" s="172"/>
      <c r="Q179" s="129" t="s">
        <v>680</v>
      </c>
      <c r="R179" s="129"/>
      <c r="S179" s="129"/>
      <c r="T179" s="173" t="str">
        <f ca="1">IF(AND('Inserimento dati'!$B$3=$H$2, TabellaA1[[#This Row],[LUN]]="X"), "X",IF(AND('Inserimento dati'!$B$3=$I$2, TabellaA1[[#This Row],[MAR]]="X"), "X", IF(AND('Inserimento dati'!$B$3=$J$2, TabellaA1[[#This Row],[MER]]="X"), "X",IF(AND('Inserimento dati'!$B$3=$K$2, TabellaA1[[#This Row],[GIO]]="X"), "X", IF(AND('Inserimento dati'!$B$3=$L$2, TabellaA1[[#This Row],[VEN]]="X"), "X","")))))</f>
        <v/>
      </c>
      <c r="U179" s="139"/>
    </row>
    <row r="180" spans="1:21" ht="23.25" x14ac:dyDescent="0.25">
      <c r="A180" s="167"/>
      <c r="B180" s="167"/>
      <c r="C180" s="167" t="str">
        <f>IF(OR(TabellaA1[[#This Row],[LUN]]="X",TabellaA1[[#This Row],[MAR]]="X",TabellaA1[[#This Row],[MER]]="X",TabellaA1[[#This Row],[GIO]]="X",TabellaA1[[#This Row],[VEN]]="X",),"X","")</f>
        <v/>
      </c>
      <c r="D180" s="168" t="s">
        <v>143</v>
      </c>
      <c r="E180" s="170" t="s">
        <v>681</v>
      </c>
      <c r="F180" s="170">
        <v>400</v>
      </c>
      <c r="G180" s="170" t="s">
        <v>682</v>
      </c>
      <c r="H180" s="171"/>
      <c r="I180" s="171"/>
      <c r="J180" s="171"/>
      <c r="K180" s="171"/>
      <c r="L180" s="169"/>
      <c r="M180" s="129" t="s">
        <v>52</v>
      </c>
      <c r="N180" s="129"/>
      <c r="O180" s="172"/>
      <c r="P180" s="172"/>
      <c r="Q180" s="129" t="s">
        <v>683</v>
      </c>
      <c r="R180" s="129">
        <v>45888</v>
      </c>
      <c r="S180" s="129" t="s">
        <v>684</v>
      </c>
      <c r="T180" s="173" t="str">
        <f ca="1">IF(AND('Inserimento dati'!$B$3=$H$2, TabellaA1[[#This Row],[LUN]]="X"), "X",IF(AND('Inserimento dati'!$B$3=$I$2, TabellaA1[[#This Row],[MAR]]="X"), "X", IF(AND('Inserimento dati'!$B$3=$J$2, TabellaA1[[#This Row],[MER]]="X"), "X",IF(AND('Inserimento dati'!$B$3=$K$2, TabellaA1[[#This Row],[GIO]]="X"), "X", IF(AND('Inserimento dati'!$B$3=$L$2, TabellaA1[[#This Row],[VEN]]="X"), "X","")))))</f>
        <v/>
      </c>
      <c r="U180" s="139"/>
    </row>
    <row r="181" spans="1:21" ht="45" x14ac:dyDescent="0.25">
      <c r="A181" s="167"/>
      <c r="B181" s="167"/>
      <c r="C181" s="167" t="str">
        <f>IF(OR(TabellaA1[[#This Row],[LUN]]="X",TabellaA1[[#This Row],[MAR]]="X",TabellaA1[[#This Row],[MER]]="X",TabellaA1[[#This Row],[GIO]]="X",TabellaA1[[#This Row],[VEN]]="X",),"X","")</f>
        <v/>
      </c>
      <c r="D181" s="168" t="s">
        <v>143</v>
      </c>
      <c r="E181" s="170" t="s">
        <v>685</v>
      </c>
      <c r="F181" s="170">
        <v>900</v>
      </c>
      <c r="G181" s="170" t="s">
        <v>686</v>
      </c>
      <c r="H181" s="171"/>
      <c r="I181" s="171"/>
      <c r="J181" s="171"/>
      <c r="K181" s="171"/>
      <c r="L181" s="169"/>
      <c r="M181" s="129" t="s">
        <v>52</v>
      </c>
      <c r="N181" s="129"/>
      <c r="O181" s="172"/>
      <c r="P181" s="172"/>
      <c r="Q181" s="129" t="s">
        <v>687</v>
      </c>
      <c r="R181" s="129">
        <v>45888</v>
      </c>
      <c r="S181" s="129" t="s">
        <v>684</v>
      </c>
      <c r="T181" s="173" t="str">
        <f ca="1">IF(AND('Inserimento dati'!$B$3=$H$2, TabellaA1[[#This Row],[LUN]]="X"), "X",IF(AND('Inserimento dati'!$B$3=$I$2, TabellaA1[[#This Row],[MAR]]="X"), "X", IF(AND('Inserimento dati'!$B$3=$J$2, TabellaA1[[#This Row],[MER]]="X"), "X",IF(AND('Inserimento dati'!$B$3=$K$2, TabellaA1[[#This Row],[GIO]]="X"), "X", IF(AND('Inserimento dati'!$B$3=$L$2, TabellaA1[[#This Row],[VEN]]="X"), "X","")))))</f>
        <v/>
      </c>
      <c r="U181" s="139"/>
    </row>
    <row r="182" spans="1:21" ht="30" x14ac:dyDescent="0.25">
      <c r="A182" s="167"/>
      <c r="B182" s="167"/>
      <c r="C182" s="167" t="str">
        <f>IF(OR(TabellaA1[[#This Row],[LUN]]="X",TabellaA1[[#This Row],[MAR]]="X",TabellaA1[[#This Row],[MER]]="X",TabellaA1[[#This Row],[GIO]]="X",TabellaA1[[#This Row],[VEN]]="X",),"X","")</f>
        <v/>
      </c>
      <c r="D182" s="168" t="s">
        <v>143</v>
      </c>
      <c r="E182" s="170" t="s">
        <v>688</v>
      </c>
      <c r="F182" s="170">
        <v>200</v>
      </c>
      <c r="G182" s="170" t="s">
        <v>689</v>
      </c>
      <c r="H182" s="171"/>
      <c r="I182" s="171"/>
      <c r="J182" s="171"/>
      <c r="K182" s="171"/>
      <c r="L182" s="169"/>
      <c r="M182" s="129" t="s">
        <v>52</v>
      </c>
      <c r="N182" s="129"/>
      <c r="O182" s="172"/>
      <c r="P182" s="172"/>
      <c r="Q182" s="129"/>
      <c r="R182" s="129"/>
      <c r="S182" s="129"/>
      <c r="T182" s="173" t="str">
        <f ca="1">IF(AND('Inserimento dati'!$B$3=$H$2, TabellaA1[[#This Row],[LUN]]="X"), "X",IF(AND('Inserimento dati'!$B$3=$I$2, TabellaA1[[#This Row],[MAR]]="X"), "X", IF(AND('Inserimento dati'!$B$3=$J$2, TabellaA1[[#This Row],[MER]]="X"), "X",IF(AND('Inserimento dati'!$B$3=$K$2, TabellaA1[[#This Row],[GIO]]="X"), "X", IF(AND('Inserimento dati'!$B$3=$L$2, TabellaA1[[#This Row],[VEN]]="X"), "X","")))))</f>
        <v/>
      </c>
      <c r="U182" s="139"/>
    </row>
    <row r="183" spans="1:21" ht="30" x14ac:dyDescent="0.25">
      <c r="A183" s="167"/>
      <c r="B183" s="167"/>
      <c r="C183" s="167" t="str">
        <f>IF(OR(TabellaA1[[#This Row],[LUN]]="X",TabellaA1[[#This Row],[MAR]]="X",TabellaA1[[#This Row],[MER]]="X",TabellaA1[[#This Row],[GIO]]="X",TabellaA1[[#This Row],[VEN]]="X",),"X","")</f>
        <v/>
      </c>
      <c r="D183" s="168" t="s">
        <v>143</v>
      </c>
      <c r="E183" s="170" t="s">
        <v>690</v>
      </c>
      <c r="F183" s="170">
        <v>200</v>
      </c>
      <c r="G183" s="170" t="s">
        <v>691</v>
      </c>
      <c r="H183" s="171"/>
      <c r="I183" s="171"/>
      <c r="J183" s="171"/>
      <c r="K183" s="171"/>
      <c r="L183" s="169"/>
      <c r="M183" s="129" t="s">
        <v>52</v>
      </c>
      <c r="N183" s="129"/>
      <c r="O183" s="172"/>
      <c r="P183" s="172"/>
      <c r="Q183" s="129"/>
      <c r="R183" s="129"/>
      <c r="S183" s="129"/>
      <c r="T183" s="173" t="str">
        <f ca="1">IF(AND('Inserimento dati'!$B$3=$H$2, TabellaA1[[#This Row],[LUN]]="X"), "X",IF(AND('Inserimento dati'!$B$3=$I$2, TabellaA1[[#This Row],[MAR]]="X"), "X", IF(AND('Inserimento dati'!$B$3=$J$2, TabellaA1[[#This Row],[MER]]="X"), "X",IF(AND('Inserimento dati'!$B$3=$K$2, TabellaA1[[#This Row],[GIO]]="X"), "X", IF(AND('Inserimento dati'!$B$3=$L$2, TabellaA1[[#This Row],[VEN]]="X"), "X","")))))</f>
        <v/>
      </c>
      <c r="U183" s="139"/>
    </row>
    <row r="184" spans="1:21" ht="23.25" x14ac:dyDescent="0.25">
      <c r="A184" s="167"/>
      <c r="B184" s="167"/>
      <c r="C184" s="167" t="str">
        <f>IF(OR(TabellaA1[[#This Row],[LUN]]="X",TabellaA1[[#This Row],[MAR]]="X",TabellaA1[[#This Row],[MER]]="X",TabellaA1[[#This Row],[GIO]]="X",TabellaA1[[#This Row],[VEN]]="X",),"X","")</f>
        <v/>
      </c>
      <c r="D184" s="168" t="s">
        <v>143</v>
      </c>
      <c r="E184" s="170" t="s">
        <v>692</v>
      </c>
      <c r="F184" s="170">
        <v>100</v>
      </c>
      <c r="G184" s="170" t="s">
        <v>693</v>
      </c>
      <c r="H184" s="171"/>
      <c r="I184" s="171"/>
      <c r="J184" s="171"/>
      <c r="K184" s="171"/>
      <c r="L184" s="169"/>
      <c r="M184" s="129" t="s">
        <v>52</v>
      </c>
      <c r="N184" s="129"/>
      <c r="O184" s="172"/>
      <c r="P184" s="172"/>
      <c r="Q184" s="129"/>
      <c r="R184" s="129">
        <v>45895</v>
      </c>
      <c r="S184" s="129" t="s">
        <v>20</v>
      </c>
      <c r="T184" s="173" t="str">
        <f ca="1">IF(AND('Inserimento dati'!$B$3=$H$2, TabellaA1[[#This Row],[LUN]]="X"), "X",IF(AND('Inserimento dati'!$B$3=$I$2, TabellaA1[[#This Row],[MAR]]="X"), "X", IF(AND('Inserimento dati'!$B$3=$J$2, TabellaA1[[#This Row],[MER]]="X"), "X",IF(AND('Inserimento dati'!$B$3=$K$2, TabellaA1[[#This Row],[GIO]]="X"), "X", IF(AND('Inserimento dati'!$B$3=$L$2, TabellaA1[[#This Row],[VEN]]="X"), "X","")))))</f>
        <v/>
      </c>
      <c r="U184" s="139"/>
    </row>
    <row r="185" spans="1:21" ht="23.25" x14ac:dyDescent="0.25">
      <c r="A185" s="167"/>
      <c r="B185" s="167"/>
      <c r="C185" s="167" t="str">
        <f>IF(OR(TabellaA1[[#This Row],[LUN]]="X",TabellaA1[[#This Row],[MAR]]="X",TabellaA1[[#This Row],[MER]]="X",TabellaA1[[#This Row],[GIO]]="X",TabellaA1[[#This Row],[VEN]]="X",),"X","")</f>
        <v/>
      </c>
      <c r="D185" s="168" t="s">
        <v>143</v>
      </c>
      <c r="E185" s="170" t="s">
        <v>694</v>
      </c>
      <c r="F185" s="170">
        <v>300</v>
      </c>
      <c r="G185" s="170" t="s">
        <v>695</v>
      </c>
      <c r="H185" s="171"/>
      <c r="I185" s="171"/>
      <c r="J185" s="171"/>
      <c r="K185" s="171"/>
      <c r="L185" s="169"/>
      <c r="M185" s="129" t="s">
        <v>52</v>
      </c>
      <c r="N185" s="129"/>
      <c r="O185" s="172"/>
      <c r="P185" s="172"/>
      <c r="Q185" s="129" t="s">
        <v>696</v>
      </c>
      <c r="R185" s="129">
        <v>45896</v>
      </c>
      <c r="S185" s="129" t="s">
        <v>20</v>
      </c>
      <c r="T185" s="173" t="str">
        <f ca="1">IF(AND('Inserimento dati'!$B$3=$H$2, TabellaA1[[#This Row],[LUN]]="X"), "X",IF(AND('Inserimento dati'!$B$3=$I$2, TabellaA1[[#This Row],[MAR]]="X"), "X", IF(AND('Inserimento dati'!$B$3=$J$2, TabellaA1[[#This Row],[MER]]="X"), "X",IF(AND('Inserimento dati'!$B$3=$K$2, TabellaA1[[#This Row],[GIO]]="X"), "X", IF(AND('Inserimento dati'!$B$3=$L$2, TabellaA1[[#This Row],[VEN]]="X"), "X","")))))</f>
        <v/>
      </c>
      <c r="U185" s="139"/>
    </row>
    <row r="186" spans="1:21" ht="30" x14ac:dyDescent="0.25">
      <c r="A186" s="167"/>
      <c r="B186" s="167"/>
      <c r="C186" s="167" t="str">
        <f>IF(OR(TabellaA1[[#This Row],[LUN]]="X",TabellaA1[[#This Row],[MAR]]="X",TabellaA1[[#This Row],[MER]]="X",TabellaA1[[#This Row],[GIO]]="X",TabellaA1[[#This Row],[VEN]]="X",),"X","")</f>
        <v/>
      </c>
      <c r="D186" s="168" t="s">
        <v>143</v>
      </c>
      <c r="E186" s="170" t="s">
        <v>697</v>
      </c>
      <c r="F186" s="170">
        <v>300</v>
      </c>
      <c r="G186" s="170" t="s">
        <v>698</v>
      </c>
      <c r="H186" s="171"/>
      <c r="I186" s="171"/>
      <c r="J186" s="171"/>
      <c r="K186" s="171"/>
      <c r="L186" s="169"/>
      <c r="M186" s="129" t="s">
        <v>52</v>
      </c>
      <c r="N186" s="129"/>
      <c r="O186" s="172"/>
      <c r="P186" s="172"/>
      <c r="Q186" s="129" t="s">
        <v>699</v>
      </c>
      <c r="R186" s="129">
        <v>45896</v>
      </c>
      <c r="S186" s="129" t="s">
        <v>20</v>
      </c>
      <c r="T186" s="173" t="str">
        <f ca="1">IF(AND('Inserimento dati'!$B$3=$H$2, TabellaA1[[#This Row],[LUN]]="X"), "X",IF(AND('Inserimento dati'!$B$3=$I$2, TabellaA1[[#This Row],[MAR]]="X"), "X", IF(AND('Inserimento dati'!$B$3=$J$2, TabellaA1[[#This Row],[MER]]="X"), "X",IF(AND('Inserimento dati'!$B$3=$K$2, TabellaA1[[#This Row],[GIO]]="X"), "X", IF(AND('Inserimento dati'!$B$3=$L$2, TabellaA1[[#This Row],[VEN]]="X"), "X","")))))</f>
        <v/>
      </c>
      <c r="U186" s="139"/>
    </row>
    <row r="187" spans="1:21" ht="23.25" x14ac:dyDescent="0.25">
      <c r="A187" s="167"/>
      <c r="B187" s="167"/>
      <c r="C187" s="167" t="str">
        <f>IF(OR(TabellaA1[[#This Row],[LUN]]="X",TabellaA1[[#This Row],[MAR]]="X",TabellaA1[[#This Row],[MER]]="X",TabellaA1[[#This Row],[GIO]]="X",TabellaA1[[#This Row],[VEN]]="X",),"X","")</f>
        <v/>
      </c>
      <c r="D187" s="168" t="s">
        <v>143</v>
      </c>
      <c r="E187" s="170" t="s">
        <v>700</v>
      </c>
      <c r="F187" s="170">
        <v>100</v>
      </c>
      <c r="G187" s="170" t="s">
        <v>701</v>
      </c>
      <c r="H187" s="171"/>
      <c r="I187" s="171"/>
      <c r="J187" s="171"/>
      <c r="K187" s="171"/>
      <c r="L187" s="169"/>
      <c r="M187" s="129" t="s">
        <v>52</v>
      </c>
      <c r="N187" s="129"/>
      <c r="O187" s="172"/>
      <c r="P187" s="172"/>
      <c r="Q187" s="129"/>
      <c r="R187" s="129">
        <v>45889</v>
      </c>
      <c r="S187" s="129" t="s">
        <v>20</v>
      </c>
      <c r="T187" s="173" t="str">
        <f ca="1">IF(AND('Inserimento dati'!$B$3=$H$2, TabellaA1[[#This Row],[LUN]]="X"), "X",IF(AND('Inserimento dati'!$B$3=$I$2, TabellaA1[[#This Row],[MAR]]="X"), "X", IF(AND('Inserimento dati'!$B$3=$J$2, TabellaA1[[#This Row],[MER]]="X"), "X",IF(AND('Inserimento dati'!$B$3=$K$2, TabellaA1[[#This Row],[GIO]]="X"), "X", IF(AND('Inserimento dati'!$B$3=$L$2, TabellaA1[[#This Row],[VEN]]="X"), "X","")))))</f>
        <v/>
      </c>
      <c r="U187" s="139"/>
    </row>
    <row r="188" spans="1:21" ht="23.25" x14ac:dyDescent="0.25">
      <c r="A188" s="167"/>
      <c r="B188" s="167"/>
      <c r="C188" s="167" t="str">
        <f>IF(OR(TabellaA1[[#This Row],[LUN]]="X",TabellaA1[[#This Row],[MAR]]="X",TabellaA1[[#This Row],[MER]]="X",TabellaA1[[#This Row],[GIO]]="X",TabellaA1[[#This Row],[VEN]]="X",),"X","")</f>
        <v/>
      </c>
      <c r="D188" s="168" t="s">
        <v>143</v>
      </c>
      <c r="E188" s="170" t="s">
        <v>702</v>
      </c>
      <c r="F188" s="170">
        <v>100</v>
      </c>
      <c r="G188" s="170" t="s">
        <v>703</v>
      </c>
      <c r="H188" s="171"/>
      <c r="I188" s="171"/>
      <c r="J188" s="171"/>
      <c r="K188" s="171"/>
      <c r="L188" s="169"/>
      <c r="M188" s="129" t="s">
        <v>52</v>
      </c>
      <c r="N188" s="129"/>
      <c r="O188" s="172"/>
      <c r="P188" s="172"/>
      <c r="Q188" s="129"/>
      <c r="R188" s="129">
        <v>45897</v>
      </c>
      <c r="S188" s="129" t="s">
        <v>20</v>
      </c>
      <c r="T188" s="173" t="str">
        <f ca="1">IF(AND('Inserimento dati'!$B$3=$H$2, TabellaA1[[#This Row],[LUN]]="X"), "X",IF(AND('Inserimento dati'!$B$3=$I$2, TabellaA1[[#This Row],[MAR]]="X"), "X", IF(AND('Inserimento dati'!$B$3=$J$2, TabellaA1[[#This Row],[MER]]="X"), "X",IF(AND('Inserimento dati'!$B$3=$K$2, TabellaA1[[#This Row],[GIO]]="X"), "X", IF(AND('Inserimento dati'!$B$3=$L$2, TabellaA1[[#This Row],[VEN]]="X"), "X","")))))</f>
        <v/>
      </c>
      <c r="U188" s="139"/>
    </row>
    <row r="189" spans="1:21" ht="30" x14ac:dyDescent="0.25">
      <c r="A189" s="167"/>
      <c r="B189" s="167"/>
      <c r="C189" s="167" t="str">
        <f>IF(OR(TabellaA1[[#This Row],[LUN]]="X",TabellaA1[[#This Row],[MAR]]="X",TabellaA1[[#This Row],[MER]]="X",TabellaA1[[#This Row],[GIO]]="X",TabellaA1[[#This Row],[VEN]]="X",),"X","")</f>
        <v/>
      </c>
      <c r="D189" s="168" t="s">
        <v>143</v>
      </c>
      <c r="E189" s="170" t="s">
        <v>704</v>
      </c>
      <c r="F189" s="170">
        <v>900</v>
      </c>
      <c r="G189" s="170" t="s">
        <v>705</v>
      </c>
      <c r="H189" s="171"/>
      <c r="I189" s="171"/>
      <c r="J189" s="171"/>
      <c r="K189" s="171"/>
      <c r="L189" s="169"/>
      <c r="M189" s="129" t="s">
        <v>52</v>
      </c>
      <c r="N189" s="129"/>
      <c r="O189" s="172"/>
      <c r="P189" s="172"/>
      <c r="Q189" s="129" t="s">
        <v>427</v>
      </c>
      <c r="R189" s="129">
        <v>45897</v>
      </c>
      <c r="S189" s="129" t="s">
        <v>238</v>
      </c>
      <c r="T189" s="173" t="str">
        <f ca="1">IF(AND('Inserimento dati'!$B$3=$H$2, TabellaA1[[#This Row],[LUN]]="X"), "X",IF(AND('Inserimento dati'!$B$3=$I$2, TabellaA1[[#This Row],[MAR]]="X"), "X", IF(AND('Inserimento dati'!$B$3=$J$2, TabellaA1[[#This Row],[MER]]="X"), "X",IF(AND('Inserimento dati'!$B$3=$K$2, TabellaA1[[#This Row],[GIO]]="X"), "X", IF(AND('Inserimento dati'!$B$3=$L$2, TabellaA1[[#This Row],[VEN]]="X"), "X","")))))</f>
        <v/>
      </c>
      <c r="U189" s="139"/>
    </row>
    <row r="190" spans="1:21" ht="23.25" x14ac:dyDescent="0.25">
      <c r="A190" s="167"/>
      <c r="B190" s="167"/>
      <c r="C190" s="167" t="str">
        <f>IF(OR(TabellaA1[[#This Row],[LUN]]="X",TabellaA1[[#This Row],[MAR]]="X",TabellaA1[[#This Row],[MER]]="X",TabellaA1[[#This Row],[GIO]]="X",TabellaA1[[#This Row],[VEN]]="X",),"X","")</f>
        <v/>
      </c>
      <c r="D190" s="168" t="s">
        <v>143</v>
      </c>
      <c r="E190" s="170" t="s">
        <v>706</v>
      </c>
      <c r="F190" s="170">
        <v>400</v>
      </c>
      <c r="G190" s="170" t="s">
        <v>707</v>
      </c>
      <c r="H190" s="171"/>
      <c r="I190" s="171"/>
      <c r="J190" s="171"/>
      <c r="K190" s="171"/>
      <c r="L190" s="169"/>
      <c r="M190" s="129" t="s">
        <v>52</v>
      </c>
      <c r="N190" s="129"/>
      <c r="O190" s="172"/>
      <c r="P190" s="172"/>
      <c r="Q190" s="129"/>
      <c r="R190" s="129">
        <v>45898</v>
      </c>
      <c r="S190" s="129" t="s">
        <v>20</v>
      </c>
      <c r="T190" s="173" t="str">
        <f ca="1">IF(AND('Inserimento dati'!$B$3=$H$2, TabellaA1[[#This Row],[LUN]]="X"), "X",IF(AND('Inserimento dati'!$B$3=$I$2, TabellaA1[[#This Row],[MAR]]="X"), "X", IF(AND('Inserimento dati'!$B$3=$J$2, TabellaA1[[#This Row],[MER]]="X"), "X",IF(AND('Inserimento dati'!$B$3=$K$2, TabellaA1[[#This Row],[GIO]]="X"), "X", IF(AND('Inserimento dati'!$B$3=$L$2, TabellaA1[[#This Row],[VEN]]="X"), "X","")))))</f>
        <v/>
      </c>
      <c r="U190" s="139"/>
    </row>
    <row r="191" spans="1:21" ht="30" x14ac:dyDescent="0.25">
      <c r="A191" s="167"/>
      <c r="B191" s="167"/>
      <c r="C191" s="167" t="str">
        <f>IF(OR(TabellaA1[[#This Row],[LUN]]="X",TabellaA1[[#This Row],[MAR]]="X",TabellaA1[[#This Row],[MER]]="X",TabellaA1[[#This Row],[GIO]]="X",TabellaA1[[#This Row],[VEN]]="X",),"X","")</f>
        <v/>
      </c>
      <c r="D191" s="168" t="s">
        <v>143</v>
      </c>
      <c r="E191" s="170" t="s">
        <v>708</v>
      </c>
      <c r="F191" s="170">
        <v>900</v>
      </c>
      <c r="G191" s="170" t="s">
        <v>709</v>
      </c>
      <c r="H191" s="171"/>
      <c r="I191" s="171"/>
      <c r="J191" s="171"/>
      <c r="K191" s="171"/>
      <c r="L191" s="169"/>
      <c r="M191" s="129" t="s">
        <v>52</v>
      </c>
      <c r="N191" s="129"/>
      <c r="O191" s="172"/>
      <c r="P191" s="172"/>
      <c r="Q191" s="129" t="s">
        <v>710</v>
      </c>
      <c r="R191" s="129">
        <v>45898</v>
      </c>
      <c r="S191" s="129" t="s">
        <v>20</v>
      </c>
      <c r="T191" s="173" t="str">
        <f ca="1">IF(AND('Inserimento dati'!$B$3=$H$2, TabellaA1[[#This Row],[LUN]]="X"), "X",IF(AND('Inserimento dati'!$B$3=$I$2, TabellaA1[[#This Row],[MAR]]="X"), "X", IF(AND('Inserimento dati'!$B$3=$J$2, TabellaA1[[#This Row],[MER]]="X"), "X",IF(AND('Inserimento dati'!$B$3=$K$2, TabellaA1[[#This Row],[GIO]]="X"), "X", IF(AND('Inserimento dati'!$B$3=$L$2, TabellaA1[[#This Row],[VEN]]="X"), "X","")))))</f>
        <v/>
      </c>
      <c r="U191" s="139"/>
    </row>
    <row r="192" spans="1:21" ht="23.25" x14ac:dyDescent="0.25">
      <c r="A192" s="167"/>
      <c r="B192" s="167"/>
      <c r="C192" s="167" t="str">
        <f>IF(OR(TabellaA1[[#This Row],[LUN]]="X",TabellaA1[[#This Row],[MAR]]="X",TabellaA1[[#This Row],[MER]]="X",TabellaA1[[#This Row],[GIO]]="X",TabellaA1[[#This Row],[VEN]]="X",),"X","")</f>
        <v/>
      </c>
      <c r="D192" s="168" t="s">
        <v>143</v>
      </c>
      <c r="E192" s="170" t="s">
        <v>711</v>
      </c>
      <c r="F192" s="170">
        <v>900</v>
      </c>
      <c r="G192" s="170" t="s">
        <v>712</v>
      </c>
      <c r="H192" s="171"/>
      <c r="I192" s="171"/>
      <c r="J192" s="171"/>
      <c r="K192" s="171"/>
      <c r="L192" s="169"/>
      <c r="M192" s="129" t="s">
        <v>52</v>
      </c>
      <c r="N192" s="129"/>
      <c r="O192" s="172"/>
      <c r="P192" s="172"/>
      <c r="Q192" s="129" t="s">
        <v>713</v>
      </c>
      <c r="R192" s="129">
        <v>45901</v>
      </c>
      <c r="S192" s="129" t="s">
        <v>20</v>
      </c>
      <c r="T192" s="173" t="str">
        <f ca="1">IF(AND('Inserimento dati'!$B$3=$H$2, TabellaA1[[#This Row],[LUN]]="X"), "X",IF(AND('Inserimento dati'!$B$3=$I$2, TabellaA1[[#This Row],[MAR]]="X"), "X", IF(AND('Inserimento dati'!$B$3=$J$2, TabellaA1[[#This Row],[MER]]="X"), "X",IF(AND('Inserimento dati'!$B$3=$K$2, TabellaA1[[#This Row],[GIO]]="X"), "X", IF(AND('Inserimento dati'!$B$3=$L$2, TabellaA1[[#This Row],[VEN]]="X"), "X","")))))</f>
        <v/>
      </c>
      <c r="U192" s="139"/>
    </row>
    <row r="193" spans="1:21" ht="23.25" x14ac:dyDescent="0.25">
      <c r="A193" s="167"/>
      <c r="B193" s="167"/>
      <c r="C193" s="167" t="str">
        <f>IF(OR(TabellaA1[[#This Row],[LUN]]="X",TabellaA1[[#This Row],[MAR]]="X",TabellaA1[[#This Row],[MER]]="X",TabellaA1[[#This Row],[GIO]]="X",TabellaA1[[#This Row],[VEN]]="X",),"X","")</f>
        <v/>
      </c>
      <c r="D193" s="168" t="s">
        <v>143</v>
      </c>
      <c r="E193" s="170" t="s">
        <v>714</v>
      </c>
      <c r="F193" s="170" t="s">
        <v>262</v>
      </c>
      <c r="G193" s="170" t="s">
        <v>715</v>
      </c>
      <c r="H193" s="171"/>
      <c r="I193" s="171"/>
      <c r="J193" s="171"/>
      <c r="K193" s="171"/>
      <c r="L193" s="169"/>
      <c r="M193" s="129" t="s">
        <v>52</v>
      </c>
      <c r="N193" s="129"/>
      <c r="O193" s="172"/>
      <c r="P193" s="172"/>
      <c r="Q193" s="129" t="s">
        <v>716</v>
      </c>
      <c r="R193" s="129">
        <v>45903</v>
      </c>
      <c r="S193" s="129" t="s">
        <v>20</v>
      </c>
      <c r="T193" s="173" t="str">
        <f ca="1">IF(AND('Inserimento dati'!$B$3=$H$2, TabellaA1[[#This Row],[LUN]]="X"), "X",IF(AND('Inserimento dati'!$B$3=$I$2, TabellaA1[[#This Row],[MAR]]="X"), "X", IF(AND('Inserimento dati'!$B$3=$J$2, TabellaA1[[#This Row],[MER]]="X"), "X",IF(AND('Inserimento dati'!$B$3=$K$2, TabellaA1[[#This Row],[GIO]]="X"), "X", IF(AND('Inserimento dati'!$B$3=$L$2, TabellaA1[[#This Row],[VEN]]="X"), "X","")))))</f>
        <v/>
      </c>
      <c r="U193" s="139"/>
    </row>
    <row r="194" spans="1:21" ht="23.25" x14ac:dyDescent="0.25">
      <c r="A194" s="167"/>
      <c r="B194" s="167"/>
      <c r="C194" s="167" t="str">
        <f>IF(OR(TabellaA1[[#This Row],[LUN]]="X",TabellaA1[[#This Row],[MAR]]="X",TabellaA1[[#This Row],[MER]]="X",TabellaA1[[#This Row],[GIO]]="X",TabellaA1[[#This Row],[VEN]]="X",),"X","")</f>
        <v/>
      </c>
      <c r="D194" s="168" t="s">
        <v>143</v>
      </c>
      <c r="E194" s="170" t="s">
        <v>717</v>
      </c>
      <c r="F194" s="170">
        <v>200</v>
      </c>
      <c r="G194" s="170" t="s">
        <v>718</v>
      </c>
      <c r="H194" s="171"/>
      <c r="I194" s="171"/>
      <c r="J194" s="171"/>
      <c r="K194" s="171"/>
      <c r="L194" s="169"/>
      <c r="M194" s="129" t="s">
        <v>52</v>
      </c>
      <c r="N194" s="129"/>
      <c r="O194" s="172"/>
      <c r="P194" s="172"/>
      <c r="Q194" s="129"/>
      <c r="R194" s="129"/>
      <c r="S194" s="129"/>
      <c r="T194" s="173" t="str">
        <f ca="1">IF(AND('Inserimento dati'!$B$3=$H$2, TabellaA1[[#This Row],[LUN]]="X"), "X",IF(AND('Inserimento dati'!$B$3=$I$2, TabellaA1[[#This Row],[MAR]]="X"), "X", IF(AND('Inserimento dati'!$B$3=$J$2, TabellaA1[[#This Row],[MER]]="X"), "X",IF(AND('Inserimento dati'!$B$3=$K$2, TabellaA1[[#This Row],[GIO]]="X"), "X", IF(AND('Inserimento dati'!$B$3=$L$2, TabellaA1[[#This Row],[VEN]]="X"), "X","")))))</f>
        <v/>
      </c>
      <c r="U194" s="139"/>
    </row>
    <row r="195" spans="1:21" ht="23.25" x14ac:dyDescent="0.25">
      <c r="A195" s="167"/>
      <c r="B195" s="167"/>
      <c r="C195" s="167" t="str">
        <f>IF(OR(TabellaA1[[#This Row],[LUN]]="X",TabellaA1[[#This Row],[MAR]]="X",TabellaA1[[#This Row],[MER]]="X",TabellaA1[[#This Row],[GIO]]="X",TabellaA1[[#This Row],[VEN]]="X",),"X","")</f>
        <v/>
      </c>
      <c r="D195" s="168" t="s">
        <v>143</v>
      </c>
      <c r="E195" s="170" t="s">
        <v>719</v>
      </c>
      <c r="F195" s="170">
        <v>100</v>
      </c>
      <c r="G195" s="170" t="s">
        <v>720</v>
      </c>
      <c r="H195" s="171"/>
      <c r="I195" s="171"/>
      <c r="J195" s="171"/>
      <c r="K195" s="171"/>
      <c r="L195" s="169"/>
      <c r="M195" s="129" t="s">
        <v>52</v>
      </c>
      <c r="N195" s="129"/>
      <c r="O195" s="172"/>
      <c r="P195" s="172"/>
      <c r="Q195" s="129"/>
      <c r="R195" s="129"/>
      <c r="S195" s="129"/>
      <c r="T195" s="173" t="str">
        <f ca="1">IF(AND('Inserimento dati'!$B$3=$H$2, TabellaA1[[#This Row],[LUN]]="X"), "X",IF(AND('Inserimento dati'!$B$3=$I$2, TabellaA1[[#This Row],[MAR]]="X"), "X", IF(AND('Inserimento dati'!$B$3=$J$2, TabellaA1[[#This Row],[MER]]="X"), "X",IF(AND('Inserimento dati'!$B$3=$K$2, TabellaA1[[#This Row],[GIO]]="X"), "X", IF(AND('Inserimento dati'!$B$3=$L$2, TabellaA1[[#This Row],[VEN]]="X"), "X","")))))</f>
        <v/>
      </c>
      <c r="U195" s="139"/>
    </row>
    <row r="196" spans="1:21" ht="30" x14ac:dyDescent="0.25">
      <c r="A196" s="167"/>
      <c r="B196" s="167"/>
      <c r="C196" s="167" t="str">
        <f>IF(OR(TabellaA1[[#This Row],[LUN]]="X",TabellaA1[[#This Row],[MAR]]="X",TabellaA1[[#This Row],[MER]]="X",TabellaA1[[#This Row],[GIO]]="X",TabellaA1[[#This Row],[VEN]]="X",),"X","")</f>
        <v/>
      </c>
      <c r="D196" s="168" t="s">
        <v>143</v>
      </c>
      <c r="E196" s="170" t="s">
        <v>721</v>
      </c>
      <c r="F196" s="170">
        <v>100</v>
      </c>
      <c r="G196" s="170" t="s">
        <v>722</v>
      </c>
      <c r="H196" s="171"/>
      <c r="I196" s="171"/>
      <c r="J196" s="171"/>
      <c r="K196" s="171"/>
      <c r="L196" s="169"/>
      <c r="M196" s="129" t="s">
        <v>52</v>
      </c>
      <c r="N196" s="129"/>
      <c r="O196" s="172"/>
      <c r="P196" s="172"/>
      <c r="Q196" s="129"/>
      <c r="R196" s="129"/>
      <c r="S196" s="129"/>
      <c r="T196" s="173" t="str">
        <f ca="1">IF(AND('Inserimento dati'!$B$3=$H$2, TabellaA1[[#This Row],[LUN]]="X"), "X",IF(AND('Inserimento dati'!$B$3=$I$2, TabellaA1[[#This Row],[MAR]]="X"), "X", IF(AND('Inserimento dati'!$B$3=$J$2, TabellaA1[[#This Row],[MER]]="X"), "X",IF(AND('Inserimento dati'!$B$3=$K$2, TabellaA1[[#This Row],[GIO]]="X"), "X", IF(AND('Inserimento dati'!$B$3=$L$2, TabellaA1[[#This Row],[VEN]]="X"), "X","")))))</f>
        <v/>
      </c>
      <c r="U196" s="139"/>
    </row>
    <row r="197" spans="1:21" ht="23.25" x14ac:dyDescent="0.25">
      <c r="A197" s="167"/>
      <c r="B197" s="167"/>
      <c r="C197" s="167" t="str">
        <f>IF(OR(TabellaA1[[#This Row],[LUN]]="X",TabellaA1[[#This Row],[MAR]]="X",TabellaA1[[#This Row],[MER]]="X",TabellaA1[[#This Row],[GIO]]="X",TabellaA1[[#This Row],[VEN]]="X",),"X","")</f>
        <v/>
      </c>
      <c r="D197" s="168" t="s">
        <v>143</v>
      </c>
      <c r="E197" s="170" t="s">
        <v>723</v>
      </c>
      <c r="F197" s="170">
        <v>100</v>
      </c>
      <c r="G197" s="170" t="s">
        <v>724</v>
      </c>
      <c r="H197" s="171"/>
      <c r="I197" s="171"/>
      <c r="J197" s="171"/>
      <c r="K197" s="171"/>
      <c r="L197" s="169"/>
      <c r="M197" s="129" t="s">
        <v>52</v>
      </c>
      <c r="N197" s="129"/>
      <c r="O197" s="172"/>
      <c r="P197" s="172"/>
      <c r="Q197" s="129" t="s">
        <v>725</v>
      </c>
      <c r="R197" s="129">
        <v>45905</v>
      </c>
      <c r="S197" s="129" t="s">
        <v>20</v>
      </c>
      <c r="T197" s="173" t="str">
        <f ca="1">IF(AND('Inserimento dati'!$B$3=$H$2, TabellaA1[[#This Row],[LUN]]="X"), "X",IF(AND('Inserimento dati'!$B$3=$I$2, TabellaA1[[#This Row],[MAR]]="X"), "X", IF(AND('Inserimento dati'!$B$3=$J$2, TabellaA1[[#This Row],[MER]]="X"), "X",IF(AND('Inserimento dati'!$B$3=$K$2, TabellaA1[[#This Row],[GIO]]="X"), "X", IF(AND('Inserimento dati'!$B$3=$L$2, TabellaA1[[#This Row],[VEN]]="X"), "X","")))))</f>
        <v/>
      </c>
      <c r="U197" s="139"/>
    </row>
    <row r="198" spans="1:21" ht="23.25" x14ac:dyDescent="0.25">
      <c r="A198" s="167"/>
      <c r="B198" s="167"/>
      <c r="C198" s="167" t="str">
        <f>IF(OR(TabellaA1[[#This Row],[LUN]]="X",TabellaA1[[#This Row],[MAR]]="X",TabellaA1[[#This Row],[MER]]="X",TabellaA1[[#This Row],[GIO]]="X",TabellaA1[[#This Row],[VEN]]="X",),"X","")</f>
        <v/>
      </c>
      <c r="D198" s="168" t="s">
        <v>143</v>
      </c>
      <c r="E198" s="170" t="s">
        <v>726</v>
      </c>
      <c r="F198" s="170">
        <v>100</v>
      </c>
      <c r="G198" s="170" t="s">
        <v>727</v>
      </c>
      <c r="H198" s="171"/>
      <c r="I198" s="171"/>
      <c r="J198" s="171"/>
      <c r="K198" s="171"/>
      <c r="L198" s="169"/>
      <c r="M198" s="129" t="s">
        <v>52</v>
      </c>
      <c r="N198" s="129"/>
      <c r="O198" s="172"/>
      <c r="P198" s="172"/>
      <c r="Q198" s="129"/>
      <c r="R198" s="129">
        <v>45905</v>
      </c>
      <c r="S198" s="129" t="s">
        <v>20</v>
      </c>
      <c r="T198" s="173" t="str">
        <f ca="1">IF(AND('Inserimento dati'!$B$3=$H$2, TabellaA1[[#This Row],[LUN]]="X"), "X",IF(AND('Inserimento dati'!$B$3=$I$2, TabellaA1[[#This Row],[MAR]]="X"), "X", IF(AND('Inserimento dati'!$B$3=$J$2, TabellaA1[[#This Row],[MER]]="X"), "X",IF(AND('Inserimento dati'!$B$3=$K$2, TabellaA1[[#This Row],[GIO]]="X"), "X", IF(AND('Inserimento dati'!$B$3=$L$2, TabellaA1[[#This Row],[VEN]]="X"), "X","")))))</f>
        <v/>
      </c>
      <c r="U198" s="139"/>
    </row>
    <row r="199" spans="1:21" ht="23.25" x14ac:dyDescent="0.25">
      <c r="A199" s="167"/>
      <c r="B199" s="167"/>
      <c r="C199" s="167" t="str">
        <f>IF(OR(TabellaA1[[#This Row],[LUN]]="X",TabellaA1[[#This Row],[MAR]]="X",TabellaA1[[#This Row],[MER]]="X",TabellaA1[[#This Row],[GIO]]="X",TabellaA1[[#This Row],[VEN]]="X",),"X","")</f>
        <v/>
      </c>
      <c r="D199" s="168" t="s">
        <v>143</v>
      </c>
      <c r="E199" s="170" t="s">
        <v>728</v>
      </c>
      <c r="F199" s="170">
        <v>100</v>
      </c>
      <c r="G199" s="170" t="s">
        <v>729</v>
      </c>
      <c r="H199" s="171"/>
      <c r="I199" s="171"/>
      <c r="J199" s="171"/>
      <c r="K199" s="171"/>
      <c r="L199" s="169"/>
      <c r="M199" s="129" t="s">
        <v>52</v>
      </c>
      <c r="N199" s="129"/>
      <c r="O199" s="172"/>
      <c r="P199" s="172"/>
      <c r="Q199" s="129" t="s">
        <v>725</v>
      </c>
      <c r="R199" s="129">
        <v>45908</v>
      </c>
      <c r="S199" s="129" t="s">
        <v>684</v>
      </c>
      <c r="T199" s="173" t="str">
        <f ca="1">IF(AND('Inserimento dati'!$B$3=$H$2, TabellaA1[[#This Row],[LUN]]="X"), "X",IF(AND('Inserimento dati'!$B$3=$I$2, TabellaA1[[#This Row],[MAR]]="X"), "X", IF(AND('Inserimento dati'!$B$3=$J$2, TabellaA1[[#This Row],[MER]]="X"), "X",IF(AND('Inserimento dati'!$B$3=$K$2, TabellaA1[[#This Row],[GIO]]="X"), "X", IF(AND('Inserimento dati'!$B$3=$L$2, TabellaA1[[#This Row],[VEN]]="X"), "X","")))))</f>
        <v/>
      </c>
      <c r="U199" s="139"/>
    </row>
    <row r="200" spans="1:21" ht="30" x14ac:dyDescent="0.25">
      <c r="A200" s="167"/>
      <c r="B200" s="167"/>
      <c r="C200" s="167" t="str">
        <f>IF(OR(TabellaA1[[#This Row],[LUN]]="X",TabellaA1[[#This Row],[MAR]]="X",TabellaA1[[#This Row],[MER]]="X",TabellaA1[[#This Row],[GIO]]="X",TabellaA1[[#This Row],[VEN]]="X",),"X","")</f>
        <v/>
      </c>
      <c r="D200" s="168" t="s">
        <v>143</v>
      </c>
      <c r="E200" s="170" t="s">
        <v>730</v>
      </c>
      <c r="F200" s="170">
        <v>100</v>
      </c>
      <c r="G200" s="170" t="s">
        <v>731</v>
      </c>
      <c r="H200" s="171"/>
      <c r="I200" s="171"/>
      <c r="J200" s="171"/>
      <c r="K200" s="171"/>
      <c r="L200" s="169"/>
      <c r="M200" s="129" t="s">
        <v>52</v>
      </c>
      <c r="N200" s="129"/>
      <c r="O200" s="172"/>
      <c r="P200" s="172"/>
      <c r="Q200" s="129"/>
      <c r="R200" s="129"/>
      <c r="S200" s="129"/>
      <c r="T200" s="173" t="str">
        <f ca="1">IF(AND('Inserimento dati'!$B$3=$H$2, TabellaA1[[#This Row],[LUN]]="X"), "X",IF(AND('Inserimento dati'!$B$3=$I$2, TabellaA1[[#This Row],[MAR]]="X"), "X", IF(AND('Inserimento dati'!$B$3=$J$2, TabellaA1[[#This Row],[MER]]="X"), "X",IF(AND('Inserimento dati'!$B$3=$K$2, TabellaA1[[#This Row],[GIO]]="X"), "X", IF(AND('Inserimento dati'!$B$3=$L$2, TabellaA1[[#This Row],[VEN]]="X"), "X","")))))</f>
        <v/>
      </c>
      <c r="U200" s="139"/>
    </row>
    <row r="201" spans="1:21" ht="30" x14ac:dyDescent="0.25">
      <c r="A201" s="167"/>
      <c r="B201" s="167"/>
      <c r="C201" s="167" t="str">
        <f>IF(OR(TabellaA1[[#This Row],[LUN]]="X",TabellaA1[[#This Row],[MAR]]="X",TabellaA1[[#This Row],[MER]]="X",TabellaA1[[#This Row],[GIO]]="X",TabellaA1[[#This Row],[VEN]]="X",),"X","")</f>
        <v/>
      </c>
      <c r="D201" s="168" t="s">
        <v>143</v>
      </c>
      <c r="E201" s="170" t="s">
        <v>732</v>
      </c>
      <c r="F201" s="170">
        <v>100</v>
      </c>
      <c r="G201" s="170" t="s">
        <v>733</v>
      </c>
      <c r="H201" s="171"/>
      <c r="I201" s="171"/>
      <c r="J201" s="171"/>
      <c r="K201" s="171"/>
      <c r="L201" s="169"/>
      <c r="M201" s="129" t="s">
        <v>52</v>
      </c>
      <c r="N201" s="129"/>
      <c r="O201" s="172"/>
      <c r="P201" s="172"/>
      <c r="Q201" s="129" t="s">
        <v>734</v>
      </c>
      <c r="R201" s="129">
        <v>45911</v>
      </c>
      <c r="S201" s="129" t="s">
        <v>735</v>
      </c>
      <c r="T201" s="173" t="str">
        <f ca="1">IF(AND('Inserimento dati'!$B$3=$H$2, TabellaA1[[#This Row],[LUN]]="X"), "X",IF(AND('Inserimento dati'!$B$3=$I$2, TabellaA1[[#This Row],[MAR]]="X"), "X", IF(AND('Inserimento dati'!$B$3=$J$2, TabellaA1[[#This Row],[MER]]="X"), "X",IF(AND('Inserimento dati'!$B$3=$K$2, TabellaA1[[#This Row],[GIO]]="X"), "X", IF(AND('Inserimento dati'!$B$3=$L$2, TabellaA1[[#This Row],[VEN]]="X"), "X","")))))</f>
        <v/>
      </c>
      <c r="U201" s="139"/>
    </row>
    <row r="202" spans="1:21" ht="30" x14ac:dyDescent="0.25">
      <c r="A202" s="167"/>
      <c r="B202" s="167"/>
      <c r="C202" s="167" t="str">
        <f>IF(OR(TabellaA1[[#This Row],[LUN]]="X",TabellaA1[[#This Row],[MAR]]="X",TabellaA1[[#This Row],[MER]]="X",TabellaA1[[#This Row],[GIO]]="X",TabellaA1[[#This Row],[VEN]]="X",),"X","")</f>
        <v/>
      </c>
      <c r="D202" s="168" t="s">
        <v>143</v>
      </c>
      <c r="E202" s="170" t="s">
        <v>736</v>
      </c>
      <c r="F202" s="170">
        <v>100</v>
      </c>
      <c r="G202" s="170" t="s">
        <v>737</v>
      </c>
      <c r="H202" s="171"/>
      <c r="I202" s="171"/>
      <c r="J202" s="171"/>
      <c r="K202" s="171"/>
      <c r="L202" s="169"/>
      <c r="M202" s="129" t="s">
        <v>52</v>
      </c>
      <c r="N202" s="129"/>
      <c r="O202" s="172"/>
      <c r="P202" s="172"/>
      <c r="Q202" s="129" t="s">
        <v>738</v>
      </c>
      <c r="R202" s="129">
        <v>45915</v>
      </c>
      <c r="S202" s="129" t="s">
        <v>20</v>
      </c>
      <c r="T202" s="173" t="str">
        <f ca="1">IF(AND('Inserimento dati'!$B$3=$H$2, TabellaA1[[#This Row],[LUN]]="X"), "X",IF(AND('Inserimento dati'!$B$3=$I$2, TabellaA1[[#This Row],[MAR]]="X"), "X", IF(AND('Inserimento dati'!$B$3=$J$2, TabellaA1[[#This Row],[MER]]="X"), "X",IF(AND('Inserimento dati'!$B$3=$K$2, TabellaA1[[#This Row],[GIO]]="X"), "X", IF(AND('Inserimento dati'!$B$3=$L$2, TabellaA1[[#This Row],[VEN]]="X"), "X","")))))</f>
        <v/>
      </c>
      <c r="U202" s="139"/>
    </row>
    <row r="203" spans="1:21" ht="45" x14ac:dyDescent="0.25">
      <c r="A203" s="167"/>
      <c r="B203" s="167"/>
      <c r="C203" s="167" t="str">
        <f>IF(OR(TabellaA1[[#This Row],[LUN]]="X",TabellaA1[[#This Row],[MAR]]="X",TabellaA1[[#This Row],[MER]]="X",TabellaA1[[#This Row],[GIO]]="X",TabellaA1[[#This Row],[VEN]]="X",),"X","")</f>
        <v/>
      </c>
      <c r="D203" s="168" t="s">
        <v>143</v>
      </c>
      <c r="E203" s="170" t="s">
        <v>739</v>
      </c>
      <c r="F203" s="170">
        <v>100</v>
      </c>
      <c r="G203" s="170" t="s">
        <v>740</v>
      </c>
      <c r="H203" s="171"/>
      <c r="I203" s="171"/>
      <c r="J203" s="171"/>
      <c r="K203" s="171"/>
      <c r="L203" s="169"/>
      <c r="M203" s="129" t="s">
        <v>52</v>
      </c>
      <c r="N203" s="129"/>
      <c r="O203" s="172"/>
      <c r="P203" s="172"/>
      <c r="Q203" s="129" t="s">
        <v>741</v>
      </c>
      <c r="R203" s="129">
        <v>45916</v>
      </c>
      <c r="S203" s="129" t="s">
        <v>20</v>
      </c>
      <c r="T203" s="173" t="str">
        <f ca="1">IF(AND('Inserimento dati'!$B$3=$H$2, TabellaA1[[#This Row],[LUN]]="X"), "X",IF(AND('Inserimento dati'!$B$3=$I$2, TabellaA1[[#This Row],[MAR]]="X"), "X", IF(AND('Inserimento dati'!$B$3=$J$2, TabellaA1[[#This Row],[MER]]="X"), "X",IF(AND('Inserimento dati'!$B$3=$K$2, TabellaA1[[#This Row],[GIO]]="X"), "X", IF(AND('Inserimento dati'!$B$3=$L$2, TabellaA1[[#This Row],[VEN]]="X"), "X","")))))</f>
        <v/>
      </c>
      <c r="U203" s="139"/>
    </row>
    <row r="204" spans="1:21" ht="23.25" x14ac:dyDescent="0.25">
      <c r="A204" s="167"/>
      <c r="B204" s="167"/>
      <c r="C204" s="167" t="str">
        <f>IF(OR(TabellaA1[[#This Row],[LUN]]="X",TabellaA1[[#This Row],[MAR]]="X",TabellaA1[[#This Row],[MER]]="X",TabellaA1[[#This Row],[GIO]]="X",TabellaA1[[#This Row],[VEN]]="X",),"X","")</f>
        <v/>
      </c>
      <c r="D204" s="168" t="s">
        <v>143</v>
      </c>
      <c r="E204" s="170" t="s">
        <v>742</v>
      </c>
      <c r="F204" s="170">
        <v>100</v>
      </c>
      <c r="G204" s="170" t="s">
        <v>743</v>
      </c>
      <c r="H204" s="171"/>
      <c r="I204" s="171"/>
      <c r="J204" s="171"/>
      <c r="K204" s="171"/>
      <c r="L204" s="169"/>
      <c r="M204" s="129" t="s">
        <v>52</v>
      </c>
      <c r="N204" s="129"/>
      <c r="O204" s="172"/>
      <c r="P204" s="172"/>
      <c r="Q204" s="129" t="s">
        <v>744</v>
      </c>
      <c r="R204" s="129">
        <v>45922</v>
      </c>
      <c r="S204" s="129" t="s">
        <v>20</v>
      </c>
      <c r="T204" s="173" t="str">
        <f ca="1">IF(AND('Inserimento dati'!$B$3=$H$2, TabellaA1[[#This Row],[LUN]]="X"), "X",IF(AND('Inserimento dati'!$B$3=$I$2, TabellaA1[[#This Row],[MAR]]="X"), "X", IF(AND('Inserimento dati'!$B$3=$J$2, TabellaA1[[#This Row],[MER]]="X"), "X",IF(AND('Inserimento dati'!$B$3=$K$2, TabellaA1[[#This Row],[GIO]]="X"), "X", IF(AND('Inserimento dati'!$B$3=$L$2, TabellaA1[[#This Row],[VEN]]="X"), "X","")))))</f>
        <v/>
      </c>
      <c r="U204" s="139"/>
    </row>
    <row r="205" spans="1:21" ht="23.25" x14ac:dyDescent="0.25">
      <c r="A205" s="167"/>
      <c r="B205" s="167"/>
      <c r="C205" s="167" t="str">
        <f>IF(OR(TabellaA1[[#This Row],[LUN]]="X",TabellaA1[[#This Row],[MAR]]="X",TabellaA1[[#This Row],[MER]]="X",TabellaA1[[#This Row],[GIO]]="X",TabellaA1[[#This Row],[VEN]]="X",),"X","")</f>
        <v/>
      </c>
      <c r="D205" s="168" t="s">
        <v>143</v>
      </c>
      <c r="E205" s="170" t="s">
        <v>745</v>
      </c>
      <c r="F205" s="170">
        <v>400</v>
      </c>
      <c r="G205" s="170" t="s">
        <v>746</v>
      </c>
      <c r="H205" s="171"/>
      <c r="I205" s="171"/>
      <c r="J205" s="171"/>
      <c r="K205" s="171"/>
      <c r="L205" s="169"/>
      <c r="M205" s="129" t="s">
        <v>52</v>
      </c>
      <c r="N205" s="129"/>
      <c r="O205" s="172"/>
      <c r="P205" s="172"/>
      <c r="Q205" s="129" t="s">
        <v>747</v>
      </c>
      <c r="R205" s="129">
        <v>45929</v>
      </c>
      <c r="S205" s="129" t="s">
        <v>20</v>
      </c>
      <c r="T205" s="173" t="str">
        <f ca="1">IF(AND('Inserimento dati'!$B$3=$H$2, TabellaA1[[#This Row],[LUN]]="X"), "X",IF(AND('Inserimento dati'!$B$3=$I$2, TabellaA1[[#This Row],[MAR]]="X"), "X", IF(AND('Inserimento dati'!$B$3=$J$2, TabellaA1[[#This Row],[MER]]="X"), "X",IF(AND('Inserimento dati'!$B$3=$K$2, TabellaA1[[#This Row],[GIO]]="X"), "X", IF(AND('Inserimento dati'!$B$3=$L$2, TabellaA1[[#This Row],[VEN]]="X"), "X","")))))</f>
        <v/>
      </c>
      <c r="U205" s="139"/>
    </row>
    <row r="206" spans="1:21" ht="30" x14ac:dyDescent="0.25">
      <c r="A206" s="167"/>
      <c r="B206" s="167"/>
      <c r="C206" s="167" t="str">
        <f>IF(OR(TabellaA1[[#This Row],[LUN]]="X",TabellaA1[[#This Row],[MAR]]="X",TabellaA1[[#This Row],[MER]]="X",TabellaA1[[#This Row],[GIO]]="X",TabellaA1[[#This Row],[VEN]]="X",),"X","")</f>
        <v/>
      </c>
      <c r="D206" s="168" t="s">
        <v>143</v>
      </c>
      <c r="E206" s="170" t="s">
        <v>748</v>
      </c>
      <c r="F206" s="170">
        <v>400</v>
      </c>
      <c r="G206" s="170" t="s">
        <v>749</v>
      </c>
      <c r="H206" s="171"/>
      <c r="I206" s="171"/>
      <c r="J206" s="171"/>
      <c r="K206" s="171"/>
      <c r="L206" s="169"/>
      <c r="M206" s="129" t="s">
        <v>52</v>
      </c>
      <c r="N206" s="129"/>
      <c r="O206" s="172"/>
      <c r="P206" s="172"/>
      <c r="Q206" s="129" t="s">
        <v>750</v>
      </c>
      <c r="R206" s="129">
        <v>45929</v>
      </c>
      <c r="S206" s="129" t="s">
        <v>20</v>
      </c>
      <c r="T206" s="173" t="str">
        <f ca="1">IF(AND('Inserimento dati'!$B$3=$H$2, TabellaA1[[#This Row],[LUN]]="X"), "X",IF(AND('Inserimento dati'!$B$3=$I$2, TabellaA1[[#This Row],[MAR]]="X"), "X", IF(AND('Inserimento dati'!$B$3=$J$2, TabellaA1[[#This Row],[MER]]="X"), "X",IF(AND('Inserimento dati'!$B$3=$K$2, TabellaA1[[#This Row],[GIO]]="X"), "X", IF(AND('Inserimento dati'!$B$3=$L$2, TabellaA1[[#This Row],[VEN]]="X"), "X","")))))</f>
        <v/>
      </c>
      <c r="U206" s="139"/>
    </row>
    <row r="207" spans="1:21" ht="23.25" x14ac:dyDescent="0.25">
      <c r="A207" s="167"/>
      <c r="B207" s="167"/>
      <c r="C207" s="167" t="str">
        <f>IF(OR(TabellaA1[[#This Row],[LUN]]="X",TabellaA1[[#This Row],[MAR]]="X",TabellaA1[[#This Row],[MER]]="X",TabellaA1[[#This Row],[GIO]]="X",TabellaA1[[#This Row],[VEN]]="X",),"X","")</f>
        <v/>
      </c>
      <c r="D207" s="168" t="s">
        <v>143</v>
      </c>
      <c r="E207" s="170" t="s">
        <v>751</v>
      </c>
      <c r="F207" s="170">
        <v>100</v>
      </c>
      <c r="G207" s="170" t="s">
        <v>752</v>
      </c>
      <c r="H207" s="171"/>
      <c r="I207" s="171"/>
      <c r="J207" s="171"/>
      <c r="K207" s="171"/>
      <c r="L207" s="169"/>
      <c r="M207" s="129" t="s">
        <v>52</v>
      </c>
      <c r="N207" s="129"/>
      <c r="O207" s="172"/>
      <c r="P207" s="172"/>
      <c r="Q207" s="129" t="s">
        <v>753</v>
      </c>
      <c r="R207" s="129"/>
      <c r="S207" s="129" t="s">
        <v>20</v>
      </c>
      <c r="T207" s="173" t="str">
        <f ca="1">IF(AND('Inserimento dati'!$B$3=$H$2, TabellaA1[[#This Row],[LUN]]="X"), "X",IF(AND('Inserimento dati'!$B$3=$I$2, TabellaA1[[#This Row],[MAR]]="X"), "X", IF(AND('Inserimento dati'!$B$3=$J$2, TabellaA1[[#This Row],[MER]]="X"), "X",IF(AND('Inserimento dati'!$B$3=$K$2, TabellaA1[[#This Row],[GIO]]="X"), "X", IF(AND('Inserimento dati'!$B$3=$L$2, TabellaA1[[#This Row],[VEN]]="X"), "X","")))))</f>
        <v/>
      </c>
      <c r="U207" s="139"/>
    </row>
    <row r="208" spans="1:21" ht="30" x14ac:dyDescent="0.25">
      <c r="A208" s="167"/>
      <c r="B208" s="167"/>
      <c r="C208" s="167" t="str">
        <f>IF(OR(TabellaA1[[#This Row],[LUN]]="X",TabellaA1[[#This Row],[MAR]]="X",TabellaA1[[#This Row],[MER]]="X",TabellaA1[[#This Row],[GIO]]="X",TabellaA1[[#This Row],[VEN]]="X",),"X","")</f>
        <v/>
      </c>
      <c r="D208" s="168" t="s">
        <v>143</v>
      </c>
      <c r="E208" s="170" t="s">
        <v>754</v>
      </c>
      <c r="F208" s="170">
        <v>900</v>
      </c>
      <c r="G208" s="170" t="s">
        <v>755</v>
      </c>
      <c r="H208" s="171"/>
      <c r="I208" s="171"/>
      <c r="J208" s="171"/>
      <c r="K208" s="171"/>
      <c r="L208" s="169"/>
      <c r="M208" s="129" t="s">
        <v>52</v>
      </c>
      <c r="N208" s="129"/>
      <c r="O208" s="172"/>
      <c r="P208" s="172"/>
      <c r="Q208" s="129" t="s">
        <v>756</v>
      </c>
      <c r="R208" s="129">
        <v>45937</v>
      </c>
      <c r="S208" s="129" t="s">
        <v>20</v>
      </c>
      <c r="T208" s="173" t="str">
        <f ca="1">IF(AND('Inserimento dati'!$B$3=$H$2, TabellaA1[[#This Row],[LUN]]="X"), "X",IF(AND('Inserimento dati'!$B$3=$I$2, TabellaA1[[#This Row],[MAR]]="X"), "X", IF(AND('Inserimento dati'!$B$3=$J$2, TabellaA1[[#This Row],[MER]]="X"), "X",IF(AND('Inserimento dati'!$B$3=$K$2, TabellaA1[[#This Row],[GIO]]="X"), "X", IF(AND('Inserimento dati'!$B$3=$L$2, TabellaA1[[#This Row],[VEN]]="X"), "X","")))))</f>
        <v/>
      </c>
      <c r="U208" s="139"/>
    </row>
    <row r="209" spans="1:21" ht="23.25" x14ac:dyDescent="0.25">
      <c r="A209" s="167"/>
      <c r="B209" s="167"/>
      <c r="C209" s="167" t="str">
        <f>IF(OR(TabellaA1[[#This Row],[LUN]]="X",TabellaA1[[#This Row],[MAR]]="X",TabellaA1[[#This Row],[MER]]="X",TabellaA1[[#This Row],[GIO]]="X",TabellaA1[[#This Row],[VEN]]="X",),"X","")</f>
        <v/>
      </c>
      <c r="D209" s="168" t="s">
        <v>143</v>
      </c>
      <c r="E209" s="170" t="s">
        <v>757</v>
      </c>
      <c r="F209" s="170">
        <v>200</v>
      </c>
      <c r="G209" s="170" t="s">
        <v>758</v>
      </c>
      <c r="H209" s="171"/>
      <c r="I209" s="171"/>
      <c r="J209" s="171"/>
      <c r="K209" s="171"/>
      <c r="L209" s="169"/>
      <c r="M209" s="129" t="s">
        <v>52</v>
      </c>
      <c r="N209" s="129"/>
      <c r="O209" s="172"/>
      <c r="P209" s="172"/>
      <c r="Q209" s="129" t="s">
        <v>759</v>
      </c>
      <c r="R209" s="129"/>
      <c r="S209" s="129"/>
      <c r="T209" s="173" t="str">
        <f ca="1">IF(AND('Inserimento dati'!$B$3=$H$2, TabellaA1[[#This Row],[LUN]]="X"), "X",IF(AND('Inserimento dati'!$B$3=$I$2, TabellaA1[[#This Row],[MAR]]="X"), "X", IF(AND('Inserimento dati'!$B$3=$J$2, TabellaA1[[#This Row],[MER]]="X"), "X",IF(AND('Inserimento dati'!$B$3=$K$2, TabellaA1[[#This Row],[GIO]]="X"), "X", IF(AND('Inserimento dati'!$B$3=$L$2, TabellaA1[[#This Row],[VEN]]="X"), "X","")))))</f>
        <v/>
      </c>
      <c r="U209" s="139"/>
    </row>
    <row r="210" spans="1:21" ht="30" x14ac:dyDescent="0.25">
      <c r="A210" s="167"/>
      <c r="B210" s="167"/>
      <c r="C210" s="167" t="str">
        <f>IF(OR(TabellaA1[[#This Row],[LUN]]="X",TabellaA1[[#This Row],[MAR]]="X",TabellaA1[[#This Row],[MER]]="X",TabellaA1[[#This Row],[GIO]]="X",TabellaA1[[#This Row],[VEN]]="X",),"X","")</f>
        <v/>
      </c>
      <c r="D210" s="168" t="s">
        <v>143</v>
      </c>
      <c r="E210" s="170" t="s">
        <v>760</v>
      </c>
      <c r="F210" s="170">
        <v>100</v>
      </c>
      <c r="G210" s="170" t="s">
        <v>761</v>
      </c>
      <c r="H210" s="171"/>
      <c r="I210" s="171"/>
      <c r="J210" s="171"/>
      <c r="K210" s="171"/>
      <c r="L210" s="169"/>
      <c r="M210" s="129" t="s">
        <v>52</v>
      </c>
      <c r="N210" s="129"/>
      <c r="O210" s="172"/>
      <c r="P210" s="172"/>
      <c r="Q210" s="129" t="s">
        <v>762</v>
      </c>
      <c r="R210" s="129">
        <v>45946</v>
      </c>
      <c r="S210" s="129" t="s">
        <v>20</v>
      </c>
      <c r="T210" s="173" t="str">
        <f ca="1">IF(AND('Inserimento dati'!$B$3=$H$2, TabellaA1[[#This Row],[LUN]]="X"), "X",IF(AND('Inserimento dati'!$B$3=$I$2, TabellaA1[[#This Row],[MAR]]="X"), "X", IF(AND('Inserimento dati'!$B$3=$J$2, TabellaA1[[#This Row],[MER]]="X"), "X",IF(AND('Inserimento dati'!$B$3=$K$2, TabellaA1[[#This Row],[GIO]]="X"), "X", IF(AND('Inserimento dati'!$B$3=$L$2, TabellaA1[[#This Row],[VEN]]="X"), "X","")))))</f>
        <v/>
      </c>
      <c r="U210" s="139"/>
    </row>
    <row r="211" spans="1:21" ht="30" x14ac:dyDescent="0.25">
      <c r="A211" s="167"/>
      <c r="B211" s="167"/>
      <c r="C211" s="167" t="str">
        <f>IF(OR(TabellaA1[[#This Row],[LUN]]="X",TabellaA1[[#This Row],[MAR]]="X",TabellaA1[[#This Row],[MER]]="X",TabellaA1[[#This Row],[GIO]]="X",TabellaA1[[#This Row],[VEN]]="X",),"X","")</f>
        <v/>
      </c>
      <c r="D211" s="168" t="s">
        <v>143</v>
      </c>
      <c r="E211" s="170" t="s">
        <v>763</v>
      </c>
      <c r="F211" s="170">
        <v>200</v>
      </c>
      <c r="G211" s="170" t="s">
        <v>764</v>
      </c>
      <c r="H211" s="171"/>
      <c r="I211" s="171"/>
      <c r="J211" s="171"/>
      <c r="K211" s="171"/>
      <c r="L211" s="169"/>
      <c r="M211" s="129" t="s">
        <v>43</v>
      </c>
      <c r="N211" s="129"/>
      <c r="O211" s="172"/>
      <c r="P211" s="172"/>
      <c r="Q211" s="129"/>
      <c r="R211" s="129"/>
      <c r="S211" s="129"/>
      <c r="T211" s="173" t="str">
        <f ca="1">IF(AND('Inserimento dati'!$B$3=$H$2, TabellaA1[[#This Row],[LUN]]="X"), "X",IF(AND('Inserimento dati'!$B$3=$I$2, TabellaA1[[#This Row],[MAR]]="X"), "X", IF(AND('Inserimento dati'!$B$3=$J$2, TabellaA1[[#This Row],[MER]]="X"), "X",IF(AND('Inserimento dati'!$B$3=$K$2, TabellaA1[[#This Row],[GIO]]="X"), "X", IF(AND('Inserimento dati'!$B$3=$L$2, TabellaA1[[#This Row],[VEN]]="X"), "X","")))))</f>
        <v/>
      </c>
      <c r="U211" s="139"/>
    </row>
    <row r="212" spans="1:21" ht="23.25" x14ac:dyDescent="0.25">
      <c r="A212" s="167"/>
      <c r="B212" s="167"/>
      <c r="C212" s="167" t="str">
        <f>IF(OR(TabellaA1[[#This Row],[LUN]]="X",TabellaA1[[#This Row],[MAR]]="X",TabellaA1[[#This Row],[MER]]="X",TabellaA1[[#This Row],[GIO]]="X",TabellaA1[[#This Row],[VEN]]="X",),"X","")</f>
        <v/>
      </c>
      <c r="D212" s="168" t="s">
        <v>143</v>
      </c>
      <c r="E212" s="170" t="s">
        <v>765</v>
      </c>
      <c r="F212" s="170">
        <v>100</v>
      </c>
      <c r="G212" s="170" t="s">
        <v>766</v>
      </c>
      <c r="H212" s="171"/>
      <c r="I212" s="171"/>
      <c r="J212" s="171"/>
      <c r="K212" s="171"/>
      <c r="L212" s="169"/>
      <c r="M212" s="129" t="s">
        <v>43</v>
      </c>
      <c r="N212" s="129"/>
      <c r="O212" s="172"/>
      <c r="P212" s="172"/>
      <c r="Q212" s="129"/>
      <c r="R212" s="129"/>
      <c r="S212" s="129"/>
      <c r="T212" s="173" t="str">
        <f ca="1">IF(AND('Inserimento dati'!$B$3=$H$2, TabellaA1[[#This Row],[LUN]]="X"), "X",IF(AND('Inserimento dati'!$B$3=$I$2, TabellaA1[[#This Row],[MAR]]="X"), "X", IF(AND('Inserimento dati'!$B$3=$J$2, TabellaA1[[#This Row],[MER]]="X"), "X",IF(AND('Inserimento dati'!$B$3=$K$2, TabellaA1[[#This Row],[GIO]]="X"), "X", IF(AND('Inserimento dati'!$B$3=$L$2, TabellaA1[[#This Row],[VEN]]="X"), "X","")))))</f>
        <v/>
      </c>
      <c r="U212" s="139"/>
    </row>
    <row r="213" spans="1:21" ht="30" x14ac:dyDescent="0.25">
      <c r="A213" s="167"/>
      <c r="B213" s="167"/>
      <c r="C213" s="167" t="str">
        <f>IF(OR(TabellaA1[[#This Row],[LUN]]="X",TabellaA1[[#This Row],[MAR]]="X",TabellaA1[[#This Row],[MER]]="X",TabellaA1[[#This Row],[GIO]]="X",TabellaA1[[#This Row],[VEN]]="X",),"X","")</f>
        <v/>
      </c>
      <c r="D213" s="168" t="s">
        <v>143</v>
      </c>
      <c r="E213" s="170" t="s">
        <v>767</v>
      </c>
      <c r="F213" s="170">
        <v>400</v>
      </c>
      <c r="G213" s="170" t="s">
        <v>768</v>
      </c>
      <c r="H213" s="171"/>
      <c r="I213" s="171"/>
      <c r="J213" s="171"/>
      <c r="K213" s="171"/>
      <c r="L213" s="169"/>
      <c r="M213" s="129" t="s">
        <v>43</v>
      </c>
      <c r="N213" s="129"/>
      <c r="O213" s="172"/>
      <c r="P213" s="172"/>
      <c r="Q213" s="129"/>
      <c r="R213" s="129"/>
      <c r="S213" s="129"/>
      <c r="T213" s="173" t="str">
        <f ca="1">IF(AND('Inserimento dati'!$B$3=$H$2, TabellaA1[[#This Row],[LUN]]="X"), "X",IF(AND('Inserimento dati'!$B$3=$I$2, TabellaA1[[#This Row],[MAR]]="X"), "X", IF(AND('Inserimento dati'!$B$3=$J$2, TabellaA1[[#This Row],[MER]]="X"), "X",IF(AND('Inserimento dati'!$B$3=$K$2, TabellaA1[[#This Row],[GIO]]="X"), "X", IF(AND('Inserimento dati'!$B$3=$L$2, TabellaA1[[#This Row],[VEN]]="X"), "X","")))))</f>
        <v/>
      </c>
      <c r="U213" s="139"/>
    </row>
    <row r="214" spans="1:21" ht="30" x14ac:dyDescent="0.25">
      <c r="A214" s="167"/>
      <c r="B214" s="167"/>
      <c r="C214" s="167" t="str">
        <f>IF(OR(TabellaA1[[#This Row],[LUN]]="X",TabellaA1[[#This Row],[MAR]]="X",TabellaA1[[#This Row],[MER]]="X",TabellaA1[[#This Row],[GIO]]="X",TabellaA1[[#This Row],[VEN]]="X",),"X","")</f>
        <v/>
      </c>
      <c r="D214" s="168" t="s">
        <v>143</v>
      </c>
      <c r="E214" s="170" t="s">
        <v>769</v>
      </c>
      <c r="F214" s="170">
        <v>400</v>
      </c>
      <c r="G214" s="170" t="s">
        <v>770</v>
      </c>
      <c r="H214" s="171"/>
      <c r="I214" s="171"/>
      <c r="J214" s="171"/>
      <c r="K214" s="171"/>
      <c r="L214" s="169"/>
      <c r="M214" s="129" t="s">
        <v>43</v>
      </c>
      <c r="N214" s="129"/>
      <c r="O214" s="172"/>
      <c r="P214" s="172"/>
      <c r="Q214" s="129"/>
      <c r="R214" s="129"/>
      <c r="S214" s="129"/>
      <c r="T214" s="173" t="str">
        <f ca="1">IF(AND('Inserimento dati'!$B$3=$H$2, TabellaA1[[#This Row],[LUN]]="X"), "X",IF(AND('Inserimento dati'!$B$3=$I$2, TabellaA1[[#This Row],[MAR]]="X"), "X", IF(AND('Inserimento dati'!$B$3=$J$2, TabellaA1[[#This Row],[MER]]="X"), "X",IF(AND('Inserimento dati'!$B$3=$K$2, TabellaA1[[#This Row],[GIO]]="X"), "X", IF(AND('Inserimento dati'!$B$3=$L$2, TabellaA1[[#This Row],[VEN]]="X"), "X","")))))</f>
        <v/>
      </c>
      <c r="U214" s="139"/>
    </row>
    <row r="215" spans="1:21" ht="23.25" x14ac:dyDescent="0.25">
      <c r="A215" s="167"/>
      <c r="B215" s="167"/>
      <c r="C215" s="167" t="str">
        <f>IF(OR(TabellaA1[[#This Row],[LUN]]="X",TabellaA1[[#This Row],[MAR]]="X",TabellaA1[[#This Row],[MER]]="X",TabellaA1[[#This Row],[GIO]]="X",TabellaA1[[#This Row],[VEN]]="X",),"X","")</f>
        <v/>
      </c>
      <c r="D215" s="168" t="s">
        <v>143</v>
      </c>
      <c r="E215" s="170" t="s">
        <v>194</v>
      </c>
      <c r="F215" s="170">
        <v>400</v>
      </c>
      <c r="G215" s="170" t="s">
        <v>195</v>
      </c>
      <c r="H215" s="171"/>
      <c r="I215" s="171"/>
      <c r="J215" s="171"/>
      <c r="K215" s="171"/>
      <c r="L215" s="169"/>
      <c r="M215" s="129" t="s">
        <v>43</v>
      </c>
      <c r="N215" s="129"/>
      <c r="O215" s="172"/>
      <c r="P215" s="172"/>
      <c r="Q215" s="129"/>
      <c r="R215" s="129"/>
      <c r="S215" s="129"/>
      <c r="T215" s="173" t="str">
        <f ca="1">IF(AND('Inserimento dati'!$B$3=$H$2, TabellaA1[[#This Row],[LUN]]="X"), "X",IF(AND('Inserimento dati'!$B$3=$I$2, TabellaA1[[#This Row],[MAR]]="X"), "X", IF(AND('Inserimento dati'!$B$3=$J$2, TabellaA1[[#This Row],[MER]]="X"), "X",IF(AND('Inserimento dati'!$B$3=$K$2, TabellaA1[[#This Row],[GIO]]="X"), "X", IF(AND('Inserimento dati'!$B$3=$L$2, TabellaA1[[#This Row],[VEN]]="X"), "X","")))))</f>
        <v/>
      </c>
      <c r="U215" s="139"/>
    </row>
    <row r="216" spans="1:21" ht="23.25" x14ac:dyDescent="0.25">
      <c r="A216" s="167"/>
      <c r="B216" s="167"/>
      <c r="C216" s="167" t="str">
        <f>IF(OR(TabellaA1[[#This Row],[LUN]]="X",TabellaA1[[#This Row],[MAR]]="X",TabellaA1[[#This Row],[MER]]="X",TabellaA1[[#This Row],[GIO]]="X",TabellaA1[[#This Row],[VEN]]="X",),"X","")</f>
        <v/>
      </c>
      <c r="D216" s="168" t="s">
        <v>143</v>
      </c>
      <c r="E216" s="170" t="s">
        <v>771</v>
      </c>
      <c r="F216" s="170">
        <v>100</v>
      </c>
      <c r="G216" s="170" t="s">
        <v>772</v>
      </c>
      <c r="H216" s="171"/>
      <c r="I216" s="171"/>
      <c r="J216" s="171"/>
      <c r="K216" s="171"/>
      <c r="L216" s="169"/>
      <c r="M216" s="129" t="s">
        <v>43</v>
      </c>
      <c r="N216" s="129"/>
      <c r="O216" s="172"/>
      <c r="P216" s="172"/>
      <c r="Q216" s="129"/>
      <c r="R216" s="129"/>
      <c r="S216" s="129"/>
      <c r="T216" s="173" t="str">
        <f ca="1">IF(AND('Inserimento dati'!$B$3=$H$2, TabellaA1[[#This Row],[LUN]]="X"), "X",IF(AND('Inserimento dati'!$B$3=$I$2, TabellaA1[[#This Row],[MAR]]="X"), "X", IF(AND('Inserimento dati'!$B$3=$J$2, TabellaA1[[#This Row],[MER]]="X"), "X",IF(AND('Inserimento dati'!$B$3=$K$2, TabellaA1[[#This Row],[GIO]]="X"), "X", IF(AND('Inserimento dati'!$B$3=$L$2, TabellaA1[[#This Row],[VEN]]="X"), "X","")))))</f>
        <v/>
      </c>
      <c r="U216" s="139"/>
    </row>
    <row r="217" spans="1:21" ht="23.25" x14ac:dyDescent="0.25">
      <c r="A217" s="167"/>
      <c r="B217" s="167"/>
      <c r="C217" s="167" t="str">
        <f>IF(OR(TabellaA1[[#This Row],[LUN]]="X",TabellaA1[[#This Row],[MAR]]="X",TabellaA1[[#This Row],[MER]]="X",TabellaA1[[#This Row],[GIO]]="X",TabellaA1[[#This Row],[VEN]]="X",),"X","")</f>
        <v/>
      </c>
      <c r="D217" s="168" t="s">
        <v>143</v>
      </c>
      <c r="E217" s="170" t="s">
        <v>773</v>
      </c>
      <c r="F217" s="170">
        <v>400</v>
      </c>
      <c r="G217" s="170" t="s">
        <v>774</v>
      </c>
      <c r="H217" s="171"/>
      <c r="I217" s="171"/>
      <c r="J217" s="171"/>
      <c r="K217" s="171"/>
      <c r="L217" s="169"/>
      <c r="M217" s="129" t="s">
        <v>43</v>
      </c>
      <c r="N217" s="129"/>
      <c r="O217" s="172"/>
      <c r="P217" s="172"/>
      <c r="Q217" s="129"/>
      <c r="R217" s="129"/>
      <c r="S217" s="129"/>
      <c r="T217" s="173" t="str">
        <f ca="1">IF(AND('Inserimento dati'!$B$3=$H$2, TabellaA1[[#This Row],[LUN]]="X"), "X",IF(AND('Inserimento dati'!$B$3=$I$2, TabellaA1[[#This Row],[MAR]]="X"), "X", IF(AND('Inserimento dati'!$B$3=$J$2, TabellaA1[[#This Row],[MER]]="X"), "X",IF(AND('Inserimento dati'!$B$3=$K$2, TabellaA1[[#This Row],[GIO]]="X"), "X", IF(AND('Inserimento dati'!$B$3=$L$2, TabellaA1[[#This Row],[VEN]]="X"), "X","")))))</f>
        <v/>
      </c>
      <c r="U217" s="139"/>
    </row>
    <row r="218" spans="1:21" ht="30" x14ac:dyDescent="0.25">
      <c r="A218" s="167"/>
      <c r="B218" s="167"/>
      <c r="C218" s="167" t="str">
        <f>IF(OR(TabellaA1[[#This Row],[LUN]]="X",TabellaA1[[#This Row],[MAR]]="X",TabellaA1[[#This Row],[MER]]="X",TabellaA1[[#This Row],[GIO]]="X",TabellaA1[[#This Row],[VEN]]="X",),"X","")</f>
        <v/>
      </c>
      <c r="D218" s="168" t="s">
        <v>143</v>
      </c>
      <c r="E218" s="170" t="s">
        <v>775</v>
      </c>
      <c r="F218" s="170">
        <v>400</v>
      </c>
      <c r="G218" s="170" t="s">
        <v>776</v>
      </c>
      <c r="H218" s="171"/>
      <c r="I218" s="171"/>
      <c r="J218" s="171"/>
      <c r="K218" s="171"/>
      <c r="L218" s="169"/>
      <c r="M218" s="129" t="s">
        <v>43</v>
      </c>
      <c r="N218" s="129"/>
      <c r="O218" s="172"/>
      <c r="P218" s="172"/>
      <c r="Q218" s="129"/>
      <c r="R218" s="129"/>
      <c r="S218" s="129"/>
      <c r="T218" s="173" t="str">
        <f ca="1">IF(AND('Inserimento dati'!$B$3=$H$2, TabellaA1[[#This Row],[LUN]]="X"), "X",IF(AND('Inserimento dati'!$B$3=$I$2, TabellaA1[[#This Row],[MAR]]="X"), "X", IF(AND('Inserimento dati'!$B$3=$J$2, TabellaA1[[#This Row],[MER]]="X"), "X",IF(AND('Inserimento dati'!$B$3=$K$2, TabellaA1[[#This Row],[GIO]]="X"), "X", IF(AND('Inserimento dati'!$B$3=$L$2, TabellaA1[[#This Row],[VEN]]="X"), "X","")))))</f>
        <v/>
      </c>
      <c r="U218" s="139"/>
    </row>
    <row r="219" spans="1:21" ht="30" x14ac:dyDescent="0.25">
      <c r="A219" s="167"/>
      <c r="B219" s="167"/>
      <c r="C219" s="167" t="str">
        <f>IF(OR(TabellaA1[[#This Row],[LUN]]="X",TabellaA1[[#This Row],[MAR]]="X",TabellaA1[[#This Row],[MER]]="X",TabellaA1[[#This Row],[GIO]]="X",TabellaA1[[#This Row],[VEN]]="X",),"X","")</f>
        <v/>
      </c>
      <c r="D219" s="168" t="s">
        <v>143</v>
      </c>
      <c r="E219" s="170" t="s">
        <v>777</v>
      </c>
      <c r="F219" s="170" t="s">
        <v>262</v>
      </c>
      <c r="G219" s="170" t="s">
        <v>778</v>
      </c>
      <c r="H219" s="171"/>
      <c r="I219" s="171"/>
      <c r="J219" s="171"/>
      <c r="K219" s="171"/>
      <c r="L219" s="169"/>
      <c r="M219" s="129" t="s">
        <v>43</v>
      </c>
      <c r="N219" s="129"/>
      <c r="O219" s="172"/>
      <c r="P219" s="172"/>
      <c r="Q219" s="129"/>
      <c r="R219" s="129"/>
      <c r="S219" s="129"/>
      <c r="T219" s="173" t="str">
        <f ca="1">IF(AND('Inserimento dati'!$B$3=$H$2, TabellaA1[[#This Row],[LUN]]="X"), "X",IF(AND('Inserimento dati'!$B$3=$I$2, TabellaA1[[#This Row],[MAR]]="X"), "X", IF(AND('Inserimento dati'!$B$3=$J$2, TabellaA1[[#This Row],[MER]]="X"), "X",IF(AND('Inserimento dati'!$B$3=$K$2, TabellaA1[[#This Row],[GIO]]="X"), "X", IF(AND('Inserimento dati'!$B$3=$L$2, TabellaA1[[#This Row],[VEN]]="X"), "X","")))))</f>
        <v/>
      </c>
      <c r="U219" s="139"/>
    </row>
    <row r="220" spans="1:21" ht="30" x14ac:dyDescent="0.25">
      <c r="A220" s="167"/>
      <c r="B220" s="167"/>
      <c r="C220" s="167" t="str">
        <f>IF(OR(TabellaA1[[#This Row],[LUN]]="X",TabellaA1[[#This Row],[MAR]]="X",TabellaA1[[#This Row],[MER]]="X",TabellaA1[[#This Row],[GIO]]="X",TabellaA1[[#This Row],[VEN]]="X",),"X","")</f>
        <v/>
      </c>
      <c r="D220" s="168" t="s">
        <v>143</v>
      </c>
      <c r="E220" s="170" t="s">
        <v>779</v>
      </c>
      <c r="F220" s="170">
        <v>400</v>
      </c>
      <c r="G220" s="170" t="s">
        <v>780</v>
      </c>
      <c r="H220" s="171"/>
      <c r="I220" s="171"/>
      <c r="J220" s="171"/>
      <c r="K220" s="171"/>
      <c r="L220" s="169"/>
      <c r="M220" s="129" t="s">
        <v>43</v>
      </c>
      <c r="N220" s="129"/>
      <c r="O220" s="172"/>
      <c r="P220" s="172"/>
      <c r="Q220" s="129"/>
      <c r="R220" s="129"/>
      <c r="S220" s="129"/>
      <c r="T220" s="173" t="str">
        <f ca="1">IF(AND('Inserimento dati'!$B$3=$H$2, TabellaA1[[#This Row],[LUN]]="X"), "X",IF(AND('Inserimento dati'!$B$3=$I$2, TabellaA1[[#This Row],[MAR]]="X"), "X", IF(AND('Inserimento dati'!$B$3=$J$2, TabellaA1[[#This Row],[MER]]="X"), "X",IF(AND('Inserimento dati'!$B$3=$K$2, TabellaA1[[#This Row],[GIO]]="X"), "X", IF(AND('Inserimento dati'!$B$3=$L$2, TabellaA1[[#This Row],[VEN]]="X"), "X","")))))</f>
        <v/>
      </c>
      <c r="U220" s="139"/>
    </row>
    <row r="221" spans="1:21" ht="30" x14ac:dyDescent="0.25">
      <c r="A221" s="167"/>
      <c r="B221" s="167"/>
      <c r="C221" s="167" t="str">
        <f>IF(OR(TabellaA1[[#This Row],[LUN]]="X",TabellaA1[[#This Row],[MAR]]="X",TabellaA1[[#This Row],[MER]]="X",TabellaA1[[#This Row],[GIO]]="X",TabellaA1[[#This Row],[VEN]]="X",),"X","")</f>
        <v/>
      </c>
      <c r="D221" s="168" t="s">
        <v>143</v>
      </c>
      <c r="E221" s="170" t="s">
        <v>781</v>
      </c>
      <c r="F221" s="170">
        <v>400</v>
      </c>
      <c r="G221" s="170" t="s">
        <v>782</v>
      </c>
      <c r="H221" s="171"/>
      <c r="I221" s="171"/>
      <c r="J221" s="171"/>
      <c r="K221" s="171"/>
      <c r="L221" s="169"/>
      <c r="M221" s="129" t="s">
        <v>43</v>
      </c>
      <c r="N221" s="129"/>
      <c r="O221" s="172"/>
      <c r="P221" s="172"/>
      <c r="Q221" s="129"/>
      <c r="R221" s="129"/>
      <c r="S221" s="129"/>
      <c r="T221" s="173" t="str">
        <f ca="1">IF(AND('Inserimento dati'!$B$3=$H$2, TabellaA1[[#This Row],[LUN]]="X"), "X",IF(AND('Inserimento dati'!$B$3=$I$2, TabellaA1[[#This Row],[MAR]]="X"), "X", IF(AND('Inserimento dati'!$B$3=$J$2, TabellaA1[[#This Row],[MER]]="X"), "X",IF(AND('Inserimento dati'!$B$3=$K$2, TabellaA1[[#This Row],[GIO]]="X"), "X", IF(AND('Inserimento dati'!$B$3=$L$2, TabellaA1[[#This Row],[VEN]]="X"), "X","")))))</f>
        <v/>
      </c>
      <c r="U221" s="139" t="str">
        <f t="shared" ref="U221:U242" ca="1" si="10">IFERROR(MID(G221,_xlfn.AGGREGATE(15,6,(ROW(INDIRECT("1:"&amp;LEN(G221)-7)))/(ISNUMBER(--MID(G221,ROW(INDIRECT("1:"&amp;LEN(G221)-7)),8))),1),8),"")</f>
        <v>18000155</v>
      </c>
    </row>
    <row r="222" spans="1:21" ht="30" x14ac:dyDescent="0.25">
      <c r="A222" s="167"/>
      <c r="B222" s="167"/>
      <c r="C222" s="167" t="str">
        <f>IF(OR(TabellaA1[[#This Row],[LUN]]="X",TabellaA1[[#This Row],[MAR]]="X",TabellaA1[[#This Row],[MER]]="X",TabellaA1[[#This Row],[GIO]]="X",TabellaA1[[#This Row],[VEN]]="X",),"X","")</f>
        <v/>
      </c>
      <c r="D222" s="168" t="s">
        <v>143</v>
      </c>
      <c r="E222" s="170" t="s">
        <v>783</v>
      </c>
      <c r="F222" s="170">
        <v>100</v>
      </c>
      <c r="G222" s="170" t="s">
        <v>784</v>
      </c>
      <c r="H222" s="171"/>
      <c r="I222" s="171"/>
      <c r="J222" s="171"/>
      <c r="K222" s="171"/>
      <c r="L222" s="169"/>
      <c r="M222" s="129" t="s">
        <v>43</v>
      </c>
      <c r="N222" s="129"/>
      <c r="O222" s="172"/>
      <c r="P222" s="172"/>
      <c r="Q222" s="129" t="s">
        <v>785</v>
      </c>
      <c r="R222" s="129">
        <v>45833</v>
      </c>
      <c r="S222" s="129" t="s">
        <v>786</v>
      </c>
      <c r="T222" s="173" t="str">
        <f ca="1">IF(AND('Inserimento dati'!$B$3=$H$2, TabellaA1[[#This Row],[LUN]]="X"), "X",IF(AND('Inserimento dati'!$B$3=$I$2, TabellaA1[[#This Row],[MAR]]="X"), "X", IF(AND('Inserimento dati'!$B$3=$J$2, TabellaA1[[#This Row],[MER]]="X"), "X",IF(AND('Inserimento dati'!$B$3=$K$2, TabellaA1[[#This Row],[GIO]]="X"), "X", IF(AND('Inserimento dati'!$B$3=$L$2, TabellaA1[[#This Row],[VEN]]="X"), "X","")))))</f>
        <v/>
      </c>
      <c r="U222" s="139" t="str">
        <f t="shared" ca="1" si="10"/>
        <v/>
      </c>
    </row>
    <row r="223" spans="1:21" ht="45" x14ac:dyDescent="0.25">
      <c r="A223" s="167"/>
      <c r="B223" s="167"/>
      <c r="C223" s="167" t="str">
        <f>IF(OR(TabellaA1[[#This Row],[LUN]]="X",TabellaA1[[#This Row],[MAR]]="X",TabellaA1[[#This Row],[MER]]="X",TabellaA1[[#This Row],[GIO]]="X",TabellaA1[[#This Row],[VEN]]="X",),"X","")</f>
        <v/>
      </c>
      <c r="D223" s="168" t="s">
        <v>143</v>
      </c>
      <c r="E223" s="170" t="s">
        <v>787</v>
      </c>
      <c r="F223" s="170">
        <v>100</v>
      </c>
      <c r="G223" s="170" t="s">
        <v>788</v>
      </c>
      <c r="H223" s="171"/>
      <c r="I223" s="171"/>
      <c r="J223" s="171"/>
      <c r="K223" s="171"/>
      <c r="L223" s="169"/>
      <c r="M223" s="129" t="s">
        <v>43</v>
      </c>
      <c r="N223" s="129"/>
      <c r="O223" s="172"/>
      <c r="P223" s="172"/>
      <c r="Q223" s="129" t="s">
        <v>789</v>
      </c>
      <c r="R223" s="129">
        <v>45824</v>
      </c>
      <c r="S223" s="129" t="s">
        <v>20</v>
      </c>
      <c r="T223" s="173" t="str">
        <f ca="1">IF(AND('Inserimento dati'!$B$3=$H$2, TabellaA1[[#This Row],[LUN]]="X"), "X",IF(AND('Inserimento dati'!$B$3=$I$2, TabellaA1[[#This Row],[MAR]]="X"), "X", IF(AND('Inserimento dati'!$B$3=$J$2, TabellaA1[[#This Row],[MER]]="X"), "X",IF(AND('Inserimento dati'!$B$3=$K$2, TabellaA1[[#This Row],[GIO]]="X"), "X", IF(AND('Inserimento dati'!$B$3=$L$2, TabellaA1[[#This Row],[VEN]]="X"), "X","")))))</f>
        <v/>
      </c>
      <c r="U223" s="139" t="str">
        <f t="shared" ca="1" si="10"/>
        <v/>
      </c>
    </row>
    <row r="224" spans="1:21" ht="23.25" x14ac:dyDescent="0.25">
      <c r="A224" s="167"/>
      <c r="B224" s="167"/>
      <c r="C224" s="167" t="str">
        <f>IF(OR(TabellaA1[[#This Row],[LUN]]="X",TabellaA1[[#This Row],[MAR]]="X",TabellaA1[[#This Row],[MER]]="X",TabellaA1[[#This Row],[GIO]]="X",TabellaA1[[#This Row],[VEN]]="X",),"X","")</f>
        <v/>
      </c>
      <c r="D224" s="168" t="s">
        <v>143</v>
      </c>
      <c r="E224" s="170" t="s">
        <v>790</v>
      </c>
      <c r="F224" s="170">
        <v>100</v>
      </c>
      <c r="G224" s="170" t="s">
        <v>791</v>
      </c>
      <c r="H224" s="171"/>
      <c r="I224" s="171"/>
      <c r="J224" s="171"/>
      <c r="K224" s="171"/>
      <c r="L224" s="169"/>
      <c r="M224" s="129" t="s">
        <v>43</v>
      </c>
      <c r="N224" s="129"/>
      <c r="O224" s="172"/>
      <c r="P224" s="172"/>
      <c r="Q224" s="129"/>
      <c r="R224" s="129"/>
      <c r="S224" s="129"/>
      <c r="T224" s="173" t="str">
        <f ca="1">IF(AND('Inserimento dati'!$B$3=$H$2, TabellaA1[[#This Row],[LUN]]="X"), "X",IF(AND('Inserimento dati'!$B$3=$I$2, TabellaA1[[#This Row],[MAR]]="X"), "X", IF(AND('Inserimento dati'!$B$3=$J$2, TabellaA1[[#This Row],[MER]]="X"), "X",IF(AND('Inserimento dati'!$B$3=$K$2, TabellaA1[[#This Row],[GIO]]="X"), "X", IF(AND('Inserimento dati'!$B$3=$L$2, TabellaA1[[#This Row],[VEN]]="X"), "X","")))))</f>
        <v/>
      </c>
      <c r="U224" s="139" t="str">
        <f t="shared" ca="1" si="10"/>
        <v/>
      </c>
    </row>
    <row r="225" spans="1:21" ht="23.25" x14ac:dyDescent="0.25">
      <c r="A225" s="167"/>
      <c r="B225" s="167" t="str">
        <f>IF(OR(A225="x",A225="X"),"",IF(ISBLANK(A225),"X",""))</f>
        <v>X</v>
      </c>
      <c r="C225" s="167" t="str">
        <f>IF(OR(TabellaA1[[#This Row],[LUN]]="X",TabellaA1[[#This Row],[MAR]]="X",TabellaA1[[#This Row],[MER]]="X",TabellaA1[[#This Row],[GIO]]="X",TabellaA1[[#This Row],[VEN]]="X",),"X","")</f>
        <v/>
      </c>
      <c r="D225" s="168" t="s">
        <v>143</v>
      </c>
      <c r="E225" s="170" t="s">
        <v>792</v>
      </c>
      <c r="F225" s="170">
        <v>200</v>
      </c>
      <c r="G225" s="170" t="s">
        <v>793</v>
      </c>
      <c r="H225" s="171"/>
      <c r="I225" s="171"/>
      <c r="J225" s="171"/>
      <c r="K225" s="171"/>
      <c r="L225" s="169"/>
      <c r="M225" s="129" t="s">
        <v>43</v>
      </c>
      <c r="N225" s="129"/>
      <c r="O225" s="172"/>
      <c r="P225" s="172"/>
      <c r="Q225" s="129"/>
      <c r="R225" s="129"/>
      <c r="S225" s="129"/>
      <c r="T225" s="173" t="str">
        <f ca="1">IF(AND('Inserimento dati'!$B$3=$H$2, TabellaA1[[#This Row],[LUN]]="X"), "X",IF(AND('Inserimento dati'!$B$3=$I$2, TabellaA1[[#This Row],[MAR]]="X"), "X", IF(AND('Inserimento dati'!$B$3=$J$2, TabellaA1[[#This Row],[MER]]="X"), "X",IF(AND('Inserimento dati'!$B$3=$K$2, TabellaA1[[#This Row],[GIO]]="X"), "X", IF(AND('Inserimento dati'!$B$3=$L$2, TabellaA1[[#This Row],[VEN]]="X"), "X","")))))</f>
        <v/>
      </c>
      <c r="U225" s="139" t="str">
        <f t="shared" ca="1" si="10"/>
        <v/>
      </c>
    </row>
    <row r="226" spans="1:21" ht="23.25" x14ac:dyDescent="0.25">
      <c r="A226" s="167"/>
      <c r="B226" s="167" t="str">
        <f>IF(OR(A226="x",A226="X"),"",IF(ISBLANK(A226),"X",""))</f>
        <v>X</v>
      </c>
      <c r="C226" s="167" t="str">
        <f>IF(OR(TabellaA1[[#This Row],[LUN]]="X",TabellaA1[[#This Row],[MAR]]="X",TabellaA1[[#This Row],[MER]]="X",TabellaA1[[#This Row],[GIO]]="X",TabellaA1[[#This Row],[VEN]]="X",),"X","")</f>
        <v/>
      </c>
      <c r="D226" s="168" t="s">
        <v>143</v>
      </c>
      <c r="E226" s="170" t="s">
        <v>794</v>
      </c>
      <c r="F226" s="170" t="s">
        <v>262</v>
      </c>
      <c r="G226" s="170" t="s">
        <v>795</v>
      </c>
      <c r="H226" s="171"/>
      <c r="I226" s="171"/>
      <c r="J226" s="171"/>
      <c r="K226" s="171"/>
      <c r="L226" s="169"/>
      <c r="M226" s="129" t="s">
        <v>43</v>
      </c>
      <c r="N226" s="129"/>
      <c r="O226" s="172"/>
      <c r="P226" s="172"/>
      <c r="Q226" s="129" t="s">
        <v>725</v>
      </c>
      <c r="R226" s="129">
        <v>45771</v>
      </c>
      <c r="S226" s="129" t="s">
        <v>23</v>
      </c>
      <c r="T226" s="173" t="str">
        <f ca="1">IF(AND('Inserimento dati'!$B$3=$H$2, TabellaA1[[#This Row],[LUN]]="X"), "X",IF(AND('Inserimento dati'!$B$3=$I$2, TabellaA1[[#This Row],[MAR]]="X"), "X", IF(AND('Inserimento dati'!$B$3=$J$2, TabellaA1[[#This Row],[MER]]="X"), "X",IF(AND('Inserimento dati'!$B$3=$K$2, TabellaA1[[#This Row],[GIO]]="X"), "X", IF(AND('Inserimento dati'!$B$3=$L$2, TabellaA1[[#This Row],[VEN]]="X"), "X","")))))</f>
        <v/>
      </c>
      <c r="U226" s="139" t="str">
        <f t="shared" ca="1" si="10"/>
        <v/>
      </c>
    </row>
    <row r="227" spans="1:21" ht="30" x14ac:dyDescent="0.25">
      <c r="A227" s="167"/>
      <c r="B227" s="167" t="str">
        <f>IF(OR(A227="x",A227="X"),"",IF(ISBLANK(A227),"X",""))</f>
        <v>X</v>
      </c>
      <c r="C227" s="167" t="str">
        <f>IF(OR(TabellaA1[[#This Row],[LUN]]="X",TabellaA1[[#This Row],[MAR]]="X",TabellaA1[[#This Row],[MER]]="X",TabellaA1[[#This Row],[GIO]]="X",TabellaA1[[#This Row],[VEN]]="X",),"X","")</f>
        <v/>
      </c>
      <c r="D227" s="168" t="s">
        <v>143</v>
      </c>
      <c r="E227" s="170" t="s">
        <v>796</v>
      </c>
      <c r="F227" s="170">
        <v>200</v>
      </c>
      <c r="G227" s="170" t="s">
        <v>797</v>
      </c>
      <c r="H227" s="171"/>
      <c r="I227" s="171"/>
      <c r="J227" s="171"/>
      <c r="K227" s="171"/>
      <c r="L227" s="169"/>
      <c r="M227" s="129" t="s">
        <v>43</v>
      </c>
      <c r="N227" s="129"/>
      <c r="O227" s="172"/>
      <c r="P227" s="172"/>
      <c r="Q227" s="129"/>
      <c r="R227" s="129">
        <v>45798</v>
      </c>
      <c r="S227" s="129" t="s">
        <v>623</v>
      </c>
      <c r="T227" s="173" t="str">
        <f ca="1">IF(AND('Inserimento dati'!$B$3=$H$2, TabellaA1[[#This Row],[LUN]]="X"), "X",IF(AND('Inserimento dati'!$B$3=$I$2, TabellaA1[[#This Row],[MAR]]="X"), "X", IF(AND('Inserimento dati'!$B$3=$J$2, TabellaA1[[#This Row],[MER]]="X"), "X",IF(AND('Inserimento dati'!$B$3=$K$2, TabellaA1[[#This Row],[GIO]]="X"), "X", IF(AND('Inserimento dati'!$B$3=$L$2, TabellaA1[[#This Row],[VEN]]="X"), "X","")))))</f>
        <v/>
      </c>
      <c r="U227" s="139" t="str">
        <f t="shared" ca="1" si="10"/>
        <v/>
      </c>
    </row>
    <row r="228" spans="1:21" ht="30" x14ac:dyDescent="0.25">
      <c r="A228" s="167"/>
      <c r="B228" s="167"/>
      <c r="C228" s="167" t="str">
        <f>IF(OR(TabellaA1[[#This Row],[LUN]]="X",TabellaA1[[#This Row],[MAR]]="X",TabellaA1[[#This Row],[MER]]="X",TabellaA1[[#This Row],[GIO]]="X",TabellaA1[[#This Row],[VEN]]="X",),"X","")</f>
        <v/>
      </c>
      <c r="D228" s="168" t="s">
        <v>143</v>
      </c>
      <c r="E228" s="170" t="s">
        <v>798</v>
      </c>
      <c r="F228" s="170">
        <v>900</v>
      </c>
      <c r="G228" s="170" t="s">
        <v>799</v>
      </c>
      <c r="H228" s="171"/>
      <c r="I228" s="171"/>
      <c r="J228" s="171"/>
      <c r="K228" s="171"/>
      <c r="L228" s="169"/>
      <c r="M228" s="129" t="s">
        <v>43</v>
      </c>
      <c r="N228" s="129"/>
      <c r="O228" s="172"/>
      <c r="P228" s="172"/>
      <c r="Q228" s="129"/>
      <c r="R228" s="129"/>
      <c r="S228" s="129" t="s">
        <v>614</v>
      </c>
      <c r="T228" s="173" t="str">
        <f ca="1">IF(AND('Inserimento dati'!$B$3=$H$2, TabellaA1[[#This Row],[LUN]]="X"), "X",IF(AND('Inserimento dati'!$B$3=$I$2, TabellaA1[[#This Row],[MAR]]="X"), "X", IF(AND('Inserimento dati'!$B$3=$J$2, TabellaA1[[#This Row],[MER]]="X"), "X",IF(AND('Inserimento dati'!$B$3=$K$2, TabellaA1[[#This Row],[GIO]]="X"), "X", IF(AND('Inserimento dati'!$B$3=$L$2, TabellaA1[[#This Row],[VEN]]="X"), "X","")))))</f>
        <v/>
      </c>
      <c r="U228" s="139" t="str">
        <f t="shared" ca="1" si="10"/>
        <v/>
      </c>
    </row>
    <row r="229" spans="1:21" ht="23.25" x14ac:dyDescent="0.25">
      <c r="A229" s="167"/>
      <c r="B229" s="167" t="str">
        <f t="shared" ref="B229:B234" si="11">IF(OR(A229="x",A229="X"),"",IF(ISBLANK(A229),"X",""))</f>
        <v>X</v>
      </c>
      <c r="C229" s="167" t="str">
        <f>IF(OR(TabellaA1[[#This Row],[LUN]]="X",TabellaA1[[#This Row],[MAR]]="X",TabellaA1[[#This Row],[MER]]="X",TabellaA1[[#This Row],[GIO]]="X",TabellaA1[[#This Row],[VEN]]="X",),"X","")</f>
        <v/>
      </c>
      <c r="D229" s="168" t="s">
        <v>143</v>
      </c>
      <c r="E229" s="170" t="s">
        <v>800</v>
      </c>
      <c r="F229" s="170">
        <v>400</v>
      </c>
      <c r="G229" s="170" t="s">
        <v>801</v>
      </c>
      <c r="H229" s="171"/>
      <c r="I229" s="171"/>
      <c r="J229" s="171"/>
      <c r="K229" s="171"/>
      <c r="L229" s="169"/>
      <c r="M229" s="129" t="s">
        <v>43</v>
      </c>
      <c r="N229" s="129"/>
      <c r="O229" s="172"/>
      <c r="P229" s="172"/>
      <c r="Q229" s="129"/>
      <c r="R229" s="129"/>
      <c r="S229" s="129"/>
      <c r="T229" s="173" t="str">
        <f ca="1">IF(AND('Inserimento dati'!$B$3=$H$2, TabellaA1[[#This Row],[LUN]]="X"), "X",IF(AND('Inserimento dati'!$B$3=$I$2, TabellaA1[[#This Row],[MAR]]="X"), "X", IF(AND('Inserimento dati'!$B$3=$J$2, TabellaA1[[#This Row],[MER]]="X"), "X",IF(AND('Inserimento dati'!$B$3=$K$2, TabellaA1[[#This Row],[GIO]]="X"), "X", IF(AND('Inserimento dati'!$B$3=$L$2, TabellaA1[[#This Row],[VEN]]="X"), "X","")))))</f>
        <v/>
      </c>
      <c r="U229" s="139" t="str">
        <f t="shared" ca="1" si="10"/>
        <v/>
      </c>
    </row>
    <row r="230" spans="1:21" ht="23.25" x14ac:dyDescent="0.25">
      <c r="A230" s="167"/>
      <c r="B230" s="167" t="str">
        <f t="shared" si="11"/>
        <v>X</v>
      </c>
      <c r="C230" s="167" t="str">
        <f>IF(OR(TabellaA1[[#This Row],[LUN]]="X",TabellaA1[[#This Row],[MAR]]="X",TabellaA1[[#This Row],[MER]]="X",TabellaA1[[#This Row],[GIO]]="X",TabellaA1[[#This Row],[VEN]]="X",),"X","")</f>
        <v/>
      </c>
      <c r="D230" s="168" t="s">
        <v>143</v>
      </c>
      <c r="E230" s="170" t="s">
        <v>802</v>
      </c>
      <c r="F230" s="170">
        <v>300</v>
      </c>
      <c r="G230" s="170" t="s">
        <v>803</v>
      </c>
      <c r="H230" s="171"/>
      <c r="I230" s="171"/>
      <c r="J230" s="171"/>
      <c r="K230" s="171"/>
      <c r="L230" s="169"/>
      <c r="M230" s="129" t="s">
        <v>43</v>
      </c>
      <c r="N230" s="129"/>
      <c r="O230" s="172"/>
      <c r="P230" s="172"/>
      <c r="Q230" s="129" t="s">
        <v>804</v>
      </c>
      <c r="R230" s="129"/>
      <c r="S230" s="129"/>
      <c r="T230" s="173" t="str">
        <f ca="1">IF(AND('Inserimento dati'!$B$3=$H$2, TabellaA1[[#This Row],[LUN]]="X"), "X",IF(AND('Inserimento dati'!$B$3=$I$2, TabellaA1[[#This Row],[MAR]]="X"), "X", IF(AND('Inserimento dati'!$B$3=$J$2, TabellaA1[[#This Row],[MER]]="X"), "X",IF(AND('Inserimento dati'!$B$3=$K$2, TabellaA1[[#This Row],[GIO]]="X"), "X", IF(AND('Inserimento dati'!$B$3=$L$2, TabellaA1[[#This Row],[VEN]]="X"), "X","")))))</f>
        <v/>
      </c>
      <c r="U230" s="139" t="str">
        <f t="shared" ca="1" si="10"/>
        <v/>
      </c>
    </row>
    <row r="231" spans="1:21" ht="30" x14ac:dyDescent="0.25">
      <c r="A231" s="167"/>
      <c r="B231" s="167" t="str">
        <f t="shared" si="11"/>
        <v>X</v>
      </c>
      <c r="C231" s="167" t="str">
        <f>IF(OR(TabellaA1[[#This Row],[LUN]]="X",TabellaA1[[#This Row],[MAR]]="X",TabellaA1[[#This Row],[MER]]="X",TabellaA1[[#This Row],[GIO]]="X",TabellaA1[[#This Row],[VEN]]="X",),"X","")</f>
        <v/>
      </c>
      <c r="D231" s="168" t="s">
        <v>143</v>
      </c>
      <c r="E231" s="170" t="s">
        <v>805</v>
      </c>
      <c r="F231" s="170">
        <v>100</v>
      </c>
      <c r="G231" s="170" t="s">
        <v>806</v>
      </c>
      <c r="H231" s="171"/>
      <c r="I231" s="171"/>
      <c r="J231" s="171"/>
      <c r="K231" s="171"/>
      <c r="L231" s="169"/>
      <c r="M231" s="129" t="s">
        <v>43</v>
      </c>
      <c r="N231" s="129"/>
      <c r="O231" s="172"/>
      <c r="P231" s="172"/>
      <c r="Q231" s="129" t="s">
        <v>807</v>
      </c>
      <c r="R231" s="129">
        <v>45785</v>
      </c>
      <c r="S231" s="129"/>
      <c r="T231" s="173" t="str">
        <f ca="1">IF(AND('Inserimento dati'!$B$3=$H$2, TabellaA1[[#This Row],[LUN]]="X"), "X",IF(AND('Inserimento dati'!$B$3=$I$2, TabellaA1[[#This Row],[MAR]]="X"), "X", IF(AND('Inserimento dati'!$B$3=$J$2, TabellaA1[[#This Row],[MER]]="X"), "X",IF(AND('Inserimento dati'!$B$3=$K$2, TabellaA1[[#This Row],[GIO]]="X"), "X", IF(AND('Inserimento dati'!$B$3=$L$2, TabellaA1[[#This Row],[VEN]]="X"), "X","")))))</f>
        <v/>
      </c>
      <c r="U231" s="139" t="str">
        <f t="shared" ca="1" si="10"/>
        <v/>
      </c>
    </row>
    <row r="232" spans="1:21" ht="30" x14ac:dyDescent="0.25">
      <c r="A232" s="167"/>
      <c r="B232" s="167" t="str">
        <f t="shared" si="11"/>
        <v>X</v>
      </c>
      <c r="C232" s="167" t="str">
        <f>IF(OR(TabellaA1[[#This Row],[LUN]]="X",TabellaA1[[#This Row],[MAR]]="X",TabellaA1[[#This Row],[MER]]="X",TabellaA1[[#This Row],[GIO]]="X",TabellaA1[[#This Row],[VEN]]="X",),"X","")</f>
        <v/>
      </c>
      <c r="D232" s="168" t="s">
        <v>143</v>
      </c>
      <c r="E232" s="170" t="s">
        <v>808</v>
      </c>
      <c r="F232" s="170">
        <v>100</v>
      </c>
      <c r="G232" s="170" t="s">
        <v>809</v>
      </c>
      <c r="H232" s="171"/>
      <c r="I232" s="171"/>
      <c r="J232" s="171"/>
      <c r="K232" s="171"/>
      <c r="L232" s="169"/>
      <c r="M232" s="129" t="s">
        <v>43</v>
      </c>
      <c r="N232" s="129"/>
      <c r="O232" s="172"/>
      <c r="P232" s="172"/>
      <c r="Q232" s="129"/>
      <c r="R232" s="129">
        <v>45788</v>
      </c>
      <c r="S232" s="129" t="s">
        <v>9</v>
      </c>
      <c r="T232" s="173" t="str">
        <f ca="1">IF(AND('Inserimento dati'!$B$3=$H$2, TabellaA1[[#This Row],[LUN]]="X"), "X",IF(AND('Inserimento dati'!$B$3=$I$2, TabellaA1[[#This Row],[MAR]]="X"), "X", IF(AND('Inserimento dati'!$B$3=$J$2, TabellaA1[[#This Row],[MER]]="X"), "X",IF(AND('Inserimento dati'!$B$3=$K$2, TabellaA1[[#This Row],[GIO]]="X"), "X", IF(AND('Inserimento dati'!$B$3=$L$2, TabellaA1[[#This Row],[VEN]]="X"), "X","")))))</f>
        <v/>
      </c>
      <c r="U232" s="139" t="str">
        <f t="shared" ca="1" si="10"/>
        <v/>
      </c>
    </row>
    <row r="233" spans="1:21" ht="30" x14ac:dyDescent="0.25">
      <c r="A233" s="167"/>
      <c r="B233" s="167" t="str">
        <f t="shared" si="11"/>
        <v>X</v>
      </c>
      <c r="C233" s="167" t="str">
        <f>IF(OR(TabellaA1[[#This Row],[LUN]]="X",TabellaA1[[#This Row],[MAR]]="X",TabellaA1[[#This Row],[MER]]="X",TabellaA1[[#This Row],[GIO]]="X",TabellaA1[[#This Row],[VEN]]="X",),"X","")</f>
        <v/>
      </c>
      <c r="D233" s="168" t="s">
        <v>143</v>
      </c>
      <c r="E233" s="170" t="s">
        <v>810</v>
      </c>
      <c r="F233" s="170">
        <v>100</v>
      </c>
      <c r="G233" s="170" t="s">
        <v>811</v>
      </c>
      <c r="H233" s="171"/>
      <c r="I233" s="171"/>
      <c r="J233" s="171"/>
      <c r="K233" s="171"/>
      <c r="L233" s="169"/>
      <c r="M233" s="129" t="s">
        <v>43</v>
      </c>
      <c r="N233" s="129"/>
      <c r="O233" s="172"/>
      <c r="P233" s="172"/>
      <c r="Q233" s="129" t="s">
        <v>812</v>
      </c>
      <c r="R233" s="129">
        <v>45792</v>
      </c>
      <c r="S233" s="129" t="s">
        <v>813</v>
      </c>
      <c r="T233" s="173" t="str">
        <f ca="1">IF(AND('Inserimento dati'!$B$3=$H$2, TabellaA1[[#This Row],[LUN]]="X"), "X",IF(AND('Inserimento dati'!$B$3=$I$2, TabellaA1[[#This Row],[MAR]]="X"), "X", IF(AND('Inserimento dati'!$B$3=$J$2, TabellaA1[[#This Row],[MER]]="X"), "X",IF(AND('Inserimento dati'!$B$3=$K$2, TabellaA1[[#This Row],[GIO]]="X"), "X", IF(AND('Inserimento dati'!$B$3=$L$2, TabellaA1[[#This Row],[VEN]]="X"), "X","")))))</f>
        <v/>
      </c>
      <c r="U233" s="139" t="str">
        <f t="shared" ca="1" si="10"/>
        <v/>
      </c>
    </row>
    <row r="234" spans="1:21" ht="23.25" x14ac:dyDescent="0.25">
      <c r="A234" s="167"/>
      <c r="B234" s="167" t="str">
        <f t="shared" si="11"/>
        <v>X</v>
      </c>
      <c r="C234" s="167" t="str">
        <f>IF(OR(TabellaA1[[#This Row],[LUN]]="X",TabellaA1[[#This Row],[MAR]]="X",TabellaA1[[#This Row],[MER]]="X",TabellaA1[[#This Row],[GIO]]="X",TabellaA1[[#This Row],[VEN]]="X",),"X","")</f>
        <v/>
      </c>
      <c r="D234" s="168" t="s">
        <v>143</v>
      </c>
      <c r="E234" s="170" t="s">
        <v>814</v>
      </c>
      <c r="F234" s="170">
        <v>300</v>
      </c>
      <c r="G234" s="170" t="s">
        <v>815</v>
      </c>
      <c r="H234" s="171"/>
      <c r="I234" s="171"/>
      <c r="J234" s="171"/>
      <c r="K234" s="171"/>
      <c r="L234" s="169"/>
      <c r="M234" s="129" t="s">
        <v>43</v>
      </c>
      <c r="N234" s="129"/>
      <c r="O234" s="172"/>
      <c r="P234" s="172"/>
      <c r="Q234" s="129"/>
      <c r="R234" s="129"/>
      <c r="S234" s="129"/>
      <c r="T234" s="173" t="str">
        <f ca="1">IF(AND('Inserimento dati'!$B$3=$H$2, TabellaA1[[#This Row],[LUN]]="X"), "X",IF(AND('Inserimento dati'!$B$3=$I$2, TabellaA1[[#This Row],[MAR]]="X"), "X", IF(AND('Inserimento dati'!$B$3=$J$2, TabellaA1[[#This Row],[MER]]="X"), "X",IF(AND('Inserimento dati'!$B$3=$K$2, TabellaA1[[#This Row],[GIO]]="X"), "X", IF(AND('Inserimento dati'!$B$3=$L$2, TabellaA1[[#This Row],[VEN]]="X"), "X","")))))</f>
        <v/>
      </c>
      <c r="U234" s="139" t="str">
        <f t="shared" ca="1" si="10"/>
        <v/>
      </c>
    </row>
    <row r="235" spans="1:21" ht="30" x14ac:dyDescent="0.25">
      <c r="A235" s="167"/>
      <c r="B235" s="167"/>
      <c r="C235" s="167" t="str">
        <f>IF(OR(TabellaA1[[#This Row],[LUN]]="X",TabellaA1[[#This Row],[MAR]]="X",TabellaA1[[#This Row],[MER]]="X",TabellaA1[[#This Row],[GIO]]="X",TabellaA1[[#This Row],[VEN]]="X",),"X","")</f>
        <v/>
      </c>
      <c r="D235" s="168" t="s">
        <v>143</v>
      </c>
      <c r="E235" s="170" t="s">
        <v>816</v>
      </c>
      <c r="F235" s="170">
        <v>200</v>
      </c>
      <c r="G235" s="170" t="s">
        <v>817</v>
      </c>
      <c r="H235" s="171"/>
      <c r="I235" s="171"/>
      <c r="J235" s="171"/>
      <c r="K235" s="171"/>
      <c r="L235" s="169"/>
      <c r="M235" s="129" t="s">
        <v>43</v>
      </c>
      <c r="N235" s="129"/>
      <c r="O235" s="172"/>
      <c r="P235" s="172"/>
      <c r="Q235" s="129"/>
      <c r="R235" s="129">
        <v>45804</v>
      </c>
      <c r="S235" s="129" t="s">
        <v>627</v>
      </c>
      <c r="T235" s="173" t="str">
        <f ca="1">IF(AND('Inserimento dati'!$B$3=$H$2, TabellaA1[[#This Row],[LUN]]="X"), "X",IF(AND('Inserimento dati'!$B$3=$I$2, TabellaA1[[#This Row],[MAR]]="X"), "X", IF(AND('Inserimento dati'!$B$3=$J$2, TabellaA1[[#This Row],[MER]]="X"), "X",IF(AND('Inserimento dati'!$B$3=$K$2, TabellaA1[[#This Row],[GIO]]="X"), "X", IF(AND('Inserimento dati'!$B$3=$L$2, TabellaA1[[#This Row],[VEN]]="X"), "X","")))))</f>
        <v/>
      </c>
      <c r="U235" s="139" t="str">
        <f t="shared" ca="1" si="10"/>
        <v/>
      </c>
    </row>
    <row r="236" spans="1:21" ht="30" x14ac:dyDescent="0.25">
      <c r="A236" s="167"/>
      <c r="B236" s="167" t="str">
        <f>IF(OR(A236="x",A236="X"),"",IF(ISBLANK(A236),"X",""))</f>
        <v>X</v>
      </c>
      <c r="C236" s="167" t="str">
        <f>IF(OR(TabellaA1[[#This Row],[LUN]]="X",TabellaA1[[#This Row],[MAR]]="X",TabellaA1[[#This Row],[MER]]="X",TabellaA1[[#This Row],[GIO]]="X",TabellaA1[[#This Row],[VEN]]="X",),"X","")</f>
        <v/>
      </c>
      <c r="D236" s="168" t="s">
        <v>143</v>
      </c>
      <c r="E236" s="170" t="s">
        <v>818</v>
      </c>
      <c r="F236" s="170">
        <v>900</v>
      </c>
      <c r="G236" s="170" t="s">
        <v>819</v>
      </c>
      <c r="H236" s="171"/>
      <c r="I236" s="171"/>
      <c r="J236" s="171"/>
      <c r="K236" s="171"/>
      <c r="L236" s="169"/>
      <c r="M236" s="129" t="s">
        <v>43</v>
      </c>
      <c r="N236" s="129"/>
      <c r="O236" s="172"/>
      <c r="P236" s="172"/>
      <c r="Q236" s="129"/>
      <c r="R236" s="129">
        <v>45818</v>
      </c>
      <c r="S236" s="129" t="s">
        <v>23</v>
      </c>
      <c r="T236" s="173" t="str">
        <f ca="1">IF(AND('Inserimento dati'!$B$3=$H$2, TabellaA1[[#This Row],[LUN]]="X"), "X",IF(AND('Inserimento dati'!$B$3=$I$2, TabellaA1[[#This Row],[MAR]]="X"), "X", IF(AND('Inserimento dati'!$B$3=$J$2, TabellaA1[[#This Row],[MER]]="X"), "X",IF(AND('Inserimento dati'!$B$3=$K$2, TabellaA1[[#This Row],[GIO]]="X"), "X", IF(AND('Inserimento dati'!$B$3=$L$2, TabellaA1[[#This Row],[VEN]]="X"), "X","")))))</f>
        <v/>
      </c>
      <c r="U236" s="139" t="str">
        <f t="shared" ca="1" si="10"/>
        <v/>
      </c>
    </row>
    <row r="237" spans="1:21" ht="30" x14ac:dyDescent="0.25">
      <c r="A237" s="167"/>
      <c r="B237" s="167"/>
      <c r="C237" s="167" t="str">
        <f>IF(OR(TabellaA1[[#This Row],[LUN]]="X",TabellaA1[[#This Row],[MAR]]="X",TabellaA1[[#This Row],[MER]]="X",TabellaA1[[#This Row],[GIO]]="X",TabellaA1[[#This Row],[VEN]]="X",),"X","")</f>
        <v/>
      </c>
      <c r="D237" s="168" t="s">
        <v>143</v>
      </c>
      <c r="E237" s="170" t="s">
        <v>820</v>
      </c>
      <c r="F237" s="170">
        <v>200</v>
      </c>
      <c r="G237" s="170" t="s">
        <v>821</v>
      </c>
      <c r="H237" s="171"/>
      <c r="I237" s="171"/>
      <c r="J237" s="171"/>
      <c r="K237" s="171"/>
      <c r="L237" s="169"/>
      <c r="M237" s="129" t="s">
        <v>43</v>
      </c>
      <c r="N237" s="129"/>
      <c r="O237" s="172"/>
      <c r="P237" s="172"/>
      <c r="Q237" s="129"/>
      <c r="R237" s="129"/>
      <c r="S237" s="129"/>
      <c r="T237" s="173" t="str">
        <f ca="1">IF(AND('Inserimento dati'!$B$3=$H$2, TabellaA1[[#This Row],[LUN]]="X"), "X",IF(AND('Inserimento dati'!$B$3=$I$2, TabellaA1[[#This Row],[MAR]]="X"), "X", IF(AND('Inserimento dati'!$B$3=$J$2, TabellaA1[[#This Row],[MER]]="X"), "X",IF(AND('Inserimento dati'!$B$3=$K$2, TabellaA1[[#This Row],[GIO]]="X"), "X", IF(AND('Inserimento dati'!$B$3=$L$2, TabellaA1[[#This Row],[VEN]]="X"), "X","")))))</f>
        <v/>
      </c>
      <c r="U237" s="139" t="str">
        <f t="shared" ca="1" si="10"/>
        <v/>
      </c>
    </row>
    <row r="238" spans="1:21" ht="45" x14ac:dyDescent="0.25">
      <c r="A238" s="167"/>
      <c r="B238" s="167"/>
      <c r="C238" s="167" t="str">
        <f>IF(OR(TabellaA1[[#This Row],[LUN]]="X",TabellaA1[[#This Row],[MAR]]="X",TabellaA1[[#This Row],[MER]]="X",TabellaA1[[#This Row],[GIO]]="X",TabellaA1[[#This Row],[VEN]]="X",),"X","")</f>
        <v/>
      </c>
      <c r="D238" s="168" t="s">
        <v>143</v>
      </c>
      <c r="E238" s="170" t="s">
        <v>822</v>
      </c>
      <c r="F238" s="170">
        <v>100</v>
      </c>
      <c r="G238" s="170" t="s">
        <v>823</v>
      </c>
      <c r="H238" s="171"/>
      <c r="I238" s="171"/>
      <c r="J238" s="171"/>
      <c r="K238" s="171"/>
      <c r="L238" s="169"/>
      <c r="M238" s="129" t="s">
        <v>43</v>
      </c>
      <c r="N238" s="129"/>
      <c r="O238" s="172"/>
      <c r="P238" s="172"/>
      <c r="Q238" s="129" t="s">
        <v>824</v>
      </c>
      <c r="R238" s="129">
        <v>45831</v>
      </c>
      <c r="S238" s="129" t="s">
        <v>825</v>
      </c>
      <c r="T238" s="173" t="str">
        <f ca="1">IF(AND('Inserimento dati'!$B$3=$H$2, TabellaA1[[#This Row],[LUN]]="X"), "X",IF(AND('Inserimento dati'!$B$3=$I$2, TabellaA1[[#This Row],[MAR]]="X"), "X", IF(AND('Inserimento dati'!$B$3=$J$2, TabellaA1[[#This Row],[MER]]="X"), "X",IF(AND('Inserimento dati'!$B$3=$K$2, TabellaA1[[#This Row],[GIO]]="X"), "X", IF(AND('Inserimento dati'!$B$3=$L$2, TabellaA1[[#This Row],[VEN]]="X"), "X","")))))</f>
        <v/>
      </c>
      <c r="U238" s="139" t="str">
        <f t="shared" ca="1" si="10"/>
        <v/>
      </c>
    </row>
    <row r="239" spans="1:21" ht="30" x14ac:dyDescent="0.25">
      <c r="A239" s="167"/>
      <c r="B239" s="167"/>
      <c r="C239" s="167" t="str">
        <f>IF(OR(TabellaA1[[#This Row],[LUN]]="X",TabellaA1[[#This Row],[MAR]]="X",TabellaA1[[#This Row],[MER]]="X",TabellaA1[[#This Row],[GIO]]="X",TabellaA1[[#This Row],[VEN]]="X",),"X","")</f>
        <v/>
      </c>
      <c r="D239" s="168" t="s">
        <v>143</v>
      </c>
      <c r="E239" s="170" t="s">
        <v>826</v>
      </c>
      <c r="F239" s="170">
        <v>100</v>
      </c>
      <c r="G239" s="170" t="s">
        <v>827</v>
      </c>
      <c r="H239" s="171"/>
      <c r="I239" s="171"/>
      <c r="J239" s="171"/>
      <c r="K239" s="171"/>
      <c r="L239" s="169"/>
      <c r="M239" s="129" t="s">
        <v>43</v>
      </c>
      <c r="N239" s="129"/>
      <c r="O239" s="172"/>
      <c r="P239" s="172"/>
      <c r="Q239" s="129"/>
      <c r="R239" s="129"/>
      <c r="S239" s="129"/>
      <c r="T239" s="173" t="str">
        <f ca="1">IF(AND('Inserimento dati'!$B$3=$H$2, TabellaA1[[#This Row],[LUN]]="X"), "X",IF(AND('Inserimento dati'!$B$3=$I$2, TabellaA1[[#This Row],[MAR]]="X"), "X", IF(AND('Inserimento dati'!$B$3=$J$2, TabellaA1[[#This Row],[MER]]="X"), "X",IF(AND('Inserimento dati'!$B$3=$K$2, TabellaA1[[#This Row],[GIO]]="X"), "X", IF(AND('Inserimento dati'!$B$3=$L$2, TabellaA1[[#This Row],[VEN]]="X"), "X","")))))</f>
        <v/>
      </c>
      <c r="U239" s="139" t="str">
        <f t="shared" ca="1" si="10"/>
        <v/>
      </c>
    </row>
    <row r="240" spans="1:21" ht="23.25" x14ac:dyDescent="0.25">
      <c r="A240" s="167"/>
      <c r="B240" s="167"/>
      <c r="C240" s="167" t="str">
        <f>IF(OR(TabellaA1[[#This Row],[LUN]]="X",TabellaA1[[#This Row],[MAR]]="X",TabellaA1[[#This Row],[MER]]="X",TabellaA1[[#This Row],[GIO]]="X",TabellaA1[[#This Row],[VEN]]="X",),"X","")</f>
        <v/>
      </c>
      <c r="D240" s="168" t="s">
        <v>143</v>
      </c>
      <c r="E240" s="170" t="s">
        <v>828</v>
      </c>
      <c r="F240" s="170">
        <v>400</v>
      </c>
      <c r="G240" s="170" t="s">
        <v>829</v>
      </c>
      <c r="H240" s="171"/>
      <c r="I240" s="171"/>
      <c r="J240" s="171"/>
      <c r="K240" s="171"/>
      <c r="L240" s="169"/>
      <c r="M240" s="129" t="s">
        <v>43</v>
      </c>
      <c r="N240" s="129"/>
      <c r="O240" s="172"/>
      <c r="P240" s="172"/>
      <c r="Q240" s="129"/>
      <c r="R240" s="129"/>
      <c r="S240" s="129"/>
      <c r="T240" s="173" t="str">
        <f ca="1">IF(AND('Inserimento dati'!$B$3=$H$2, TabellaA1[[#This Row],[LUN]]="X"), "X",IF(AND('Inserimento dati'!$B$3=$I$2, TabellaA1[[#This Row],[MAR]]="X"), "X", IF(AND('Inserimento dati'!$B$3=$J$2, TabellaA1[[#This Row],[MER]]="X"), "X",IF(AND('Inserimento dati'!$B$3=$K$2, TabellaA1[[#This Row],[GIO]]="X"), "X", IF(AND('Inserimento dati'!$B$3=$L$2, TabellaA1[[#This Row],[VEN]]="X"), "X","")))))</f>
        <v/>
      </c>
      <c r="U240" s="139" t="str">
        <f t="shared" ca="1" si="10"/>
        <v/>
      </c>
    </row>
    <row r="241" spans="1:21" ht="30" x14ac:dyDescent="0.25">
      <c r="A241" s="167"/>
      <c r="B241" s="167"/>
      <c r="C241" s="167" t="str">
        <f>IF(OR(TabellaA1[[#This Row],[LUN]]="X",TabellaA1[[#This Row],[MAR]]="X",TabellaA1[[#This Row],[MER]]="X",TabellaA1[[#This Row],[GIO]]="X",TabellaA1[[#This Row],[VEN]]="X",),"X","")</f>
        <v/>
      </c>
      <c r="D241" s="168" t="s">
        <v>143</v>
      </c>
      <c r="E241" s="170" t="s">
        <v>830</v>
      </c>
      <c r="F241" s="170">
        <v>300</v>
      </c>
      <c r="G241" s="170" t="s">
        <v>831</v>
      </c>
      <c r="H241" s="171"/>
      <c r="I241" s="171"/>
      <c r="J241" s="171"/>
      <c r="K241" s="171"/>
      <c r="L241" s="169"/>
      <c r="M241" s="129" t="s">
        <v>43</v>
      </c>
      <c r="N241" s="129"/>
      <c r="O241" s="172"/>
      <c r="P241" s="172"/>
      <c r="Q241" s="129" t="s">
        <v>832</v>
      </c>
      <c r="R241" s="129">
        <v>45841</v>
      </c>
      <c r="S241" s="129" t="s">
        <v>238</v>
      </c>
      <c r="T241" s="173" t="str">
        <f ca="1">IF(AND('Inserimento dati'!$B$3=$H$2, TabellaA1[[#This Row],[LUN]]="X"), "X",IF(AND('Inserimento dati'!$B$3=$I$2, TabellaA1[[#This Row],[MAR]]="X"), "X", IF(AND('Inserimento dati'!$B$3=$J$2, TabellaA1[[#This Row],[MER]]="X"), "X",IF(AND('Inserimento dati'!$B$3=$K$2, TabellaA1[[#This Row],[GIO]]="X"), "X", IF(AND('Inserimento dati'!$B$3=$L$2, TabellaA1[[#This Row],[VEN]]="X"), "X","")))))</f>
        <v/>
      </c>
      <c r="U241" s="139" t="str">
        <f t="shared" ca="1" si="10"/>
        <v/>
      </c>
    </row>
    <row r="242" spans="1:21" ht="30" x14ac:dyDescent="0.25">
      <c r="A242" s="167"/>
      <c r="B242" s="167"/>
      <c r="C242" s="167" t="str">
        <f>IF(OR(TabellaA1[[#This Row],[LUN]]="X",TabellaA1[[#This Row],[MAR]]="X",TabellaA1[[#This Row],[MER]]="X",TabellaA1[[#This Row],[GIO]]="X",TabellaA1[[#This Row],[VEN]]="X",),"X","")</f>
        <v/>
      </c>
      <c r="D242" s="168" t="s">
        <v>143</v>
      </c>
      <c r="E242" s="170" t="s">
        <v>833</v>
      </c>
      <c r="F242" s="170">
        <v>100</v>
      </c>
      <c r="G242" s="170" t="s">
        <v>737</v>
      </c>
      <c r="H242" s="171"/>
      <c r="I242" s="171"/>
      <c r="J242" s="171"/>
      <c r="K242" s="171"/>
      <c r="L242" s="169"/>
      <c r="M242" s="129" t="s">
        <v>43</v>
      </c>
      <c r="N242" s="129"/>
      <c r="O242" s="172"/>
      <c r="P242" s="172"/>
      <c r="Q242" s="129"/>
      <c r="R242" s="129"/>
      <c r="S242" s="129"/>
      <c r="T242" s="173" t="str">
        <f ca="1">IF(AND('Inserimento dati'!$B$3=$H$2, TabellaA1[[#This Row],[LUN]]="X"), "X",IF(AND('Inserimento dati'!$B$3=$I$2, TabellaA1[[#This Row],[MAR]]="X"), "X", IF(AND('Inserimento dati'!$B$3=$J$2, TabellaA1[[#This Row],[MER]]="X"), "X",IF(AND('Inserimento dati'!$B$3=$K$2, TabellaA1[[#This Row],[GIO]]="X"), "X", IF(AND('Inserimento dati'!$B$3=$L$2, TabellaA1[[#This Row],[VEN]]="X"), "X","")))))</f>
        <v/>
      </c>
      <c r="U242" s="139" t="str">
        <f t="shared" ca="1" si="10"/>
        <v/>
      </c>
    </row>
    <row r="243" spans="1:21" ht="30" x14ac:dyDescent="0.25">
      <c r="A243" s="167"/>
      <c r="B243" s="167"/>
      <c r="C243" s="167" t="str">
        <f>IF(OR(TabellaA1[[#This Row],[LUN]]="X",TabellaA1[[#This Row],[MAR]]="X",TabellaA1[[#This Row],[MER]]="X",TabellaA1[[#This Row],[GIO]]="X",TabellaA1[[#This Row],[VEN]]="X",),"X","")</f>
        <v/>
      </c>
      <c r="D243" s="168" t="s">
        <v>143</v>
      </c>
      <c r="E243" s="170" t="s">
        <v>834</v>
      </c>
      <c r="F243" s="170">
        <v>400</v>
      </c>
      <c r="G243" s="170" t="s">
        <v>835</v>
      </c>
      <c r="H243" s="171"/>
      <c r="I243" s="171"/>
      <c r="J243" s="171"/>
      <c r="K243" s="171"/>
      <c r="L243" s="169"/>
      <c r="M243" s="129" t="s">
        <v>43</v>
      </c>
      <c r="N243" s="129"/>
      <c r="O243" s="172"/>
      <c r="P243" s="172"/>
      <c r="Q243" s="129"/>
      <c r="R243" s="129"/>
      <c r="S243" s="129"/>
      <c r="T243" s="173" t="str">
        <f ca="1">IF(AND('Inserimento dati'!$B$3=$H$2, TabellaA1[[#This Row],[LUN]]="X"), "X",IF(AND('Inserimento dati'!$B$3=$I$2, TabellaA1[[#This Row],[MAR]]="X"), "X", IF(AND('Inserimento dati'!$B$3=$J$2, TabellaA1[[#This Row],[MER]]="X"), "X",IF(AND('Inserimento dati'!$B$3=$K$2, TabellaA1[[#This Row],[GIO]]="X"), "X", IF(AND('Inserimento dati'!$B$3=$L$2, TabellaA1[[#This Row],[VEN]]="X"), "X","")))))</f>
        <v/>
      </c>
      <c r="U243" s="139"/>
    </row>
    <row r="244" spans="1:21" ht="30" x14ac:dyDescent="0.25">
      <c r="A244" s="167"/>
      <c r="B244" s="167"/>
      <c r="C244" s="167" t="str">
        <f>IF(OR(TabellaA1[[#This Row],[LUN]]="X",TabellaA1[[#This Row],[MAR]]="X",TabellaA1[[#This Row],[MER]]="X",TabellaA1[[#This Row],[GIO]]="X",TabellaA1[[#This Row],[VEN]]="X",),"X","")</f>
        <v/>
      </c>
      <c r="D244" s="168" t="s">
        <v>143</v>
      </c>
      <c r="E244" s="170" t="s">
        <v>836</v>
      </c>
      <c r="F244" s="170">
        <v>400</v>
      </c>
      <c r="G244" s="170" t="s">
        <v>837</v>
      </c>
      <c r="H244" s="171"/>
      <c r="I244" s="171"/>
      <c r="J244" s="171"/>
      <c r="K244" s="171"/>
      <c r="L244" s="169"/>
      <c r="M244" s="129" t="s">
        <v>43</v>
      </c>
      <c r="N244" s="129"/>
      <c r="O244" s="172"/>
      <c r="P244" s="172"/>
      <c r="Q244" s="129"/>
      <c r="R244" s="129"/>
      <c r="S244" s="129"/>
      <c r="T244" s="173" t="str">
        <f ca="1">IF(AND('Inserimento dati'!$B$3=$H$2, TabellaA1[[#This Row],[LUN]]="X"), "X",IF(AND('Inserimento dati'!$B$3=$I$2, TabellaA1[[#This Row],[MAR]]="X"), "X", IF(AND('Inserimento dati'!$B$3=$J$2, TabellaA1[[#This Row],[MER]]="X"), "X",IF(AND('Inserimento dati'!$B$3=$K$2, TabellaA1[[#This Row],[GIO]]="X"), "X", IF(AND('Inserimento dati'!$B$3=$L$2, TabellaA1[[#This Row],[VEN]]="X"), "X","")))))</f>
        <v/>
      </c>
      <c r="U244" s="139"/>
    </row>
    <row r="245" spans="1:21" ht="30" x14ac:dyDescent="0.25">
      <c r="A245" s="167"/>
      <c r="B245" s="167"/>
      <c r="C245" s="167" t="str">
        <f>IF(OR(TabellaA1[[#This Row],[LUN]]="X",TabellaA1[[#This Row],[MAR]]="X",TabellaA1[[#This Row],[MER]]="X",TabellaA1[[#This Row],[GIO]]="X",TabellaA1[[#This Row],[VEN]]="X",),"X","")</f>
        <v/>
      </c>
      <c r="D245" s="168" t="s">
        <v>143</v>
      </c>
      <c r="E245" s="170" t="s">
        <v>838</v>
      </c>
      <c r="F245" s="170" t="s">
        <v>262</v>
      </c>
      <c r="G245" s="170" t="s">
        <v>839</v>
      </c>
      <c r="H245" s="171"/>
      <c r="I245" s="171"/>
      <c r="J245" s="171"/>
      <c r="K245" s="171"/>
      <c r="L245" s="169"/>
      <c r="M245" s="129" t="s">
        <v>43</v>
      </c>
      <c r="N245" s="129"/>
      <c r="O245" s="172"/>
      <c r="P245" s="172"/>
      <c r="Q245" s="129"/>
      <c r="R245" s="129"/>
      <c r="S245" s="129"/>
      <c r="T245" s="173" t="str">
        <f ca="1">IF(AND('Inserimento dati'!$B$3=$H$2, TabellaA1[[#This Row],[LUN]]="X"), "X",IF(AND('Inserimento dati'!$B$3=$I$2, TabellaA1[[#This Row],[MAR]]="X"), "X", IF(AND('Inserimento dati'!$B$3=$J$2, TabellaA1[[#This Row],[MER]]="X"), "X",IF(AND('Inserimento dati'!$B$3=$K$2, TabellaA1[[#This Row],[GIO]]="X"), "X", IF(AND('Inserimento dati'!$B$3=$L$2, TabellaA1[[#This Row],[VEN]]="X"), "X","")))))</f>
        <v/>
      </c>
      <c r="U245" s="139"/>
    </row>
    <row r="246" spans="1:21" ht="30" x14ac:dyDescent="0.25">
      <c r="A246" s="167"/>
      <c r="B246" s="167"/>
      <c r="C246" s="167" t="str">
        <f>IF(OR(TabellaA1[[#This Row],[LUN]]="X",TabellaA1[[#This Row],[MAR]]="X",TabellaA1[[#This Row],[MER]]="X",TabellaA1[[#This Row],[GIO]]="X",TabellaA1[[#This Row],[VEN]]="X",),"X","")</f>
        <v/>
      </c>
      <c r="D246" s="168" t="s">
        <v>143</v>
      </c>
      <c r="E246" s="170" t="s">
        <v>840</v>
      </c>
      <c r="F246" s="170" t="s">
        <v>262</v>
      </c>
      <c r="G246" s="170" t="s">
        <v>841</v>
      </c>
      <c r="H246" s="171"/>
      <c r="I246" s="171"/>
      <c r="J246" s="171"/>
      <c r="K246" s="171"/>
      <c r="L246" s="169"/>
      <c r="M246" s="129" t="s">
        <v>43</v>
      </c>
      <c r="N246" s="129"/>
      <c r="O246" s="172"/>
      <c r="P246" s="172"/>
      <c r="Q246" s="129"/>
      <c r="R246" s="129"/>
      <c r="S246" s="129"/>
      <c r="T246" s="173" t="str">
        <f ca="1">IF(AND('Inserimento dati'!$B$3=$H$2, TabellaA1[[#This Row],[LUN]]="X"), "X",IF(AND('Inserimento dati'!$B$3=$I$2, TabellaA1[[#This Row],[MAR]]="X"), "X", IF(AND('Inserimento dati'!$B$3=$J$2, TabellaA1[[#This Row],[MER]]="X"), "X",IF(AND('Inserimento dati'!$B$3=$K$2, TabellaA1[[#This Row],[GIO]]="X"), "X", IF(AND('Inserimento dati'!$B$3=$L$2, TabellaA1[[#This Row],[VEN]]="X"), "X","")))))</f>
        <v/>
      </c>
      <c r="U246" s="139"/>
    </row>
    <row r="247" spans="1:21" ht="23.25" x14ac:dyDescent="0.25">
      <c r="A247" s="167"/>
      <c r="B247" s="167"/>
      <c r="C247" s="167" t="str">
        <f>IF(OR(TabellaA1[[#This Row],[LUN]]="X",TabellaA1[[#This Row],[MAR]]="X",TabellaA1[[#This Row],[MER]]="X",TabellaA1[[#This Row],[GIO]]="X",TabellaA1[[#This Row],[VEN]]="X",),"X","")</f>
        <v/>
      </c>
      <c r="D247" s="168" t="s">
        <v>143</v>
      </c>
      <c r="E247" s="170" t="s">
        <v>842</v>
      </c>
      <c r="F247" s="170">
        <v>100</v>
      </c>
      <c r="G247" s="170" t="s">
        <v>843</v>
      </c>
      <c r="H247" s="171"/>
      <c r="I247" s="171"/>
      <c r="J247" s="171"/>
      <c r="K247" s="171"/>
      <c r="L247" s="169"/>
      <c r="M247" s="129" t="s">
        <v>43</v>
      </c>
      <c r="N247" s="129"/>
      <c r="O247" s="172"/>
      <c r="P247" s="172"/>
      <c r="Q247" s="129"/>
      <c r="R247" s="129"/>
      <c r="S247" s="129"/>
      <c r="T247" s="173" t="str">
        <f ca="1">IF(AND('Inserimento dati'!$B$3=$H$2, TabellaA1[[#This Row],[LUN]]="X"), "X",IF(AND('Inserimento dati'!$B$3=$I$2, TabellaA1[[#This Row],[MAR]]="X"), "X", IF(AND('Inserimento dati'!$B$3=$J$2, TabellaA1[[#This Row],[MER]]="X"), "X",IF(AND('Inserimento dati'!$B$3=$K$2, TabellaA1[[#This Row],[GIO]]="X"), "X", IF(AND('Inserimento dati'!$B$3=$L$2, TabellaA1[[#This Row],[VEN]]="X"), "X","")))))</f>
        <v/>
      </c>
      <c r="U247" s="139"/>
    </row>
    <row r="248" spans="1:21" ht="23.25" x14ac:dyDescent="0.25">
      <c r="A248" s="167"/>
      <c r="B248" s="167"/>
      <c r="C248" s="167" t="str">
        <f>IF(OR(TabellaA1[[#This Row],[LUN]]="X",TabellaA1[[#This Row],[MAR]]="X",TabellaA1[[#This Row],[MER]]="X",TabellaA1[[#This Row],[GIO]]="X",TabellaA1[[#This Row],[VEN]]="X",),"X","")</f>
        <v/>
      </c>
      <c r="D248" s="168" t="s">
        <v>143</v>
      </c>
      <c r="E248" s="170" t="s">
        <v>844</v>
      </c>
      <c r="F248" s="170">
        <v>100</v>
      </c>
      <c r="G248" s="170" t="s">
        <v>845</v>
      </c>
      <c r="H248" s="171"/>
      <c r="I248" s="171"/>
      <c r="J248" s="171"/>
      <c r="K248" s="171"/>
      <c r="L248" s="169"/>
      <c r="M248" s="129" t="s">
        <v>43</v>
      </c>
      <c r="N248" s="129"/>
      <c r="O248" s="172"/>
      <c r="P248" s="172"/>
      <c r="Q248" s="129"/>
      <c r="R248" s="129"/>
      <c r="S248" s="129"/>
      <c r="T248" s="173" t="str">
        <f ca="1">IF(AND('Inserimento dati'!$B$3=$H$2, TabellaA1[[#This Row],[LUN]]="X"), "X",IF(AND('Inserimento dati'!$B$3=$I$2, TabellaA1[[#This Row],[MAR]]="X"), "X", IF(AND('Inserimento dati'!$B$3=$J$2, TabellaA1[[#This Row],[MER]]="X"), "X",IF(AND('Inserimento dati'!$B$3=$K$2, TabellaA1[[#This Row],[GIO]]="X"), "X", IF(AND('Inserimento dati'!$B$3=$L$2, TabellaA1[[#This Row],[VEN]]="X"), "X","")))))</f>
        <v/>
      </c>
      <c r="U248" s="139"/>
    </row>
    <row r="249" spans="1:21" ht="30" x14ac:dyDescent="0.25">
      <c r="A249" s="167"/>
      <c r="B249" s="167"/>
      <c r="C249" s="167" t="str">
        <f>IF(OR(TabellaA1[[#This Row],[LUN]]="X",TabellaA1[[#This Row],[MAR]]="X",TabellaA1[[#This Row],[MER]]="X",TabellaA1[[#This Row],[GIO]]="X",TabellaA1[[#This Row],[VEN]]="X",),"X","")</f>
        <v/>
      </c>
      <c r="D249" s="168" t="s">
        <v>143</v>
      </c>
      <c r="E249" s="170" t="s">
        <v>846</v>
      </c>
      <c r="F249" s="170">
        <v>400</v>
      </c>
      <c r="G249" s="170" t="s">
        <v>847</v>
      </c>
      <c r="H249" s="171"/>
      <c r="I249" s="171"/>
      <c r="J249" s="171"/>
      <c r="K249" s="171"/>
      <c r="L249" s="169"/>
      <c r="M249" s="129" t="s">
        <v>43</v>
      </c>
      <c r="N249" s="129"/>
      <c r="O249" s="172"/>
      <c r="P249" s="172"/>
      <c r="Q249" s="129" t="s">
        <v>848</v>
      </c>
      <c r="R249" s="129">
        <v>45861</v>
      </c>
      <c r="S249" s="129" t="s">
        <v>23</v>
      </c>
      <c r="T249" s="173" t="str">
        <f ca="1">IF(AND('Inserimento dati'!$B$3=$H$2, TabellaA1[[#This Row],[LUN]]="X"), "X",IF(AND('Inserimento dati'!$B$3=$I$2, TabellaA1[[#This Row],[MAR]]="X"), "X", IF(AND('Inserimento dati'!$B$3=$J$2, TabellaA1[[#This Row],[MER]]="X"), "X",IF(AND('Inserimento dati'!$B$3=$K$2, TabellaA1[[#This Row],[GIO]]="X"), "X", IF(AND('Inserimento dati'!$B$3=$L$2, TabellaA1[[#This Row],[VEN]]="X"), "X","")))))</f>
        <v/>
      </c>
      <c r="U249" s="139"/>
    </row>
    <row r="250" spans="1:21" ht="30" x14ac:dyDescent="0.25">
      <c r="A250" s="167"/>
      <c r="B250" s="167"/>
      <c r="C250" s="167" t="str">
        <f>IF(OR(TabellaA1[[#This Row],[LUN]]="X",TabellaA1[[#This Row],[MAR]]="X",TabellaA1[[#This Row],[MER]]="X",TabellaA1[[#This Row],[GIO]]="X",TabellaA1[[#This Row],[VEN]]="X",),"X","")</f>
        <v/>
      </c>
      <c r="D250" s="168" t="s">
        <v>143</v>
      </c>
      <c r="E250" s="170" t="s">
        <v>849</v>
      </c>
      <c r="F250" s="170" t="s">
        <v>262</v>
      </c>
      <c r="G250" s="170" t="s">
        <v>850</v>
      </c>
      <c r="H250" s="171"/>
      <c r="I250" s="171"/>
      <c r="J250" s="171"/>
      <c r="K250" s="171"/>
      <c r="L250" s="169"/>
      <c r="M250" s="129" t="s">
        <v>43</v>
      </c>
      <c r="N250" s="129"/>
      <c r="O250" s="172"/>
      <c r="P250" s="172"/>
      <c r="Q250" s="129"/>
      <c r="R250" s="129"/>
      <c r="S250" s="129"/>
      <c r="T250" s="173" t="str">
        <f ca="1">IF(AND('Inserimento dati'!$B$3=$H$2, TabellaA1[[#This Row],[LUN]]="X"), "X",IF(AND('Inserimento dati'!$B$3=$I$2, TabellaA1[[#This Row],[MAR]]="X"), "X", IF(AND('Inserimento dati'!$B$3=$J$2, TabellaA1[[#This Row],[MER]]="X"), "X",IF(AND('Inserimento dati'!$B$3=$K$2, TabellaA1[[#This Row],[GIO]]="X"), "X", IF(AND('Inserimento dati'!$B$3=$L$2, TabellaA1[[#This Row],[VEN]]="X"), "X","")))))</f>
        <v/>
      </c>
      <c r="U250" s="139"/>
    </row>
    <row r="251" spans="1:21" ht="30" x14ac:dyDescent="0.25">
      <c r="A251" s="167"/>
      <c r="B251" s="167"/>
      <c r="C251" s="167" t="str">
        <f>IF(OR(TabellaA1[[#This Row],[LUN]]="X",TabellaA1[[#This Row],[MAR]]="X",TabellaA1[[#This Row],[MER]]="X",TabellaA1[[#This Row],[GIO]]="X",TabellaA1[[#This Row],[VEN]]="X",),"X","")</f>
        <v/>
      </c>
      <c r="D251" s="168" t="s">
        <v>143</v>
      </c>
      <c r="E251" s="170" t="s">
        <v>851</v>
      </c>
      <c r="F251" s="170" t="s">
        <v>262</v>
      </c>
      <c r="G251" s="170" t="s">
        <v>852</v>
      </c>
      <c r="H251" s="171"/>
      <c r="I251" s="171"/>
      <c r="J251" s="171"/>
      <c r="K251" s="171"/>
      <c r="L251" s="169"/>
      <c r="M251" s="129" t="s">
        <v>43</v>
      </c>
      <c r="N251" s="129"/>
      <c r="O251" s="172"/>
      <c r="P251" s="172"/>
      <c r="Q251" s="129"/>
      <c r="R251" s="129"/>
      <c r="S251" s="129"/>
      <c r="T251" s="173" t="str">
        <f ca="1">IF(AND('Inserimento dati'!$B$3=$H$2, TabellaA1[[#This Row],[LUN]]="X"), "X",IF(AND('Inserimento dati'!$B$3=$I$2, TabellaA1[[#This Row],[MAR]]="X"), "X", IF(AND('Inserimento dati'!$B$3=$J$2, TabellaA1[[#This Row],[MER]]="X"), "X",IF(AND('Inserimento dati'!$B$3=$K$2, TabellaA1[[#This Row],[GIO]]="X"), "X", IF(AND('Inserimento dati'!$B$3=$L$2, TabellaA1[[#This Row],[VEN]]="X"), "X","")))))</f>
        <v/>
      </c>
      <c r="U251" s="139"/>
    </row>
    <row r="252" spans="1:21" ht="45" x14ac:dyDescent="0.25">
      <c r="A252" s="167"/>
      <c r="B252" s="167"/>
      <c r="C252" s="167" t="str">
        <f>IF(OR(TabellaA1[[#This Row],[LUN]]="X",TabellaA1[[#This Row],[MAR]]="X",TabellaA1[[#This Row],[MER]]="X",TabellaA1[[#This Row],[GIO]]="X",TabellaA1[[#This Row],[VEN]]="X",),"X","")</f>
        <v/>
      </c>
      <c r="D252" s="168" t="s">
        <v>143</v>
      </c>
      <c r="E252" s="170" t="s">
        <v>853</v>
      </c>
      <c r="F252" s="170">
        <v>200</v>
      </c>
      <c r="G252" s="170" t="s">
        <v>854</v>
      </c>
      <c r="H252" s="171"/>
      <c r="I252" s="171"/>
      <c r="J252" s="171"/>
      <c r="K252" s="171"/>
      <c r="L252" s="169"/>
      <c r="M252" s="129" t="s">
        <v>43</v>
      </c>
      <c r="N252" s="129"/>
      <c r="O252" s="172"/>
      <c r="P252" s="172"/>
      <c r="Q252" s="129" t="s">
        <v>855</v>
      </c>
      <c r="R252" s="129">
        <v>45868</v>
      </c>
      <c r="S252" s="129" t="s">
        <v>238</v>
      </c>
      <c r="T252" s="173" t="str">
        <f ca="1">IF(AND('Inserimento dati'!$B$3=$H$2, TabellaA1[[#This Row],[LUN]]="X"), "X",IF(AND('Inserimento dati'!$B$3=$I$2, TabellaA1[[#This Row],[MAR]]="X"), "X", IF(AND('Inserimento dati'!$B$3=$J$2, TabellaA1[[#This Row],[MER]]="X"), "X",IF(AND('Inserimento dati'!$B$3=$K$2, TabellaA1[[#This Row],[GIO]]="X"), "X", IF(AND('Inserimento dati'!$B$3=$L$2, TabellaA1[[#This Row],[VEN]]="X"), "X","")))))</f>
        <v/>
      </c>
      <c r="U252" s="139"/>
    </row>
    <row r="253" spans="1:21" ht="23.25" x14ac:dyDescent="0.25">
      <c r="A253" s="167"/>
      <c r="B253" s="167"/>
      <c r="C253" s="167" t="str">
        <f>IF(OR(TabellaA1[[#This Row],[LUN]]="X",TabellaA1[[#This Row],[MAR]]="X",TabellaA1[[#This Row],[MER]]="X",TabellaA1[[#This Row],[GIO]]="X",TabellaA1[[#This Row],[VEN]]="X",),"X","")</f>
        <v/>
      </c>
      <c r="D253" s="168" t="s">
        <v>143</v>
      </c>
      <c r="E253" s="170" t="s">
        <v>856</v>
      </c>
      <c r="F253" s="170">
        <v>400</v>
      </c>
      <c r="G253" s="170" t="s">
        <v>857</v>
      </c>
      <c r="H253" s="171"/>
      <c r="I253" s="171"/>
      <c r="J253" s="171"/>
      <c r="K253" s="171"/>
      <c r="L253" s="169"/>
      <c r="M253" s="129" t="s">
        <v>43</v>
      </c>
      <c r="N253" s="129"/>
      <c r="O253" s="172"/>
      <c r="P253" s="172"/>
      <c r="Q253" s="129"/>
      <c r="R253" s="129"/>
      <c r="S253" s="129"/>
      <c r="T253" s="173" t="str">
        <f ca="1">IF(AND('Inserimento dati'!$B$3=$H$2, TabellaA1[[#This Row],[LUN]]="X"), "X",IF(AND('Inserimento dati'!$B$3=$I$2, TabellaA1[[#This Row],[MAR]]="X"), "X", IF(AND('Inserimento dati'!$B$3=$J$2, TabellaA1[[#This Row],[MER]]="X"), "X",IF(AND('Inserimento dati'!$B$3=$K$2, TabellaA1[[#This Row],[GIO]]="X"), "X", IF(AND('Inserimento dati'!$B$3=$L$2, TabellaA1[[#This Row],[VEN]]="X"), "X","")))))</f>
        <v/>
      </c>
      <c r="U253" s="139"/>
    </row>
    <row r="254" spans="1:21" ht="23.25" x14ac:dyDescent="0.25">
      <c r="A254" s="167"/>
      <c r="B254" s="167"/>
      <c r="C254" s="167" t="str">
        <f>IF(OR(TabellaA1[[#This Row],[LUN]]="X",TabellaA1[[#This Row],[MAR]]="X",TabellaA1[[#This Row],[MER]]="X",TabellaA1[[#This Row],[GIO]]="X",TabellaA1[[#This Row],[VEN]]="X",),"X","")</f>
        <v/>
      </c>
      <c r="D254" s="168" t="s">
        <v>143</v>
      </c>
      <c r="E254" s="170" t="s">
        <v>858</v>
      </c>
      <c r="F254" s="170">
        <v>100</v>
      </c>
      <c r="G254" s="170" t="s">
        <v>859</v>
      </c>
      <c r="H254" s="171"/>
      <c r="I254" s="171"/>
      <c r="J254" s="171"/>
      <c r="K254" s="171"/>
      <c r="L254" s="169"/>
      <c r="M254" s="129" t="s">
        <v>43</v>
      </c>
      <c r="N254" s="129"/>
      <c r="O254" s="172"/>
      <c r="P254" s="172"/>
      <c r="Q254" s="129"/>
      <c r="R254" s="129"/>
      <c r="S254" s="129"/>
      <c r="T254" s="173" t="str">
        <f ca="1">IF(AND('Inserimento dati'!$B$3=$H$2, TabellaA1[[#This Row],[LUN]]="X"), "X",IF(AND('Inserimento dati'!$B$3=$I$2, TabellaA1[[#This Row],[MAR]]="X"), "X", IF(AND('Inserimento dati'!$B$3=$J$2, TabellaA1[[#This Row],[MER]]="X"), "X",IF(AND('Inserimento dati'!$B$3=$K$2, TabellaA1[[#This Row],[GIO]]="X"), "X", IF(AND('Inserimento dati'!$B$3=$L$2, TabellaA1[[#This Row],[VEN]]="X"), "X","")))))</f>
        <v/>
      </c>
      <c r="U254" s="139"/>
    </row>
    <row r="255" spans="1:21" ht="30" x14ac:dyDescent="0.25">
      <c r="A255" s="167"/>
      <c r="B255" s="167"/>
      <c r="C255" s="167" t="str">
        <f>IF(OR(TabellaA1[[#This Row],[LUN]]="X",TabellaA1[[#This Row],[MAR]]="X",TabellaA1[[#This Row],[MER]]="X",TabellaA1[[#This Row],[GIO]]="X",TabellaA1[[#This Row],[VEN]]="X",),"X","")</f>
        <v/>
      </c>
      <c r="D255" s="168" t="s">
        <v>143</v>
      </c>
      <c r="E255" s="170" t="s">
        <v>860</v>
      </c>
      <c r="F255" s="170">
        <v>100</v>
      </c>
      <c r="G255" s="170" t="s">
        <v>861</v>
      </c>
      <c r="H255" s="171"/>
      <c r="I255" s="171"/>
      <c r="J255" s="171"/>
      <c r="K255" s="171"/>
      <c r="L255" s="169"/>
      <c r="M255" s="129" t="s">
        <v>43</v>
      </c>
      <c r="N255" s="129"/>
      <c r="O255" s="172"/>
      <c r="P255" s="172"/>
      <c r="Q255" s="129"/>
      <c r="R255" s="129"/>
      <c r="S255" s="129"/>
      <c r="T255" s="173" t="str">
        <f ca="1">IF(AND('Inserimento dati'!$B$3=$H$2, TabellaA1[[#This Row],[LUN]]="X"), "X",IF(AND('Inserimento dati'!$B$3=$I$2, TabellaA1[[#This Row],[MAR]]="X"), "X", IF(AND('Inserimento dati'!$B$3=$J$2, TabellaA1[[#This Row],[MER]]="X"), "X",IF(AND('Inserimento dati'!$B$3=$K$2, TabellaA1[[#This Row],[GIO]]="X"), "X", IF(AND('Inserimento dati'!$B$3=$L$2, TabellaA1[[#This Row],[VEN]]="X"), "X","")))))</f>
        <v/>
      </c>
      <c r="U255" s="139"/>
    </row>
    <row r="256" spans="1:21" ht="30" x14ac:dyDescent="0.25">
      <c r="A256" s="167"/>
      <c r="B256" s="167"/>
      <c r="C256" s="167" t="str">
        <f>IF(OR(TabellaA1[[#This Row],[LUN]]="X",TabellaA1[[#This Row],[MAR]]="X",TabellaA1[[#This Row],[MER]]="X",TabellaA1[[#This Row],[GIO]]="X",TabellaA1[[#This Row],[VEN]]="X",),"X","")</f>
        <v/>
      </c>
      <c r="D256" s="168" t="s">
        <v>143</v>
      </c>
      <c r="E256" s="170" t="s">
        <v>862</v>
      </c>
      <c r="F256" s="170">
        <v>900</v>
      </c>
      <c r="G256" s="170" t="s">
        <v>863</v>
      </c>
      <c r="H256" s="171"/>
      <c r="I256" s="171"/>
      <c r="J256" s="171"/>
      <c r="K256" s="171"/>
      <c r="L256" s="169"/>
      <c r="M256" s="129" t="s">
        <v>43</v>
      </c>
      <c r="N256" s="129"/>
      <c r="O256" s="172"/>
      <c r="P256" s="172"/>
      <c r="Q256" s="129"/>
      <c r="R256" s="129"/>
      <c r="S256" s="129"/>
      <c r="T256" s="173" t="str">
        <f ca="1">IF(AND('Inserimento dati'!$B$3=$H$2, TabellaA1[[#This Row],[LUN]]="X"), "X",IF(AND('Inserimento dati'!$B$3=$I$2, TabellaA1[[#This Row],[MAR]]="X"), "X", IF(AND('Inserimento dati'!$B$3=$J$2, TabellaA1[[#This Row],[MER]]="X"), "X",IF(AND('Inserimento dati'!$B$3=$K$2, TabellaA1[[#This Row],[GIO]]="X"), "X", IF(AND('Inserimento dati'!$B$3=$L$2, TabellaA1[[#This Row],[VEN]]="X"), "X","")))))</f>
        <v/>
      </c>
      <c r="U256" s="139"/>
    </row>
    <row r="257" spans="1:21" ht="30" x14ac:dyDescent="0.25">
      <c r="A257" s="167"/>
      <c r="B257" s="167"/>
      <c r="C257" s="167" t="str">
        <f>IF(OR(TabellaA1[[#This Row],[LUN]]="X",TabellaA1[[#This Row],[MAR]]="X",TabellaA1[[#This Row],[MER]]="X",TabellaA1[[#This Row],[GIO]]="X",TabellaA1[[#This Row],[VEN]]="X",),"X","")</f>
        <v/>
      </c>
      <c r="D257" s="168" t="s">
        <v>143</v>
      </c>
      <c r="E257" s="170" t="s">
        <v>864</v>
      </c>
      <c r="F257" s="170">
        <v>100</v>
      </c>
      <c r="G257" s="170" t="s">
        <v>865</v>
      </c>
      <c r="H257" s="171"/>
      <c r="I257" s="171"/>
      <c r="J257" s="171"/>
      <c r="K257" s="171"/>
      <c r="L257" s="169"/>
      <c r="M257" s="129" t="s">
        <v>43</v>
      </c>
      <c r="N257" s="129"/>
      <c r="O257" s="172"/>
      <c r="P257" s="172"/>
      <c r="Q257" s="129" t="s">
        <v>866</v>
      </c>
      <c r="R257" s="129">
        <v>45862</v>
      </c>
      <c r="S257" s="129" t="s">
        <v>813</v>
      </c>
      <c r="T257" s="173" t="str">
        <f ca="1">IF(AND('Inserimento dati'!$B$3=$H$2, TabellaA1[[#This Row],[LUN]]="X"), "X",IF(AND('Inserimento dati'!$B$3=$I$2, TabellaA1[[#This Row],[MAR]]="X"), "X", IF(AND('Inserimento dati'!$B$3=$J$2, TabellaA1[[#This Row],[MER]]="X"), "X",IF(AND('Inserimento dati'!$B$3=$K$2, TabellaA1[[#This Row],[GIO]]="X"), "X", IF(AND('Inserimento dati'!$B$3=$L$2, TabellaA1[[#This Row],[VEN]]="X"), "X","")))))</f>
        <v/>
      </c>
      <c r="U257" s="139"/>
    </row>
    <row r="258" spans="1:21" ht="23.25" x14ac:dyDescent="0.25">
      <c r="A258" s="167"/>
      <c r="B258" s="167"/>
      <c r="C258" s="167" t="str">
        <f>IF(OR(TabellaA1[[#This Row],[LUN]]="X",TabellaA1[[#This Row],[MAR]]="X",TabellaA1[[#This Row],[MER]]="X",TabellaA1[[#This Row],[GIO]]="X",TabellaA1[[#This Row],[VEN]]="X",),"X","")</f>
        <v/>
      </c>
      <c r="D258" s="168" t="s">
        <v>143</v>
      </c>
      <c r="E258" s="170" t="s">
        <v>867</v>
      </c>
      <c r="F258" s="170">
        <v>100</v>
      </c>
      <c r="G258" s="170" t="s">
        <v>868</v>
      </c>
      <c r="H258" s="171"/>
      <c r="I258" s="171"/>
      <c r="J258" s="171"/>
      <c r="K258" s="171"/>
      <c r="L258" s="169"/>
      <c r="M258" s="129" t="s">
        <v>43</v>
      </c>
      <c r="N258" s="129"/>
      <c r="O258" s="172"/>
      <c r="P258" s="172"/>
      <c r="Q258" s="129"/>
      <c r="R258" s="129"/>
      <c r="S258" s="129"/>
      <c r="T258" s="173" t="str">
        <f ca="1">IF(AND('Inserimento dati'!$B$3=$H$2, TabellaA1[[#This Row],[LUN]]="X"), "X",IF(AND('Inserimento dati'!$B$3=$I$2, TabellaA1[[#This Row],[MAR]]="X"), "X", IF(AND('Inserimento dati'!$B$3=$J$2, TabellaA1[[#This Row],[MER]]="X"), "X",IF(AND('Inserimento dati'!$B$3=$K$2, TabellaA1[[#This Row],[GIO]]="X"), "X", IF(AND('Inserimento dati'!$B$3=$L$2, TabellaA1[[#This Row],[VEN]]="X"), "X","")))))</f>
        <v/>
      </c>
      <c r="U258" s="139"/>
    </row>
    <row r="259" spans="1:21" ht="23.25" x14ac:dyDescent="0.25">
      <c r="A259" s="167"/>
      <c r="B259" s="167"/>
      <c r="C259" s="167" t="str">
        <f>IF(OR(TabellaA1[[#This Row],[LUN]]="X",TabellaA1[[#This Row],[MAR]]="X",TabellaA1[[#This Row],[MER]]="X",TabellaA1[[#This Row],[GIO]]="X",TabellaA1[[#This Row],[VEN]]="X",),"X","")</f>
        <v/>
      </c>
      <c r="D259" s="168" t="s">
        <v>143</v>
      </c>
      <c r="E259" s="170" t="s">
        <v>869</v>
      </c>
      <c r="F259" s="170">
        <v>300</v>
      </c>
      <c r="G259" s="170" t="s">
        <v>870</v>
      </c>
      <c r="H259" s="171"/>
      <c r="I259" s="171"/>
      <c r="J259" s="171"/>
      <c r="K259" s="171"/>
      <c r="L259" s="169"/>
      <c r="M259" s="129" t="s">
        <v>43</v>
      </c>
      <c r="N259" s="129"/>
      <c r="O259" s="172"/>
      <c r="P259" s="172"/>
      <c r="Q259" s="129"/>
      <c r="R259" s="129"/>
      <c r="S259" s="129"/>
      <c r="T259" s="173" t="str">
        <f ca="1">IF(AND('Inserimento dati'!$B$3=$H$2, TabellaA1[[#This Row],[LUN]]="X"), "X",IF(AND('Inserimento dati'!$B$3=$I$2, TabellaA1[[#This Row],[MAR]]="X"), "X", IF(AND('Inserimento dati'!$B$3=$J$2, TabellaA1[[#This Row],[MER]]="X"), "X",IF(AND('Inserimento dati'!$B$3=$K$2, TabellaA1[[#This Row],[GIO]]="X"), "X", IF(AND('Inserimento dati'!$B$3=$L$2, TabellaA1[[#This Row],[VEN]]="X"), "X","")))))</f>
        <v/>
      </c>
      <c r="U259" s="139"/>
    </row>
    <row r="260" spans="1:21" ht="30" x14ac:dyDescent="0.25">
      <c r="A260" s="167"/>
      <c r="B260" s="167"/>
      <c r="C260" s="167" t="str">
        <f>IF(OR(TabellaA1[[#This Row],[LUN]]="X",TabellaA1[[#This Row],[MAR]]="X",TabellaA1[[#This Row],[MER]]="X",TabellaA1[[#This Row],[GIO]]="X",TabellaA1[[#This Row],[VEN]]="X",),"X","")</f>
        <v/>
      </c>
      <c r="D260" s="168" t="s">
        <v>143</v>
      </c>
      <c r="E260" s="170" t="s">
        <v>871</v>
      </c>
      <c r="F260" s="170">
        <v>400</v>
      </c>
      <c r="G260" s="170" t="s">
        <v>872</v>
      </c>
      <c r="H260" s="171"/>
      <c r="I260" s="171"/>
      <c r="J260" s="171"/>
      <c r="K260" s="171"/>
      <c r="L260" s="169"/>
      <c r="M260" s="129" t="s">
        <v>43</v>
      </c>
      <c r="N260" s="129"/>
      <c r="O260" s="172"/>
      <c r="P260" s="172"/>
      <c r="Q260" s="129" t="s">
        <v>873</v>
      </c>
      <c r="R260" s="129">
        <v>45917</v>
      </c>
      <c r="S260" s="129" t="s">
        <v>20</v>
      </c>
      <c r="T260" s="173" t="str">
        <f ca="1">IF(AND('Inserimento dati'!$B$3=$H$2, TabellaA1[[#This Row],[LUN]]="X"), "X",IF(AND('Inserimento dati'!$B$3=$I$2, TabellaA1[[#This Row],[MAR]]="X"), "X", IF(AND('Inserimento dati'!$B$3=$J$2, TabellaA1[[#This Row],[MER]]="X"), "X",IF(AND('Inserimento dati'!$B$3=$K$2, TabellaA1[[#This Row],[GIO]]="X"), "X", IF(AND('Inserimento dati'!$B$3=$L$2, TabellaA1[[#This Row],[VEN]]="X"), "X","")))))</f>
        <v/>
      </c>
      <c r="U260" s="139"/>
    </row>
    <row r="261" spans="1:21" ht="30" x14ac:dyDescent="0.25">
      <c r="A261" s="167"/>
      <c r="B261" s="167"/>
      <c r="C261" s="167" t="str">
        <f>IF(OR(TabellaA1[[#This Row],[LUN]]="X",TabellaA1[[#This Row],[MAR]]="X",TabellaA1[[#This Row],[MER]]="X",TabellaA1[[#This Row],[GIO]]="X",TabellaA1[[#This Row],[VEN]]="X",),"X","")</f>
        <v/>
      </c>
      <c r="D261" s="168" t="s">
        <v>143</v>
      </c>
      <c r="E261" s="170" t="s">
        <v>874</v>
      </c>
      <c r="F261" s="170">
        <v>100</v>
      </c>
      <c r="G261" s="170" t="s">
        <v>875</v>
      </c>
      <c r="H261" s="171"/>
      <c r="I261" s="171"/>
      <c r="J261" s="171"/>
      <c r="K261" s="171"/>
      <c r="L261" s="169"/>
      <c r="M261" s="129" t="s">
        <v>43</v>
      </c>
      <c r="N261" s="129"/>
      <c r="O261" s="172"/>
      <c r="P261" s="172"/>
      <c r="Q261" s="129"/>
      <c r="R261" s="129"/>
      <c r="S261" s="129"/>
      <c r="T261" s="173" t="str">
        <f ca="1">IF(AND('Inserimento dati'!$B$3=$H$2, TabellaA1[[#This Row],[LUN]]="X"), "X",IF(AND('Inserimento dati'!$B$3=$I$2, TabellaA1[[#This Row],[MAR]]="X"), "X", IF(AND('Inserimento dati'!$B$3=$J$2, TabellaA1[[#This Row],[MER]]="X"), "X",IF(AND('Inserimento dati'!$B$3=$K$2, TabellaA1[[#This Row],[GIO]]="X"), "X", IF(AND('Inserimento dati'!$B$3=$L$2, TabellaA1[[#This Row],[VEN]]="X"), "X","")))))</f>
        <v/>
      </c>
      <c r="U261" s="139"/>
    </row>
    <row r="262" spans="1:21" ht="30" x14ac:dyDescent="0.25">
      <c r="A262" s="167"/>
      <c r="B262" s="167"/>
      <c r="C262" s="167" t="str">
        <f>IF(OR(TabellaA1[[#This Row],[LUN]]="X",TabellaA1[[#This Row],[MAR]]="X",TabellaA1[[#This Row],[MER]]="X",TabellaA1[[#This Row],[GIO]]="X",TabellaA1[[#This Row],[VEN]]="X",),"X","")</f>
        <v/>
      </c>
      <c r="D262" s="168" t="s">
        <v>143</v>
      </c>
      <c r="E262" s="170" t="s">
        <v>876</v>
      </c>
      <c r="F262" s="170">
        <v>100</v>
      </c>
      <c r="G262" s="170" t="s">
        <v>875</v>
      </c>
      <c r="H262" s="171"/>
      <c r="I262" s="171"/>
      <c r="J262" s="171"/>
      <c r="K262" s="171"/>
      <c r="L262" s="169"/>
      <c r="M262" s="129" t="s">
        <v>43</v>
      </c>
      <c r="N262" s="129"/>
      <c r="O262" s="172"/>
      <c r="P262" s="172"/>
      <c r="Q262" s="129"/>
      <c r="R262" s="129"/>
      <c r="S262" s="129"/>
      <c r="T262" s="173" t="str">
        <f ca="1">IF(AND('Inserimento dati'!$B$3=$H$2, TabellaA1[[#This Row],[LUN]]="X"), "X",IF(AND('Inserimento dati'!$B$3=$I$2, TabellaA1[[#This Row],[MAR]]="X"), "X", IF(AND('Inserimento dati'!$B$3=$J$2, TabellaA1[[#This Row],[MER]]="X"), "X",IF(AND('Inserimento dati'!$B$3=$K$2, TabellaA1[[#This Row],[GIO]]="X"), "X", IF(AND('Inserimento dati'!$B$3=$L$2, TabellaA1[[#This Row],[VEN]]="X"), "X","")))))</f>
        <v/>
      </c>
      <c r="U262" s="139"/>
    </row>
    <row r="263" spans="1:21" ht="30" x14ac:dyDescent="0.25">
      <c r="A263" s="167"/>
      <c r="B263" s="167"/>
      <c r="C263" s="167" t="str">
        <f>IF(OR(TabellaA1[[#This Row],[LUN]]="X",TabellaA1[[#This Row],[MAR]]="X",TabellaA1[[#This Row],[MER]]="X",TabellaA1[[#This Row],[GIO]]="X",TabellaA1[[#This Row],[VEN]]="X",),"X","")</f>
        <v/>
      </c>
      <c r="D263" s="168" t="s">
        <v>143</v>
      </c>
      <c r="E263" s="170" t="s">
        <v>877</v>
      </c>
      <c r="F263" s="170">
        <v>400</v>
      </c>
      <c r="G263" s="170" t="s">
        <v>878</v>
      </c>
      <c r="H263" s="171"/>
      <c r="I263" s="171"/>
      <c r="J263" s="171"/>
      <c r="K263" s="171"/>
      <c r="L263" s="169"/>
      <c r="M263" s="129" t="s">
        <v>43</v>
      </c>
      <c r="N263" s="129"/>
      <c r="O263" s="172"/>
      <c r="P263" s="172"/>
      <c r="Q263" s="129" t="s">
        <v>879</v>
      </c>
      <c r="R263" s="129">
        <v>45929</v>
      </c>
      <c r="S263" s="129" t="s">
        <v>20</v>
      </c>
      <c r="T263" s="173" t="str">
        <f ca="1">IF(AND('Inserimento dati'!$B$3=$H$2, TabellaA1[[#This Row],[LUN]]="X"), "X",IF(AND('Inserimento dati'!$B$3=$I$2, TabellaA1[[#This Row],[MAR]]="X"), "X", IF(AND('Inserimento dati'!$B$3=$J$2, TabellaA1[[#This Row],[MER]]="X"), "X",IF(AND('Inserimento dati'!$B$3=$K$2, TabellaA1[[#This Row],[GIO]]="X"), "X", IF(AND('Inserimento dati'!$B$3=$L$2, TabellaA1[[#This Row],[VEN]]="X"), "X","")))))</f>
        <v/>
      </c>
      <c r="U263" s="139"/>
    </row>
    <row r="264" spans="1:21" ht="45" x14ac:dyDescent="0.25">
      <c r="A264" s="167"/>
      <c r="B264" s="167"/>
      <c r="C264" s="167" t="str">
        <f>IF(OR(TabellaA1[[#This Row],[LUN]]="X",TabellaA1[[#This Row],[MAR]]="X",TabellaA1[[#This Row],[MER]]="X",TabellaA1[[#This Row],[GIO]]="X",TabellaA1[[#This Row],[VEN]]="X",),"X","")</f>
        <v/>
      </c>
      <c r="D264" s="168" t="s">
        <v>143</v>
      </c>
      <c r="E264" s="170" t="s">
        <v>880</v>
      </c>
      <c r="F264" s="170">
        <v>400</v>
      </c>
      <c r="G264" s="170" t="s">
        <v>881</v>
      </c>
      <c r="H264" s="171"/>
      <c r="I264" s="171"/>
      <c r="J264" s="171"/>
      <c r="K264" s="171"/>
      <c r="L264" s="169"/>
      <c r="M264" s="129" t="s">
        <v>43</v>
      </c>
      <c r="N264" s="129"/>
      <c r="O264" s="172"/>
      <c r="P264" s="172"/>
      <c r="Q264" s="129"/>
      <c r="R264" s="129"/>
      <c r="S264" s="129"/>
      <c r="T264" s="173" t="str">
        <f ca="1">IF(AND('Inserimento dati'!$B$3=$H$2, TabellaA1[[#This Row],[LUN]]="X"), "X",IF(AND('Inserimento dati'!$B$3=$I$2, TabellaA1[[#This Row],[MAR]]="X"), "X", IF(AND('Inserimento dati'!$B$3=$J$2, TabellaA1[[#This Row],[MER]]="X"), "X",IF(AND('Inserimento dati'!$B$3=$K$2, TabellaA1[[#This Row],[GIO]]="X"), "X", IF(AND('Inserimento dati'!$B$3=$L$2, TabellaA1[[#This Row],[VEN]]="X"), "X","")))))</f>
        <v/>
      </c>
      <c r="U264" s="139"/>
    </row>
    <row r="265" spans="1:21" ht="30" x14ac:dyDescent="0.25">
      <c r="A265" s="167"/>
      <c r="B265" s="167"/>
      <c r="C265" s="167" t="str">
        <f>IF(OR(TabellaA1[[#This Row],[LUN]]="X",TabellaA1[[#This Row],[MAR]]="X",TabellaA1[[#This Row],[MER]]="X",TabellaA1[[#This Row],[GIO]]="X",TabellaA1[[#This Row],[VEN]]="X",),"X","")</f>
        <v/>
      </c>
      <c r="D265" s="168" t="s">
        <v>143</v>
      </c>
      <c r="E265" s="170" t="s">
        <v>882</v>
      </c>
      <c r="F265" s="170">
        <v>400</v>
      </c>
      <c r="G265" s="170" t="s">
        <v>883</v>
      </c>
      <c r="H265" s="171"/>
      <c r="I265" s="171"/>
      <c r="J265" s="171"/>
      <c r="K265" s="171"/>
      <c r="L265" s="169"/>
      <c r="M265" s="129" t="s">
        <v>43</v>
      </c>
      <c r="N265" s="129"/>
      <c r="O265" s="172"/>
      <c r="P265" s="172"/>
      <c r="Q265" s="129" t="s">
        <v>884</v>
      </c>
      <c r="R265" s="129">
        <v>45929</v>
      </c>
      <c r="S265" s="129" t="s">
        <v>20</v>
      </c>
      <c r="T265" s="173" t="str">
        <f ca="1">IF(AND('Inserimento dati'!$B$3=$H$2, TabellaA1[[#This Row],[LUN]]="X"), "X",IF(AND('Inserimento dati'!$B$3=$I$2, TabellaA1[[#This Row],[MAR]]="X"), "X", IF(AND('Inserimento dati'!$B$3=$J$2, TabellaA1[[#This Row],[MER]]="X"), "X",IF(AND('Inserimento dati'!$B$3=$K$2, TabellaA1[[#This Row],[GIO]]="X"), "X", IF(AND('Inserimento dati'!$B$3=$L$2, TabellaA1[[#This Row],[VEN]]="X"), "X","")))))</f>
        <v/>
      </c>
      <c r="U265" s="139"/>
    </row>
    <row r="266" spans="1:21" ht="30" x14ac:dyDescent="0.25">
      <c r="A266" s="167"/>
      <c r="B266" s="167"/>
      <c r="C266" s="167" t="str">
        <f>IF(OR(TabellaA1[[#This Row],[LUN]]="X",TabellaA1[[#This Row],[MAR]]="X",TabellaA1[[#This Row],[MER]]="X",TabellaA1[[#This Row],[GIO]]="X",TabellaA1[[#This Row],[VEN]]="X",),"X","")</f>
        <v/>
      </c>
      <c r="D266" s="168" t="s">
        <v>143</v>
      </c>
      <c r="E266" s="170" t="s">
        <v>885</v>
      </c>
      <c r="F266" s="170">
        <v>900</v>
      </c>
      <c r="G266" s="170" t="s">
        <v>886</v>
      </c>
      <c r="H266" s="171"/>
      <c r="I266" s="171"/>
      <c r="J266" s="171"/>
      <c r="K266" s="171"/>
      <c r="L266" s="169"/>
      <c r="M266" s="129" t="s">
        <v>43</v>
      </c>
      <c r="N266" s="129"/>
      <c r="O266" s="172" t="s">
        <v>8</v>
      </c>
      <c r="P266" s="172"/>
      <c r="Q266" s="129" t="s">
        <v>887</v>
      </c>
      <c r="R266" s="129"/>
      <c r="S266" s="129"/>
      <c r="T266" s="173" t="str">
        <f ca="1">IF(AND('Inserimento dati'!$B$3=$H$2, TabellaA1[[#This Row],[LUN]]="X"), "X",IF(AND('Inserimento dati'!$B$3=$I$2, TabellaA1[[#This Row],[MAR]]="X"), "X", IF(AND('Inserimento dati'!$B$3=$J$2, TabellaA1[[#This Row],[MER]]="X"), "X",IF(AND('Inserimento dati'!$B$3=$K$2, TabellaA1[[#This Row],[GIO]]="X"), "X", IF(AND('Inserimento dati'!$B$3=$L$2, TabellaA1[[#This Row],[VEN]]="X"), "X","")))))</f>
        <v/>
      </c>
      <c r="U266" s="139"/>
    </row>
    <row r="267" spans="1:21" ht="30" x14ac:dyDescent="0.25">
      <c r="A267" s="167"/>
      <c r="B267" s="167"/>
      <c r="C267" s="167" t="str">
        <f>IF(OR(TabellaA1[[#This Row],[LUN]]="X",TabellaA1[[#This Row],[MAR]]="X",TabellaA1[[#This Row],[MER]]="X",TabellaA1[[#This Row],[GIO]]="X",TabellaA1[[#This Row],[VEN]]="X",),"X","")</f>
        <v/>
      </c>
      <c r="D267" s="168" t="s">
        <v>143</v>
      </c>
      <c r="E267" s="170" t="s">
        <v>888</v>
      </c>
      <c r="F267" s="170">
        <v>200</v>
      </c>
      <c r="G267" s="170" t="s">
        <v>889</v>
      </c>
      <c r="H267" s="171"/>
      <c r="I267" s="171"/>
      <c r="J267" s="171"/>
      <c r="K267" s="171"/>
      <c r="L267" s="169"/>
      <c r="M267" s="129" t="s">
        <v>43</v>
      </c>
      <c r="N267" s="129"/>
      <c r="O267" s="172"/>
      <c r="P267" s="172"/>
      <c r="Q267" s="129" t="s">
        <v>890</v>
      </c>
      <c r="R267" s="129">
        <v>45929</v>
      </c>
      <c r="S267" s="129" t="s">
        <v>20</v>
      </c>
      <c r="T267" s="173" t="str">
        <f ca="1">IF(AND('Inserimento dati'!$B$3=$H$2, TabellaA1[[#This Row],[LUN]]="X"), "X",IF(AND('Inserimento dati'!$B$3=$I$2, TabellaA1[[#This Row],[MAR]]="X"), "X", IF(AND('Inserimento dati'!$B$3=$J$2, TabellaA1[[#This Row],[MER]]="X"), "X",IF(AND('Inserimento dati'!$B$3=$K$2, TabellaA1[[#This Row],[GIO]]="X"), "X", IF(AND('Inserimento dati'!$B$3=$L$2, TabellaA1[[#This Row],[VEN]]="X"), "X","")))))</f>
        <v/>
      </c>
      <c r="U267" s="139"/>
    </row>
    <row r="268" spans="1:21" ht="30" x14ac:dyDescent="0.25">
      <c r="A268" s="167"/>
      <c r="B268" s="167"/>
      <c r="C268" s="167" t="str">
        <f>IF(OR(TabellaA1[[#This Row],[LUN]]="X",TabellaA1[[#This Row],[MAR]]="X",TabellaA1[[#This Row],[MER]]="X",TabellaA1[[#This Row],[GIO]]="X",TabellaA1[[#This Row],[VEN]]="X",),"X","")</f>
        <v/>
      </c>
      <c r="D268" s="168" t="s">
        <v>143</v>
      </c>
      <c r="E268" s="170" t="s">
        <v>891</v>
      </c>
      <c r="F268" s="170">
        <v>400</v>
      </c>
      <c r="G268" s="170" t="s">
        <v>892</v>
      </c>
      <c r="H268" s="171"/>
      <c r="I268" s="171"/>
      <c r="J268" s="171"/>
      <c r="K268" s="171"/>
      <c r="L268" s="169"/>
      <c r="M268" s="129" t="s">
        <v>43</v>
      </c>
      <c r="N268" s="129"/>
      <c r="O268" s="172"/>
      <c r="P268" s="172"/>
      <c r="Q268" s="129" t="s">
        <v>893</v>
      </c>
      <c r="R268" s="129">
        <v>45944</v>
      </c>
      <c r="S268" s="129" t="s">
        <v>20</v>
      </c>
      <c r="T268" s="173" t="str">
        <f ca="1">IF(AND('Inserimento dati'!$B$3=$H$2, TabellaA1[[#This Row],[LUN]]="X"), "X",IF(AND('Inserimento dati'!$B$3=$I$2, TabellaA1[[#This Row],[MAR]]="X"), "X", IF(AND('Inserimento dati'!$B$3=$J$2, TabellaA1[[#This Row],[MER]]="X"), "X",IF(AND('Inserimento dati'!$B$3=$K$2, TabellaA1[[#This Row],[GIO]]="X"), "X", IF(AND('Inserimento dati'!$B$3=$L$2, TabellaA1[[#This Row],[VEN]]="X"), "X","")))))</f>
        <v/>
      </c>
      <c r="U268" s="139"/>
    </row>
    <row r="269" spans="1:21" ht="30" x14ac:dyDescent="0.25">
      <c r="A269" s="167"/>
      <c r="B269" s="167"/>
      <c r="C269" s="167" t="str">
        <f>IF(OR(TabellaA1[[#This Row],[LUN]]="X",TabellaA1[[#This Row],[MAR]]="X",TabellaA1[[#This Row],[MER]]="X",TabellaA1[[#This Row],[GIO]]="X",TabellaA1[[#This Row],[VEN]]="X",),"X","")</f>
        <v/>
      </c>
      <c r="D269" s="168" t="s">
        <v>143</v>
      </c>
      <c r="E269" s="170" t="s">
        <v>894</v>
      </c>
      <c r="F269" s="170">
        <v>100</v>
      </c>
      <c r="G269" s="170" t="s">
        <v>895</v>
      </c>
      <c r="H269" s="171"/>
      <c r="I269" s="171"/>
      <c r="J269" s="171"/>
      <c r="K269" s="171"/>
      <c r="L269" s="169"/>
      <c r="M269" s="129" t="s">
        <v>43</v>
      </c>
      <c r="N269" s="129"/>
      <c r="O269" s="172"/>
      <c r="P269" s="172"/>
      <c r="Q269" s="129" t="s">
        <v>896</v>
      </c>
      <c r="R269" s="129">
        <v>45944</v>
      </c>
      <c r="S269" s="129" t="s">
        <v>897</v>
      </c>
      <c r="T269" s="173" t="str">
        <f ca="1">IF(AND('Inserimento dati'!$B$3=$H$2, TabellaA1[[#This Row],[LUN]]="X"), "X",IF(AND('Inserimento dati'!$B$3=$I$2, TabellaA1[[#This Row],[MAR]]="X"), "X", IF(AND('Inserimento dati'!$B$3=$J$2, TabellaA1[[#This Row],[MER]]="X"), "X",IF(AND('Inserimento dati'!$B$3=$K$2, TabellaA1[[#This Row],[GIO]]="X"), "X", IF(AND('Inserimento dati'!$B$3=$L$2, TabellaA1[[#This Row],[VEN]]="X"), "X","")))))</f>
        <v/>
      </c>
      <c r="U269" s="139"/>
    </row>
    <row r="270" spans="1:21" ht="30" x14ac:dyDescent="0.25">
      <c r="A270" s="167"/>
      <c r="B270" s="167"/>
      <c r="C270" s="167" t="str">
        <f>IF(OR(TabellaA1[[#This Row],[LUN]]="X",TabellaA1[[#This Row],[MAR]]="X",TabellaA1[[#This Row],[MER]]="X",TabellaA1[[#This Row],[GIO]]="X",TabellaA1[[#This Row],[VEN]]="X",),"X","")</f>
        <v/>
      </c>
      <c r="D270" s="168" t="s">
        <v>143</v>
      </c>
      <c r="E270" s="170" t="s">
        <v>898</v>
      </c>
      <c r="F270" s="170">
        <v>200</v>
      </c>
      <c r="G270" s="170" t="s">
        <v>899</v>
      </c>
      <c r="H270" s="171"/>
      <c r="I270" s="171"/>
      <c r="J270" s="171"/>
      <c r="K270" s="171"/>
      <c r="L270" s="169"/>
      <c r="M270" s="129" t="s">
        <v>43</v>
      </c>
      <c r="N270" s="129"/>
      <c r="O270" s="172"/>
      <c r="P270" s="172"/>
      <c r="Q270" s="129"/>
      <c r="R270" s="129"/>
      <c r="S270" s="129"/>
      <c r="T270" s="173" t="str">
        <f ca="1">IF(AND('Inserimento dati'!$B$3=$H$2, TabellaA1[[#This Row],[LUN]]="X"), "X",IF(AND('Inserimento dati'!$B$3=$I$2, TabellaA1[[#This Row],[MAR]]="X"), "X", IF(AND('Inserimento dati'!$B$3=$J$2, TabellaA1[[#This Row],[MER]]="X"), "X",IF(AND('Inserimento dati'!$B$3=$K$2, TabellaA1[[#This Row],[GIO]]="X"), "X", IF(AND('Inserimento dati'!$B$3=$L$2, TabellaA1[[#This Row],[VEN]]="X"), "X","")))))</f>
        <v/>
      </c>
      <c r="U270" s="139"/>
    </row>
    <row r="271" spans="1:21" ht="30" x14ac:dyDescent="0.25">
      <c r="A271" s="167"/>
      <c r="B271" s="167"/>
      <c r="C271" s="167" t="str">
        <f>IF(OR(TabellaA1[[#This Row],[LUN]]="X",TabellaA1[[#This Row],[MAR]]="X",TabellaA1[[#This Row],[MER]]="X",TabellaA1[[#This Row],[GIO]]="X",TabellaA1[[#This Row],[VEN]]="X",),"X","")</f>
        <v>X</v>
      </c>
      <c r="D271" s="168" t="s">
        <v>143</v>
      </c>
      <c r="E271" s="170" t="s">
        <v>900</v>
      </c>
      <c r="F271" s="170">
        <v>200</v>
      </c>
      <c r="G271" s="170" t="s">
        <v>901</v>
      </c>
      <c r="H271" s="171" t="s">
        <v>8</v>
      </c>
      <c r="I271" s="171" t="s">
        <v>8</v>
      </c>
      <c r="J271" s="171" t="s">
        <v>8</v>
      </c>
      <c r="K271" s="171" t="s">
        <v>8</v>
      </c>
      <c r="L271" s="169"/>
      <c r="M271" s="129" t="s">
        <v>43</v>
      </c>
      <c r="N271" s="129"/>
      <c r="O271" s="172"/>
      <c r="P271" s="172"/>
      <c r="Q271" s="129"/>
      <c r="R271" s="129"/>
      <c r="S271" s="129"/>
      <c r="T271" s="173" t="str">
        <f ca="1">IF(AND('Inserimento dati'!$B$3=$H$2, TabellaA1[[#This Row],[LUN]]="X"), "X",IF(AND('Inserimento dati'!$B$3=$I$2, TabellaA1[[#This Row],[MAR]]="X"), "X", IF(AND('Inserimento dati'!$B$3=$J$2, TabellaA1[[#This Row],[MER]]="X"), "X",IF(AND('Inserimento dati'!$B$3=$K$2, TabellaA1[[#This Row],[GIO]]="X"), "X", IF(AND('Inserimento dati'!$B$3=$L$2, TabellaA1[[#This Row],[VEN]]="X"), "X","")))))</f>
        <v/>
      </c>
      <c r="U271" s="139"/>
    </row>
    <row r="272" spans="1:21" ht="30" x14ac:dyDescent="0.25">
      <c r="A272" s="167"/>
      <c r="B272" s="167"/>
      <c r="C272" s="167" t="str">
        <f>IF(OR(TabellaA1[[#This Row],[LUN]]="X",TabellaA1[[#This Row],[MAR]]="X",TabellaA1[[#This Row],[MER]]="X",TabellaA1[[#This Row],[GIO]]="X",TabellaA1[[#This Row],[VEN]]="X",),"X","")</f>
        <v>X</v>
      </c>
      <c r="D272" s="168" t="s">
        <v>143</v>
      </c>
      <c r="E272" s="170" t="s">
        <v>902</v>
      </c>
      <c r="F272" s="170">
        <v>200</v>
      </c>
      <c r="G272" s="170" t="s">
        <v>903</v>
      </c>
      <c r="H272" s="171" t="s">
        <v>8</v>
      </c>
      <c r="I272" s="171" t="s">
        <v>8</v>
      </c>
      <c r="J272" s="171" t="s">
        <v>8</v>
      </c>
      <c r="K272" s="171" t="s">
        <v>8</v>
      </c>
      <c r="L272" s="169"/>
      <c r="M272" s="129" t="s">
        <v>43</v>
      </c>
      <c r="N272" s="129"/>
      <c r="O272" s="172"/>
      <c r="P272" s="172"/>
      <c r="Q272" s="129"/>
      <c r="R272" s="129"/>
      <c r="S272" s="129"/>
      <c r="T272" s="173" t="str">
        <f ca="1">IF(AND('Inserimento dati'!$B$3=$H$2, TabellaA1[[#This Row],[LUN]]="X"), "X",IF(AND('Inserimento dati'!$B$3=$I$2, TabellaA1[[#This Row],[MAR]]="X"), "X", IF(AND('Inserimento dati'!$B$3=$J$2, TabellaA1[[#This Row],[MER]]="X"), "X",IF(AND('Inserimento dati'!$B$3=$K$2, TabellaA1[[#This Row],[GIO]]="X"), "X", IF(AND('Inserimento dati'!$B$3=$L$2, TabellaA1[[#This Row],[VEN]]="X"), "X","")))))</f>
        <v/>
      </c>
      <c r="U272" s="139"/>
    </row>
    <row r="273" spans="1:21" ht="60" x14ac:dyDescent="0.25">
      <c r="A273" s="167"/>
      <c r="B273" s="167"/>
      <c r="C273" s="167" t="str">
        <f>IF(OR(TabellaA1[[#This Row],[LUN]]="X",TabellaA1[[#This Row],[MAR]]="X",TabellaA1[[#This Row],[MER]]="X",TabellaA1[[#This Row],[GIO]]="X",TabellaA1[[#This Row],[VEN]]="X",),"X","")</f>
        <v/>
      </c>
      <c r="D273" s="168" t="s">
        <v>143</v>
      </c>
      <c r="E273" s="170" t="s">
        <v>908</v>
      </c>
      <c r="F273" s="170">
        <v>100</v>
      </c>
      <c r="G273" s="170" t="s">
        <v>909</v>
      </c>
      <c r="H273" s="171"/>
      <c r="I273" s="171"/>
      <c r="J273" s="171"/>
      <c r="K273" s="171"/>
      <c r="L273" s="169"/>
      <c r="M273" s="129" t="s">
        <v>43</v>
      </c>
      <c r="N273" s="129"/>
      <c r="O273" s="172"/>
      <c r="P273" s="172"/>
      <c r="Q273" s="129" t="s">
        <v>910</v>
      </c>
      <c r="R273" s="129">
        <v>45945</v>
      </c>
      <c r="S273" s="129" t="s">
        <v>45</v>
      </c>
      <c r="T273" s="173" t="str">
        <f ca="1">IF(AND('Inserimento dati'!$B$3=$H$2, TabellaA1[[#This Row],[LUN]]="X"), "X",IF(AND('Inserimento dati'!$B$3=$I$2, TabellaA1[[#This Row],[MAR]]="X"), "X", IF(AND('Inserimento dati'!$B$3=$J$2, TabellaA1[[#This Row],[MER]]="X"), "X",IF(AND('Inserimento dati'!$B$3=$K$2, TabellaA1[[#This Row],[GIO]]="X"), "X", IF(AND('Inserimento dati'!$B$3=$L$2, TabellaA1[[#This Row],[VEN]]="X"), "X","")))))</f>
        <v/>
      </c>
      <c r="U273" s="139"/>
    </row>
    <row r="274" spans="1:21" ht="30" x14ac:dyDescent="0.25">
      <c r="A274" s="84"/>
      <c r="B274" s="84"/>
      <c r="C274" s="84" t="str">
        <f>IF(OR(TabellaA1[[#This Row],[LUN]]="X",TabellaA1[[#This Row],[MAR]]="X",TabellaA1[[#This Row],[MER]]="X",TabellaA1[[#This Row],[GIO]]="X",TabellaA1[[#This Row],[VEN]]="X",),"X","")</f>
        <v/>
      </c>
      <c r="D274" s="85" t="s">
        <v>143</v>
      </c>
      <c r="E274" s="81" t="s">
        <v>3519</v>
      </c>
      <c r="F274" s="81">
        <v>400</v>
      </c>
      <c r="G274" s="81" t="s">
        <v>3520</v>
      </c>
      <c r="H274" s="83"/>
      <c r="I274" s="83"/>
      <c r="J274" s="83"/>
      <c r="K274" s="83"/>
      <c r="L274" s="83"/>
      <c r="M274" s="81" t="s">
        <v>43</v>
      </c>
      <c r="N274" s="82"/>
      <c r="O274" s="103"/>
      <c r="P274" s="103"/>
      <c r="Q274" s="82"/>
      <c r="R274" s="82"/>
      <c r="S274" s="82"/>
      <c r="T274" s="132" t="str">
        <f ca="1">IF(AND('Inserimento dati'!$B$3=$H$2, TabellaA1[[#This Row],[LUN]]="X"), "X",IF(AND('Inserimento dati'!$B$3=$I$2, TabellaA1[[#This Row],[MAR]]="X"), "X", IF(AND('Inserimento dati'!$B$3=$J$2, TabellaA1[[#This Row],[MER]]="X"), "X",IF(AND('Inserimento dati'!$B$3=$K$2, TabellaA1[[#This Row],[GIO]]="X"), "X", IF(AND('Inserimento dati'!$B$3=$L$2, TabellaA1[[#This Row],[VEN]]="X"), "X","")))))</f>
        <v/>
      </c>
      <c r="U274" s="66"/>
    </row>
    <row r="275" spans="1:21" ht="30" x14ac:dyDescent="0.25">
      <c r="A275" s="167"/>
      <c r="B275" s="167"/>
      <c r="C275" s="167" t="str">
        <f>IF(OR(TabellaA1[[#This Row],[LUN]]="X",TabellaA1[[#This Row],[MAR]]="X",TabellaA1[[#This Row],[MER]]="X",TabellaA1[[#This Row],[GIO]]="X",TabellaA1[[#This Row],[VEN]]="X",),"X","")</f>
        <v>X</v>
      </c>
      <c r="D275" s="168" t="s">
        <v>143</v>
      </c>
      <c r="E275" s="170" t="s">
        <v>904</v>
      </c>
      <c r="F275" s="170">
        <v>100</v>
      </c>
      <c r="G275" s="170" t="s">
        <v>905</v>
      </c>
      <c r="H275" s="171"/>
      <c r="I275" s="171"/>
      <c r="J275" s="171"/>
      <c r="K275" s="171"/>
      <c r="L275" s="169" t="s">
        <v>8</v>
      </c>
      <c r="M275" s="129" t="s">
        <v>121</v>
      </c>
      <c r="N275" s="129"/>
      <c r="O275" s="172"/>
      <c r="P275" s="172"/>
      <c r="Q275" s="129" t="s">
        <v>906</v>
      </c>
      <c r="R275" s="129">
        <v>45952</v>
      </c>
      <c r="S275" s="129" t="s">
        <v>20</v>
      </c>
      <c r="T275" s="173" t="str">
        <f ca="1">IF(AND('Inserimento dati'!$B$3=$H$2, TabellaA1[[#This Row],[LUN]]="X"), "X",IF(AND('Inserimento dati'!$B$3=$I$2, TabellaA1[[#This Row],[MAR]]="X"), "X", IF(AND('Inserimento dati'!$B$3=$J$2, TabellaA1[[#This Row],[MER]]="X"), "X",IF(AND('Inserimento dati'!$B$3=$K$2, TabellaA1[[#This Row],[GIO]]="X"), "X", IF(AND('Inserimento dati'!$B$3=$L$2, TabellaA1[[#This Row],[VEN]]="X"), "X","")))))</f>
        <v/>
      </c>
      <c r="U275" s="139" t="str">
        <f ca="1">IFERROR(MID(G275,_xlfn.AGGREGATE(15,6,(ROW(INDIRECT("1:"&amp;LEN(G275)-7)))/(ISNUMBER(--MID(G275,ROW(INDIRECT("1:"&amp;LEN(G275)-7)),8))),1),8),"")</f>
        <v/>
      </c>
    </row>
    <row r="276" spans="1:21" ht="30" x14ac:dyDescent="0.25">
      <c r="A276" s="167"/>
      <c r="B276" s="167"/>
      <c r="C276" s="167" t="str">
        <f>IF(OR(TabellaA1[[#This Row],[LUN]]="X",TabellaA1[[#This Row],[MAR]]="X",TabellaA1[[#This Row],[MER]]="X",TabellaA1[[#This Row],[GIO]]="X",TabellaA1[[#This Row],[VEN]]="X",),"X","")</f>
        <v>X</v>
      </c>
      <c r="D276" s="168" t="s">
        <v>143</v>
      </c>
      <c r="E276" s="170" t="s">
        <v>181</v>
      </c>
      <c r="F276" s="170">
        <v>100</v>
      </c>
      <c r="G276" s="170" t="s">
        <v>182</v>
      </c>
      <c r="H276" s="171" t="s">
        <v>8</v>
      </c>
      <c r="I276" s="171" t="s">
        <v>8</v>
      </c>
      <c r="J276" s="171" t="s">
        <v>8</v>
      </c>
      <c r="K276" s="171" t="s">
        <v>8</v>
      </c>
      <c r="L276" s="169" t="s">
        <v>8</v>
      </c>
      <c r="M276" s="129" t="s">
        <v>51</v>
      </c>
      <c r="N276" s="129"/>
      <c r="O276" s="172"/>
      <c r="P276" s="172"/>
      <c r="Q276" s="129" t="s">
        <v>907</v>
      </c>
      <c r="R276" s="129"/>
      <c r="S276" s="129"/>
      <c r="T276" s="173" t="str">
        <f ca="1">IF(AND('Inserimento dati'!$B$3=$H$2, TabellaA1[[#This Row],[LUN]]="X"), "X",IF(AND('Inserimento dati'!$B$3=$I$2, TabellaA1[[#This Row],[MAR]]="X"), "X", IF(AND('Inserimento dati'!$B$3=$J$2, TabellaA1[[#This Row],[MER]]="X"), "X",IF(AND('Inserimento dati'!$B$3=$K$2, TabellaA1[[#This Row],[GIO]]="X"), "X", IF(AND('Inserimento dati'!$B$3=$L$2, TabellaA1[[#This Row],[VEN]]="X"), "X","")))))</f>
        <v/>
      </c>
      <c r="U276" s="139"/>
    </row>
    <row r="277" spans="1:21" ht="23.25" x14ac:dyDescent="0.25">
      <c r="A277" s="167"/>
      <c r="B277" s="167"/>
      <c r="C277" s="167" t="str">
        <f>IF(OR(TabellaA1[[#This Row],[LUN]]="X",TabellaA1[[#This Row],[MAR]]="X",TabellaA1[[#This Row],[MER]]="X",TabellaA1[[#This Row],[GIO]]="X",TabellaA1[[#This Row],[VEN]]="X",),"X","")</f>
        <v/>
      </c>
      <c r="D277" s="168" t="s">
        <v>143</v>
      </c>
      <c r="E277" s="170" t="s">
        <v>911</v>
      </c>
      <c r="F277" s="170">
        <v>400</v>
      </c>
      <c r="G277" s="170" t="s">
        <v>912</v>
      </c>
      <c r="H277" s="171"/>
      <c r="I277" s="171"/>
      <c r="J277" s="171"/>
      <c r="K277" s="171"/>
      <c r="L277" s="169"/>
      <c r="M277" s="129" t="s">
        <v>51</v>
      </c>
      <c r="N277" s="129"/>
      <c r="O277" s="172"/>
      <c r="P277" s="172"/>
      <c r="Q277" s="129" t="s">
        <v>913</v>
      </c>
      <c r="R277" s="129">
        <v>45943</v>
      </c>
      <c r="S277" s="129" t="s">
        <v>23</v>
      </c>
      <c r="T277" s="173" t="str">
        <f ca="1">IF(AND('Inserimento dati'!$B$3=$H$2, TabellaA1[[#This Row],[LUN]]="X"), "X",IF(AND('Inserimento dati'!$B$3=$I$2, TabellaA1[[#This Row],[MAR]]="X"), "X", IF(AND('Inserimento dati'!$B$3=$J$2, TabellaA1[[#This Row],[MER]]="X"), "X",IF(AND('Inserimento dati'!$B$3=$K$2, TabellaA1[[#This Row],[GIO]]="X"), "X", IF(AND('Inserimento dati'!$B$3=$L$2, TabellaA1[[#This Row],[VEN]]="X"), "X","")))))</f>
        <v/>
      </c>
      <c r="U277" s="139"/>
    </row>
    <row r="278" spans="1:21" ht="30" x14ac:dyDescent="0.25">
      <c r="A278" s="167"/>
      <c r="B278" s="167"/>
      <c r="C278" s="167" t="str">
        <f>IF(OR(TabellaA1[[#This Row],[LUN]]="X",TabellaA1[[#This Row],[MAR]]="X",TabellaA1[[#This Row],[MER]]="X",TabellaA1[[#This Row],[GIO]]="X",TabellaA1[[#This Row],[VEN]]="X",),"X","")</f>
        <v/>
      </c>
      <c r="D278" s="168" t="s">
        <v>143</v>
      </c>
      <c r="E278" s="170" t="s">
        <v>914</v>
      </c>
      <c r="F278" s="170">
        <v>200</v>
      </c>
      <c r="G278" s="170" t="s">
        <v>915</v>
      </c>
      <c r="H278" s="171"/>
      <c r="I278" s="171"/>
      <c r="J278" s="171"/>
      <c r="K278" s="171"/>
      <c r="L278" s="169"/>
      <c r="M278" s="129" t="s">
        <v>51</v>
      </c>
      <c r="N278" s="129"/>
      <c r="O278" s="172"/>
      <c r="P278" s="172"/>
      <c r="Q278" s="129" t="s">
        <v>916</v>
      </c>
      <c r="R278" s="129">
        <v>45939</v>
      </c>
      <c r="S278" s="129"/>
      <c r="T278" s="173" t="str">
        <f ca="1">IF(AND('Inserimento dati'!$B$3=$H$2, TabellaA1[[#This Row],[LUN]]="X"), "X",IF(AND('Inserimento dati'!$B$3=$I$2, TabellaA1[[#This Row],[MAR]]="X"), "X", IF(AND('Inserimento dati'!$B$3=$J$2, TabellaA1[[#This Row],[MER]]="X"), "X",IF(AND('Inserimento dati'!$B$3=$K$2, TabellaA1[[#This Row],[GIO]]="X"), "X", IF(AND('Inserimento dati'!$B$3=$L$2, TabellaA1[[#This Row],[VEN]]="X"), "X","")))))</f>
        <v/>
      </c>
      <c r="U278" s="139"/>
    </row>
    <row r="279" spans="1:21" ht="23.25" x14ac:dyDescent="0.25">
      <c r="A279" s="167"/>
      <c r="B279" s="167"/>
      <c r="C279" s="167" t="str">
        <f>IF(OR(TabellaA1[[#This Row],[LUN]]="X",TabellaA1[[#This Row],[MAR]]="X",TabellaA1[[#This Row],[MER]]="X",TabellaA1[[#This Row],[GIO]]="X",TabellaA1[[#This Row],[VEN]]="X",),"X","")</f>
        <v/>
      </c>
      <c r="D279" s="168" t="s">
        <v>143</v>
      </c>
      <c r="E279" s="170" t="s">
        <v>917</v>
      </c>
      <c r="F279" s="170" t="s">
        <v>262</v>
      </c>
      <c r="G279" s="170" t="s">
        <v>918</v>
      </c>
      <c r="H279" s="171"/>
      <c r="I279" s="171"/>
      <c r="J279" s="171"/>
      <c r="K279" s="171"/>
      <c r="L279" s="169"/>
      <c r="M279" s="129" t="s">
        <v>51</v>
      </c>
      <c r="N279" s="129"/>
      <c r="O279" s="172"/>
      <c r="P279" s="172"/>
      <c r="Q279" s="129" t="s">
        <v>919</v>
      </c>
      <c r="R279" s="129">
        <v>45939</v>
      </c>
      <c r="S279" s="129"/>
      <c r="T279" s="173" t="str">
        <f ca="1">IF(AND('Inserimento dati'!$B$3=$H$2, TabellaA1[[#This Row],[LUN]]="X"), "X",IF(AND('Inserimento dati'!$B$3=$I$2, TabellaA1[[#This Row],[MAR]]="X"), "X", IF(AND('Inserimento dati'!$B$3=$J$2, TabellaA1[[#This Row],[MER]]="X"), "X",IF(AND('Inserimento dati'!$B$3=$K$2, TabellaA1[[#This Row],[GIO]]="X"), "X", IF(AND('Inserimento dati'!$B$3=$L$2, TabellaA1[[#This Row],[VEN]]="X"), "X","")))))</f>
        <v/>
      </c>
      <c r="U279" s="139"/>
    </row>
    <row r="280" spans="1:21" ht="60" x14ac:dyDescent="0.25">
      <c r="A280" s="167"/>
      <c r="B280" s="167"/>
      <c r="C280" s="167" t="str">
        <f>IF(OR(TabellaA1[[#This Row],[LUN]]="X",TabellaA1[[#This Row],[MAR]]="X",TabellaA1[[#This Row],[MER]]="X",TabellaA1[[#This Row],[GIO]]="X",TabellaA1[[#This Row],[VEN]]="X",),"X","")</f>
        <v/>
      </c>
      <c r="D280" s="168" t="s">
        <v>143</v>
      </c>
      <c r="E280" s="170" t="s">
        <v>920</v>
      </c>
      <c r="F280" s="170">
        <v>400</v>
      </c>
      <c r="G280" s="170" t="s">
        <v>921</v>
      </c>
      <c r="H280" s="171"/>
      <c r="I280" s="171"/>
      <c r="J280" s="171"/>
      <c r="K280" s="171"/>
      <c r="L280" s="169"/>
      <c r="M280" s="129" t="s">
        <v>51</v>
      </c>
      <c r="N280" s="129"/>
      <c r="O280" s="172"/>
      <c r="P280" s="172"/>
      <c r="Q280" s="129" t="s">
        <v>922</v>
      </c>
      <c r="R280" s="129">
        <v>45939</v>
      </c>
      <c r="S280" s="129"/>
      <c r="T280" s="173" t="str">
        <f ca="1">IF(AND('Inserimento dati'!$B$3=$H$2, TabellaA1[[#This Row],[LUN]]="X"), "X",IF(AND('Inserimento dati'!$B$3=$I$2, TabellaA1[[#This Row],[MAR]]="X"), "X", IF(AND('Inserimento dati'!$B$3=$J$2, TabellaA1[[#This Row],[MER]]="X"), "X",IF(AND('Inserimento dati'!$B$3=$K$2, TabellaA1[[#This Row],[GIO]]="X"), "X", IF(AND('Inserimento dati'!$B$3=$L$2, TabellaA1[[#This Row],[VEN]]="X"), "X","")))))</f>
        <v/>
      </c>
      <c r="U280" s="139"/>
    </row>
    <row r="281" spans="1:21" ht="30" x14ac:dyDescent="0.25">
      <c r="A281" s="167"/>
      <c r="B281" s="167"/>
      <c r="C281" s="167" t="str">
        <f>IF(OR(TabellaA1[[#This Row],[LUN]]="X",TabellaA1[[#This Row],[MAR]]="X",TabellaA1[[#This Row],[MER]]="X",TabellaA1[[#This Row],[GIO]]="X",TabellaA1[[#This Row],[VEN]]="X",),"X","")</f>
        <v/>
      </c>
      <c r="D281" s="168" t="s">
        <v>143</v>
      </c>
      <c r="E281" s="170" t="s">
        <v>923</v>
      </c>
      <c r="F281" s="170">
        <v>200</v>
      </c>
      <c r="G281" s="170" t="s">
        <v>924</v>
      </c>
      <c r="H281" s="171"/>
      <c r="I281" s="171"/>
      <c r="J281" s="171"/>
      <c r="K281" s="171"/>
      <c r="L281" s="169"/>
      <c r="M281" s="129" t="s">
        <v>51</v>
      </c>
      <c r="N281" s="129"/>
      <c r="O281" s="172"/>
      <c r="P281" s="172"/>
      <c r="Q281" s="129" t="s">
        <v>925</v>
      </c>
      <c r="R281" s="129">
        <v>45937</v>
      </c>
      <c r="S281" s="129" t="s">
        <v>926</v>
      </c>
      <c r="T281" s="173" t="str">
        <f ca="1">IF(AND('Inserimento dati'!$B$3=$H$2, TabellaA1[[#This Row],[LUN]]="X"), "X",IF(AND('Inserimento dati'!$B$3=$I$2, TabellaA1[[#This Row],[MAR]]="X"), "X", IF(AND('Inserimento dati'!$B$3=$J$2, TabellaA1[[#This Row],[MER]]="X"), "X",IF(AND('Inserimento dati'!$B$3=$K$2, TabellaA1[[#This Row],[GIO]]="X"), "X", IF(AND('Inserimento dati'!$B$3=$L$2, TabellaA1[[#This Row],[VEN]]="X"), "X","")))))</f>
        <v/>
      </c>
      <c r="U281" s="139"/>
    </row>
    <row r="282" spans="1:21" ht="30" x14ac:dyDescent="0.25">
      <c r="A282" s="167"/>
      <c r="B282" s="167"/>
      <c r="C282" s="167" t="str">
        <f>IF(OR(TabellaA1[[#This Row],[LUN]]="X",TabellaA1[[#This Row],[MAR]]="X",TabellaA1[[#This Row],[MER]]="X",TabellaA1[[#This Row],[GIO]]="X",TabellaA1[[#This Row],[VEN]]="X",),"X","")</f>
        <v/>
      </c>
      <c r="D282" s="168" t="s">
        <v>143</v>
      </c>
      <c r="E282" s="170" t="s">
        <v>927</v>
      </c>
      <c r="F282" s="170">
        <v>100</v>
      </c>
      <c r="G282" s="170" t="s">
        <v>928</v>
      </c>
      <c r="H282" s="171"/>
      <c r="I282" s="171"/>
      <c r="J282" s="171"/>
      <c r="K282" s="171"/>
      <c r="L282" s="169"/>
      <c r="M282" s="129" t="s">
        <v>51</v>
      </c>
      <c r="N282" s="129"/>
      <c r="O282" s="172"/>
      <c r="P282" s="172"/>
      <c r="Q282" s="129" t="s">
        <v>929</v>
      </c>
      <c r="R282" s="129">
        <v>45938</v>
      </c>
      <c r="S282" s="129"/>
      <c r="T282" s="173" t="str">
        <f ca="1">IF(AND('Inserimento dati'!$B$3=$H$2, TabellaA1[[#This Row],[LUN]]="X"), "X",IF(AND('Inserimento dati'!$B$3=$I$2, TabellaA1[[#This Row],[MAR]]="X"), "X", IF(AND('Inserimento dati'!$B$3=$J$2, TabellaA1[[#This Row],[MER]]="X"), "X",IF(AND('Inserimento dati'!$B$3=$K$2, TabellaA1[[#This Row],[GIO]]="X"), "X", IF(AND('Inserimento dati'!$B$3=$L$2, TabellaA1[[#This Row],[VEN]]="X"), "X","")))))</f>
        <v/>
      </c>
      <c r="U282" s="139" t="str">
        <f ca="1">IFERROR(MID(G282,_xlfn.AGGREGATE(15,6,(ROW(INDIRECT("1:"&amp;LEN(G282)-7)))/(ISNUMBER(--MID(G282,ROW(INDIRECT("1:"&amp;LEN(G282)-7)),8))),1),8),"")</f>
        <v/>
      </c>
    </row>
    <row r="283" spans="1:21" ht="23.25" x14ac:dyDescent="0.25">
      <c r="A283" s="167"/>
      <c r="B283" s="167"/>
      <c r="C283" s="167" t="str">
        <f>IF(OR(TabellaA1[[#This Row],[LUN]]="X",TabellaA1[[#This Row],[MAR]]="X",TabellaA1[[#This Row],[MER]]="X",TabellaA1[[#This Row],[GIO]]="X",TabellaA1[[#This Row],[VEN]]="X",),"X","")</f>
        <v/>
      </c>
      <c r="D283" s="168" t="s">
        <v>143</v>
      </c>
      <c r="E283" s="170" t="s">
        <v>930</v>
      </c>
      <c r="F283" s="170">
        <v>400</v>
      </c>
      <c r="G283" s="170" t="s">
        <v>931</v>
      </c>
      <c r="H283" s="171"/>
      <c r="I283" s="171"/>
      <c r="J283" s="171"/>
      <c r="K283" s="171"/>
      <c r="L283" s="169"/>
      <c r="M283" s="129" t="s">
        <v>51</v>
      </c>
      <c r="N283" s="129"/>
      <c r="O283" s="172"/>
      <c r="P283" s="172"/>
      <c r="Q283" s="129"/>
      <c r="R283" s="129">
        <v>45901</v>
      </c>
      <c r="S283" s="129" t="s">
        <v>20</v>
      </c>
      <c r="T283" s="173" t="str">
        <f ca="1">IF(AND('Inserimento dati'!$B$3=$H$2, TabellaA1[[#This Row],[LUN]]="X"), "X",IF(AND('Inserimento dati'!$B$3=$I$2, TabellaA1[[#This Row],[MAR]]="X"), "X", IF(AND('Inserimento dati'!$B$3=$J$2, TabellaA1[[#This Row],[MER]]="X"), "X",IF(AND('Inserimento dati'!$B$3=$K$2, TabellaA1[[#This Row],[GIO]]="X"), "X", IF(AND('Inserimento dati'!$B$3=$L$2, TabellaA1[[#This Row],[VEN]]="X"), "X","")))))</f>
        <v/>
      </c>
      <c r="U283" s="139"/>
    </row>
    <row r="284" spans="1:21" ht="30" x14ac:dyDescent="0.25">
      <c r="A284" s="167"/>
      <c r="B284" s="167"/>
      <c r="C284" s="167" t="str">
        <f>IF(OR(TabellaA1[[#This Row],[LUN]]="X",TabellaA1[[#This Row],[MAR]]="X",TabellaA1[[#This Row],[MER]]="X",TabellaA1[[#This Row],[GIO]]="X",TabellaA1[[#This Row],[VEN]]="X",),"X","")</f>
        <v/>
      </c>
      <c r="D284" s="168" t="s">
        <v>143</v>
      </c>
      <c r="E284" s="170" t="s">
        <v>932</v>
      </c>
      <c r="F284" s="170">
        <v>100</v>
      </c>
      <c r="G284" s="170" t="s">
        <v>933</v>
      </c>
      <c r="H284" s="171"/>
      <c r="I284" s="171"/>
      <c r="J284" s="171"/>
      <c r="K284" s="171"/>
      <c r="L284" s="169"/>
      <c r="M284" s="129" t="s">
        <v>51</v>
      </c>
      <c r="N284" s="129"/>
      <c r="O284" s="172"/>
      <c r="P284" s="172"/>
      <c r="Q284" s="129" t="s">
        <v>934</v>
      </c>
      <c r="R284" s="129">
        <v>45889</v>
      </c>
      <c r="S284" s="129" t="s">
        <v>20</v>
      </c>
      <c r="T284" s="173" t="str">
        <f ca="1">IF(AND('Inserimento dati'!$B$3=$H$2, TabellaA1[[#This Row],[LUN]]="X"), "X",IF(AND('Inserimento dati'!$B$3=$I$2, TabellaA1[[#This Row],[MAR]]="X"), "X", IF(AND('Inserimento dati'!$B$3=$J$2, TabellaA1[[#This Row],[MER]]="X"), "X",IF(AND('Inserimento dati'!$B$3=$K$2, TabellaA1[[#This Row],[GIO]]="X"), "X", IF(AND('Inserimento dati'!$B$3=$L$2, TabellaA1[[#This Row],[VEN]]="X"), "X","")))))</f>
        <v/>
      </c>
      <c r="U284" s="139"/>
    </row>
    <row r="285" spans="1:21" ht="45" x14ac:dyDescent="0.25">
      <c r="A285" s="167"/>
      <c r="B285" s="167"/>
      <c r="C285" s="167" t="str">
        <f>IF(OR(TabellaA1[[#This Row],[LUN]]="X",TabellaA1[[#This Row],[MAR]]="X",TabellaA1[[#This Row],[MER]]="X",TabellaA1[[#This Row],[GIO]]="X",TabellaA1[[#This Row],[VEN]]="X",),"X","")</f>
        <v/>
      </c>
      <c r="D285" s="168" t="s">
        <v>143</v>
      </c>
      <c r="E285" s="170" t="s">
        <v>935</v>
      </c>
      <c r="F285" s="170">
        <v>200</v>
      </c>
      <c r="G285" s="170" t="s">
        <v>936</v>
      </c>
      <c r="H285" s="171"/>
      <c r="I285" s="171"/>
      <c r="J285" s="171"/>
      <c r="K285" s="171"/>
      <c r="L285" s="169"/>
      <c r="M285" s="129" t="s">
        <v>51</v>
      </c>
      <c r="N285" s="129"/>
      <c r="O285" s="172" t="s">
        <v>8</v>
      </c>
      <c r="P285" s="172" t="s">
        <v>8</v>
      </c>
      <c r="Q285" s="129" t="s">
        <v>937</v>
      </c>
      <c r="R285" s="129">
        <v>45889</v>
      </c>
      <c r="S285" s="129" t="s">
        <v>938</v>
      </c>
      <c r="T285" s="173" t="str">
        <f ca="1">IF(AND('Inserimento dati'!$B$3=$H$2, TabellaA1[[#This Row],[LUN]]="X"), "X",IF(AND('Inserimento dati'!$B$3=$I$2, TabellaA1[[#This Row],[MAR]]="X"), "X", IF(AND('Inserimento dati'!$B$3=$J$2, TabellaA1[[#This Row],[MER]]="X"), "X",IF(AND('Inserimento dati'!$B$3=$K$2, TabellaA1[[#This Row],[GIO]]="X"), "X", IF(AND('Inserimento dati'!$B$3=$L$2, TabellaA1[[#This Row],[VEN]]="X"), "X","")))))</f>
        <v/>
      </c>
      <c r="U285" s="139"/>
    </row>
    <row r="286" spans="1:21" ht="30" x14ac:dyDescent="0.25">
      <c r="A286" s="167"/>
      <c r="B286" s="167"/>
      <c r="C286" s="167" t="str">
        <f>IF(OR(TabellaA1[[#This Row],[LUN]]="X",TabellaA1[[#This Row],[MAR]]="X",TabellaA1[[#This Row],[MER]]="X",TabellaA1[[#This Row],[GIO]]="X",TabellaA1[[#This Row],[VEN]]="X",),"X","")</f>
        <v/>
      </c>
      <c r="D286" s="168" t="s">
        <v>143</v>
      </c>
      <c r="E286" s="170" t="s">
        <v>939</v>
      </c>
      <c r="F286" s="170">
        <v>900</v>
      </c>
      <c r="G286" s="170" t="s">
        <v>940</v>
      </c>
      <c r="H286" s="171"/>
      <c r="I286" s="171"/>
      <c r="J286" s="171"/>
      <c r="K286" s="171"/>
      <c r="L286" s="169"/>
      <c r="M286" s="129" t="s">
        <v>51</v>
      </c>
      <c r="N286" s="129"/>
      <c r="O286" s="172"/>
      <c r="P286" s="172"/>
      <c r="Q286" s="129" t="s">
        <v>941</v>
      </c>
      <c r="R286" s="129">
        <v>45888</v>
      </c>
      <c r="S286" s="129" t="s">
        <v>684</v>
      </c>
      <c r="T286" s="173" t="str">
        <f ca="1">IF(AND('Inserimento dati'!$B$3=$H$2, TabellaA1[[#This Row],[LUN]]="X"), "X",IF(AND('Inserimento dati'!$B$3=$I$2, TabellaA1[[#This Row],[MAR]]="X"), "X", IF(AND('Inserimento dati'!$B$3=$J$2, TabellaA1[[#This Row],[MER]]="X"), "X",IF(AND('Inserimento dati'!$B$3=$K$2, TabellaA1[[#This Row],[GIO]]="X"), "X", IF(AND('Inserimento dati'!$B$3=$L$2, TabellaA1[[#This Row],[VEN]]="X"), "X","")))))</f>
        <v/>
      </c>
      <c r="U286" s="139"/>
    </row>
    <row r="287" spans="1:21" ht="30" x14ac:dyDescent="0.25">
      <c r="A287" s="167"/>
      <c r="B287" s="167"/>
      <c r="C287" s="167" t="str">
        <f>IF(OR(TabellaA1[[#This Row],[LUN]]="X",TabellaA1[[#This Row],[MAR]]="X",TabellaA1[[#This Row],[MER]]="X",TabellaA1[[#This Row],[GIO]]="X",TabellaA1[[#This Row],[VEN]]="X",),"X","")</f>
        <v/>
      </c>
      <c r="D287" s="168" t="s">
        <v>143</v>
      </c>
      <c r="E287" s="170" t="s">
        <v>942</v>
      </c>
      <c r="F287" s="170">
        <v>300</v>
      </c>
      <c r="G287" s="170" t="s">
        <v>943</v>
      </c>
      <c r="H287" s="171"/>
      <c r="I287" s="171"/>
      <c r="J287" s="171"/>
      <c r="K287" s="171"/>
      <c r="L287" s="169"/>
      <c r="M287" s="129" t="s">
        <v>51</v>
      </c>
      <c r="N287" s="129"/>
      <c r="O287" s="172" t="s">
        <v>8</v>
      </c>
      <c r="P287" s="172"/>
      <c r="Q287" s="129" t="s">
        <v>944</v>
      </c>
      <c r="R287" s="129">
        <v>45881</v>
      </c>
      <c r="S287" s="129" t="s">
        <v>735</v>
      </c>
      <c r="T287" s="173" t="str">
        <f ca="1">IF(AND('Inserimento dati'!$B$3=$H$2, TabellaA1[[#This Row],[LUN]]="X"), "X",IF(AND('Inserimento dati'!$B$3=$I$2, TabellaA1[[#This Row],[MAR]]="X"), "X", IF(AND('Inserimento dati'!$B$3=$J$2, TabellaA1[[#This Row],[MER]]="X"), "X",IF(AND('Inserimento dati'!$B$3=$K$2, TabellaA1[[#This Row],[GIO]]="X"), "X", IF(AND('Inserimento dati'!$B$3=$L$2, TabellaA1[[#This Row],[VEN]]="X"), "X","")))))</f>
        <v/>
      </c>
      <c r="U287" s="139"/>
    </row>
    <row r="288" spans="1:21" ht="23.25" x14ac:dyDescent="0.25">
      <c r="A288" s="167"/>
      <c r="B288" s="167"/>
      <c r="C288" s="167" t="str">
        <f>IF(OR(TabellaA1[[#This Row],[LUN]]="X",TabellaA1[[#This Row],[MAR]]="X",TabellaA1[[#This Row],[MER]]="X",TabellaA1[[#This Row],[GIO]]="X",TabellaA1[[#This Row],[VEN]]="X",),"X","")</f>
        <v/>
      </c>
      <c r="D288" s="168" t="s">
        <v>143</v>
      </c>
      <c r="E288" s="170" t="s">
        <v>945</v>
      </c>
      <c r="F288" s="170">
        <v>200</v>
      </c>
      <c r="G288" s="170" t="s">
        <v>946</v>
      </c>
      <c r="H288" s="171"/>
      <c r="I288" s="171"/>
      <c r="J288" s="171"/>
      <c r="K288" s="171"/>
      <c r="L288" s="169"/>
      <c r="M288" s="129" t="s">
        <v>51</v>
      </c>
      <c r="N288" s="129" t="s">
        <v>8</v>
      </c>
      <c r="O288" s="172"/>
      <c r="P288" s="172"/>
      <c r="Q288" s="129" t="s">
        <v>947</v>
      </c>
      <c r="R288" s="129">
        <v>45869</v>
      </c>
      <c r="S288" s="129" t="s">
        <v>45</v>
      </c>
      <c r="T288" s="173" t="str">
        <f ca="1">IF(AND('Inserimento dati'!$B$3=$H$2, TabellaA1[[#This Row],[LUN]]="X"), "X",IF(AND('Inserimento dati'!$B$3=$I$2, TabellaA1[[#This Row],[MAR]]="X"), "X", IF(AND('Inserimento dati'!$B$3=$J$2, TabellaA1[[#This Row],[MER]]="X"), "X",IF(AND('Inserimento dati'!$B$3=$K$2, TabellaA1[[#This Row],[GIO]]="X"), "X", IF(AND('Inserimento dati'!$B$3=$L$2, TabellaA1[[#This Row],[VEN]]="X"), "X","")))))</f>
        <v/>
      </c>
      <c r="U288" s="139"/>
    </row>
    <row r="289" spans="1:21" ht="30" x14ac:dyDescent="0.25">
      <c r="A289" s="167"/>
      <c r="B289" s="167"/>
      <c r="C289" s="167" t="str">
        <f>IF(OR(TabellaA1[[#This Row],[LUN]]="X",TabellaA1[[#This Row],[MAR]]="X",TabellaA1[[#This Row],[MER]]="X",TabellaA1[[#This Row],[GIO]]="X",TabellaA1[[#This Row],[VEN]]="X",),"X","")</f>
        <v/>
      </c>
      <c r="D289" s="168" t="s">
        <v>143</v>
      </c>
      <c r="E289" s="170" t="s">
        <v>948</v>
      </c>
      <c r="F289" s="170" t="s">
        <v>262</v>
      </c>
      <c r="G289" s="170" t="s">
        <v>949</v>
      </c>
      <c r="H289" s="171"/>
      <c r="I289" s="171"/>
      <c r="J289" s="171"/>
      <c r="K289" s="171"/>
      <c r="L289" s="169"/>
      <c r="M289" s="129" t="s">
        <v>51</v>
      </c>
      <c r="N289" s="129"/>
      <c r="O289" s="172"/>
      <c r="P289" s="172"/>
      <c r="Q289" s="129"/>
      <c r="R289" s="129"/>
      <c r="S289" s="129"/>
      <c r="T289" s="173" t="str">
        <f ca="1">IF(AND('Inserimento dati'!$B$3=$H$2, TabellaA1[[#This Row],[LUN]]="X"), "X",IF(AND('Inserimento dati'!$B$3=$I$2, TabellaA1[[#This Row],[MAR]]="X"), "X", IF(AND('Inserimento dati'!$B$3=$J$2, TabellaA1[[#This Row],[MER]]="X"), "X",IF(AND('Inserimento dati'!$B$3=$K$2, TabellaA1[[#This Row],[GIO]]="X"), "X", IF(AND('Inserimento dati'!$B$3=$L$2, TabellaA1[[#This Row],[VEN]]="X"), "X","")))))</f>
        <v/>
      </c>
      <c r="U289" s="139"/>
    </row>
    <row r="290" spans="1:21" ht="45" x14ac:dyDescent="0.25">
      <c r="A290" s="167"/>
      <c r="B290" s="167"/>
      <c r="C290" s="167" t="str">
        <f>IF(OR(TabellaA1[[#This Row],[LUN]]="X",TabellaA1[[#This Row],[MAR]]="X",TabellaA1[[#This Row],[MER]]="X",TabellaA1[[#This Row],[GIO]]="X",TabellaA1[[#This Row],[VEN]]="X",),"X","")</f>
        <v/>
      </c>
      <c r="D290" s="168" t="s">
        <v>143</v>
      </c>
      <c r="E290" s="170" t="s">
        <v>950</v>
      </c>
      <c r="F290" s="170">
        <v>200</v>
      </c>
      <c r="G290" s="170" t="s">
        <v>951</v>
      </c>
      <c r="H290" s="171"/>
      <c r="I290" s="171"/>
      <c r="J290" s="171"/>
      <c r="K290" s="171"/>
      <c r="L290" s="169"/>
      <c r="M290" s="129" t="s">
        <v>51</v>
      </c>
      <c r="N290" s="129"/>
      <c r="O290" s="172"/>
      <c r="P290" s="172"/>
      <c r="Q290" s="129" t="s">
        <v>952</v>
      </c>
      <c r="R290" s="129">
        <v>45817</v>
      </c>
      <c r="S290" s="129" t="s">
        <v>23</v>
      </c>
      <c r="T290" s="173" t="str">
        <f ca="1">IF(AND('Inserimento dati'!$B$3=$H$2, TabellaA1[[#This Row],[LUN]]="X"), "X",IF(AND('Inserimento dati'!$B$3=$I$2, TabellaA1[[#This Row],[MAR]]="X"), "X", IF(AND('Inserimento dati'!$B$3=$J$2, TabellaA1[[#This Row],[MER]]="X"), "X",IF(AND('Inserimento dati'!$B$3=$K$2, TabellaA1[[#This Row],[GIO]]="X"), "X", IF(AND('Inserimento dati'!$B$3=$L$2, TabellaA1[[#This Row],[VEN]]="X"), "X","")))))</f>
        <v/>
      </c>
      <c r="U290" s="139" t="str">
        <f t="shared" ref="U290:U299" ca="1" si="12">IFERROR(MID(G290,_xlfn.AGGREGATE(15,6,(ROW(INDIRECT("1:"&amp;LEN(G290)-7)))/(ISNUMBER(--MID(G290,ROW(INDIRECT("1:"&amp;LEN(G290)-7)),8))),1),8),"")</f>
        <v/>
      </c>
    </row>
    <row r="291" spans="1:21" ht="45" x14ac:dyDescent="0.25">
      <c r="A291" s="167"/>
      <c r="B291" s="167"/>
      <c r="C291" s="167" t="str">
        <f>IF(OR(TabellaA1[[#This Row],[LUN]]="X",TabellaA1[[#This Row],[MAR]]="X",TabellaA1[[#This Row],[MER]]="X",TabellaA1[[#This Row],[GIO]]="X",TabellaA1[[#This Row],[VEN]]="X",),"X","")</f>
        <v/>
      </c>
      <c r="D291" s="168" t="s">
        <v>143</v>
      </c>
      <c r="E291" s="170" t="s">
        <v>953</v>
      </c>
      <c r="F291" s="170">
        <v>200</v>
      </c>
      <c r="G291" s="170" t="s">
        <v>954</v>
      </c>
      <c r="H291" s="171"/>
      <c r="I291" s="171"/>
      <c r="J291" s="171"/>
      <c r="K291" s="171"/>
      <c r="L291" s="169"/>
      <c r="M291" s="129" t="s">
        <v>51</v>
      </c>
      <c r="N291" s="129"/>
      <c r="O291" s="172"/>
      <c r="P291" s="172"/>
      <c r="Q291" s="129" t="s">
        <v>955</v>
      </c>
      <c r="R291" s="129">
        <v>45817</v>
      </c>
      <c r="S291" s="129" t="s">
        <v>23</v>
      </c>
      <c r="T291" s="173" t="str">
        <f ca="1">IF(AND('Inserimento dati'!$B$3=$H$2, TabellaA1[[#This Row],[LUN]]="X"), "X",IF(AND('Inserimento dati'!$B$3=$I$2, TabellaA1[[#This Row],[MAR]]="X"), "X", IF(AND('Inserimento dati'!$B$3=$J$2, TabellaA1[[#This Row],[MER]]="X"), "X",IF(AND('Inserimento dati'!$B$3=$K$2, TabellaA1[[#This Row],[GIO]]="X"), "X", IF(AND('Inserimento dati'!$B$3=$L$2, TabellaA1[[#This Row],[VEN]]="X"), "X","")))))</f>
        <v/>
      </c>
      <c r="U291" s="139" t="str">
        <f t="shared" ca="1" si="12"/>
        <v/>
      </c>
    </row>
    <row r="292" spans="1:21" ht="45" x14ac:dyDescent="0.25">
      <c r="A292" s="167"/>
      <c r="B292" s="167" t="str">
        <f t="shared" ref="B292:B299" si="13">IF(OR(A292="x",A292="X"),"",IF(ISBLANK(A292),"X",""))</f>
        <v>X</v>
      </c>
      <c r="C292" s="167" t="str">
        <f>IF(OR(TabellaA1[[#This Row],[LUN]]="X",TabellaA1[[#This Row],[MAR]]="X",TabellaA1[[#This Row],[MER]]="X",TabellaA1[[#This Row],[GIO]]="X",TabellaA1[[#This Row],[VEN]]="X",),"X","")</f>
        <v/>
      </c>
      <c r="D292" s="168" t="s">
        <v>143</v>
      </c>
      <c r="E292" s="170" t="s">
        <v>956</v>
      </c>
      <c r="F292" s="170">
        <v>400</v>
      </c>
      <c r="G292" s="170" t="s">
        <v>957</v>
      </c>
      <c r="H292" s="171"/>
      <c r="I292" s="171"/>
      <c r="J292" s="171"/>
      <c r="K292" s="171"/>
      <c r="L292" s="169"/>
      <c r="M292" s="129" t="s">
        <v>51</v>
      </c>
      <c r="N292" s="129"/>
      <c r="O292" s="172"/>
      <c r="P292" s="172"/>
      <c r="Q292" s="129" t="s">
        <v>958</v>
      </c>
      <c r="R292" s="129">
        <v>45788</v>
      </c>
      <c r="S292" s="129" t="s">
        <v>610</v>
      </c>
      <c r="T292" s="173" t="str">
        <f ca="1">IF(AND('Inserimento dati'!$B$3=$H$2, TabellaA1[[#This Row],[LUN]]="X"), "X",IF(AND('Inserimento dati'!$B$3=$I$2, TabellaA1[[#This Row],[MAR]]="X"), "X", IF(AND('Inserimento dati'!$B$3=$J$2, TabellaA1[[#This Row],[MER]]="X"), "X",IF(AND('Inserimento dati'!$B$3=$K$2, TabellaA1[[#This Row],[GIO]]="X"), "X", IF(AND('Inserimento dati'!$B$3=$L$2, TabellaA1[[#This Row],[VEN]]="X"), "X","")))))</f>
        <v/>
      </c>
      <c r="U292" s="139" t="str">
        <f t="shared" ca="1" si="12"/>
        <v/>
      </c>
    </row>
    <row r="293" spans="1:21" ht="30" x14ac:dyDescent="0.25">
      <c r="A293" s="167"/>
      <c r="B293" s="167" t="str">
        <f t="shared" si="13"/>
        <v>X</v>
      </c>
      <c r="C293" s="167" t="str">
        <f>IF(OR(TabellaA1[[#This Row],[LUN]]="X",TabellaA1[[#This Row],[MAR]]="X",TabellaA1[[#This Row],[MER]]="X",TabellaA1[[#This Row],[GIO]]="X",TabellaA1[[#This Row],[VEN]]="X",),"X","")</f>
        <v/>
      </c>
      <c r="D293" s="168" t="s">
        <v>143</v>
      </c>
      <c r="E293" s="170" t="s">
        <v>959</v>
      </c>
      <c r="F293" s="170">
        <v>200</v>
      </c>
      <c r="G293" s="170" t="s">
        <v>960</v>
      </c>
      <c r="H293" s="171"/>
      <c r="I293" s="171"/>
      <c r="J293" s="171"/>
      <c r="K293" s="171"/>
      <c r="L293" s="169"/>
      <c r="M293" s="129" t="s">
        <v>51</v>
      </c>
      <c r="N293" s="129"/>
      <c r="O293" s="172"/>
      <c r="P293" s="172"/>
      <c r="Q293" s="129" t="s">
        <v>961</v>
      </c>
      <c r="R293" s="129">
        <v>45784</v>
      </c>
      <c r="S293" s="129" t="s">
        <v>619</v>
      </c>
      <c r="T293" s="173" t="str">
        <f ca="1">IF(AND('Inserimento dati'!$B$3=$H$2, TabellaA1[[#This Row],[LUN]]="X"), "X",IF(AND('Inserimento dati'!$B$3=$I$2, TabellaA1[[#This Row],[MAR]]="X"), "X", IF(AND('Inserimento dati'!$B$3=$J$2, TabellaA1[[#This Row],[MER]]="X"), "X",IF(AND('Inserimento dati'!$B$3=$K$2, TabellaA1[[#This Row],[GIO]]="X"), "X", IF(AND('Inserimento dati'!$B$3=$L$2, TabellaA1[[#This Row],[VEN]]="X"), "X","")))))</f>
        <v/>
      </c>
      <c r="U293" s="139" t="str">
        <f t="shared" ca="1" si="12"/>
        <v/>
      </c>
    </row>
    <row r="294" spans="1:21" ht="30" x14ac:dyDescent="0.25">
      <c r="A294" s="167"/>
      <c r="B294" s="167" t="str">
        <f t="shared" si="13"/>
        <v>X</v>
      </c>
      <c r="C294" s="167" t="str">
        <f>IF(OR(TabellaA1[[#This Row],[LUN]]="X",TabellaA1[[#This Row],[MAR]]="X",TabellaA1[[#This Row],[MER]]="X",TabellaA1[[#This Row],[GIO]]="X",TabellaA1[[#This Row],[VEN]]="X",),"X","")</f>
        <v/>
      </c>
      <c r="D294" s="168" t="s">
        <v>143</v>
      </c>
      <c r="E294" s="170" t="s">
        <v>962</v>
      </c>
      <c r="F294" s="170" t="s">
        <v>262</v>
      </c>
      <c r="G294" s="170" t="s">
        <v>963</v>
      </c>
      <c r="H294" s="171"/>
      <c r="I294" s="171"/>
      <c r="J294" s="171"/>
      <c r="K294" s="171"/>
      <c r="L294" s="169"/>
      <c r="M294" s="129" t="s">
        <v>51</v>
      </c>
      <c r="N294" s="129"/>
      <c r="O294" s="172"/>
      <c r="P294" s="172"/>
      <c r="Q294" s="129" t="s">
        <v>964</v>
      </c>
      <c r="R294" s="129">
        <v>45770</v>
      </c>
      <c r="S294" s="129" t="s">
        <v>23</v>
      </c>
      <c r="T294" s="173" t="str">
        <f ca="1">IF(AND('Inserimento dati'!$B$3=$H$2, TabellaA1[[#This Row],[LUN]]="X"), "X",IF(AND('Inserimento dati'!$B$3=$I$2, TabellaA1[[#This Row],[MAR]]="X"), "X", IF(AND('Inserimento dati'!$B$3=$J$2, TabellaA1[[#This Row],[MER]]="X"), "X",IF(AND('Inserimento dati'!$B$3=$K$2, TabellaA1[[#This Row],[GIO]]="X"), "X", IF(AND('Inserimento dati'!$B$3=$L$2, TabellaA1[[#This Row],[VEN]]="X"), "X","")))))</f>
        <v/>
      </c>
      <c r="U294" s="139" t="str">
        <f t="shared" ca="1" si="12"/>
        <v/>
      </c>
    </row>
    <row r="295" spans="1:21" ht="30" x14ac:dyDescent="0.25">
      <c r="A295" s="167"/>
      <c r="B295" s="167" t="str">
        <f t="shared" si="13"/>
        <v>X</v>
      </c>
      <c r="C295" s="167" t="str">
        <f>IF(OR(TabellaA1[[#This Row],[LUN]]="X",TabellaA1[[#This Row],[MAR]]="X",TabellaA1[[#This Row],[MER]]="X",TabellaA1[[#This Row],[GIO]]="X",TabellaA1[[#This Row],[VEN]]="X",),"X","")</f>
        <v/>
      </c>
      <c r="D295" s="168" t="s">
        <v>143</v>
      </c>
      <c r="E295" s="170" t="s">
        <v>965</v>
      </c>
      <c r="F295" s="170">
        <v>100</v>
      </c>
      <c r="G295" s="170" t="s">
        <v>966</v>
      </c>
      <c r="H295" s="171"/>
      <c r="I295" s="171"/>
      <c r="J295" s="171"/>
      <c r="K295" s="171"/>
      <c r="L295" s="169"/>
      <c r="M295" s="129" t="s">
        <v>51</v>
      </c>
      <c r="N295" s="129"/>
      <c r="O295" s="172"/>
      <c r="P295" s="172"/>
      <c r="Q295" s="129" t="s">
        <v>967</v>
      </c>
      <c r="R295" s="129">
        <v>45762</v>
      </c>
      <c r="S295" s="129" t="s">
        <v>9</v>
      </c>
      <c r="T295" s="173" t="str">
        <f ca="1">IF(AND('Inserimento dati'!$B$3=$H$2, TabellaA1[[#This Row],[LUN]]="X"), "X",IF(AND('Inserimento dati'!$B$3=$I$2, TabellaA1[[#This Row],[MAR]]="X"), "X", IF(AND('Inserimento dati'!$B$3=$J$2, TabellaA1[[#This Row],[MER]]="X"), "X",IF(AND('Inserimento dati'!$B$3=$K$2, TabellaA1[[#This Row],[GIO]]="X"), "X", IF(AND('Inserimento dati'!$B$3=$L$2, TabellaA1[[#This Row],[VEN]]="X"), "X","")))))</f>
        <v/>
      </c>
      <c r="U295" s="139" t="str">
        <f t="shared" ca="1" si="12"/>
        <v/>
      </c>
    </row>
    <row r="296" spans="1:21" ht="30" x14ac:dyDescent="0.25">
      <c r="A296" s="167"/>
      <c r="B296" s="167" t="str">
        <f t="shared" si="13"/>
        <v>X</v>
      </c>
      <c r="C296" s="167" t="str">
        <f>IF(OR(TabellaA1[[#This Row],[LUN]]="X",TabellaA1[[#This Row],[MAR]]="X",TabellaA1[[#This Row],[MER]]="X",TabellaA1[[#This Row],[GIO]]="X",TabellaA1[[#This Row],[VEN]]="X",),"X","")</f>
        <v/>
      </c>
      <c r="D296" s="168" t="s">
        <v>143</v>
      </c>
      <c r="E296" s="170" t="s">
        <v>968</v>
      </c>
      <c r="F296" s="170">
        <v>400</v>
      </c>
      <c r="G296" s="170" t="s">
        <v>969</v>
      </c>
      <c r="H296" s="171"/>
      <c r="I296" s="171"/>
      <c r="J296" s="171"/>
      <c r="K296" s="171"/>
      <c r="L296" s="169"/>
      <c r="M296" s="129" t="s">
        <v>51</v>
      </c>
      <c r="N296" s="129"/>
      <c r="O296" s="172"/>
      <c r="P296" s="172"/>
      <c r="Q296" s="129" t="s">
        <v>348</v>
      </c>
      <c r="R296" s="129">
        <v>45722</v>
      </c>
      <c r="S296" s="129" t="s">
        <v>254</v>
      </c>
      <c r="T296" s="173" t="str">
        <f ca="1">IF(AND('Inserimento dati'!$B$3=$H$2, TabellaA1[[#This Row],[LUN]]="X"), "X",IF(AND('Inserimento dati'!$B$3=$I$2, TabellaA1[[#This Row],[MAR]]="X"), "X", IF(AND('Inserimento dati'!$B$3=$J$2, TabellaA1[[#This Row],[MER]]="X"), "X",IF(AND('Inserimento dati'!$B$3=$K$2, TabellaA1[[#This Row],[GIO]]="X"), "X", IF(AND('Inserimento dati'!$B$3=$L$2, TabellaA1[[#This Row],[VEN]]="X"), "X","")))))</f>
        <v/>
      </c>
      <c r="U296" s="139" t="str">
        <f t="shared" ca="1" si="12"/>
        <v/>
      </c>
    </row>
    <row r="297" spans="1:21" ht="30" x14ac:dyDescent="0.25">
      <c r="A297" s="167"/>
      <c r="B297" s="167" t="str">
        <f t="shared" si="13"/>
        <v>X</v>
      </c>
      <c r="C297" s="167" t="str">
        <f>IF(OR(TabellaA1[[#This Row],[LUN]]="X",TabellaA1[[#This Row],[MAR]]="X",TabellaA1[[#This Row],[MER]]="X",TabellaA1[[#This Row],[GIO]]="X",TabellaA1[[#This Row],[VEN]]="X",),"X","")</f>
        <v/>
      </c>
      <c r="D297" s="168" t="s">
        <v>143</v>
      </c>
      <c r="E297" s="170" t="s">
        <v>970</v>
      </c>
      <c r="F297" s="170">
        <v>100</v>
      </c>
      <c r="G297" s="170" t="s">
        <v>971</v>
      </c>
      <c r="H297" s="171"/>
      <c r="I297" s="171"/>
      <c r="J297" s="171"/>
      <c r="K297" s="171"/>
      <c r="L297" s="169"/>
      <c r="M297" s="129" t="s">
        <v>51</v>
      </c>
      <c r="N297" s="129"/>
      <c r="O297" s="172"/>
      <c r="P297" s="172"/>
      <c r="Q297" s="129" t="s">
        <v>972</v>
      </c>
      <c r="R297" s="129">
        <v>45714</v>
      </c>
      <c r="S297" s="129" t="s">
        <v>254</v>
      </c>
      <c r="T297" s="173" t="str">
        <f ca="1">IF(AND('Inserimento dati'!$B$3=$H$2, TabellaA1[[#This Row],[LUN]]="X"), "X",IF(AND('Inserimento dati'!$B$3=$I$2, TabellaA1[[#This Row],[MAR]]="X"), "X", IF(AND('Inserimento dati'!$B$3=$J$2, TabellaA1[[#This Row],[MER]]="X"), "X",IF(AND('Inserimento dati'!$B$3=$K$2, TabellaA1[[#This Row],[GIO]]="X"), "X", IF(AND('Inserimento dati'!$B$3=$L$2, TabellaA1[[#This Row],[VEN]]="X"), "X","")))))</f>
        <v/>
      </c>
      <c r="U297" s="139" t="str">
        <f t="shared" ca="1" si="12"/>
        <v/>
      </c>
    </row>
    <row r="298" spans="1:21" ht="30" x14ac:dyDescent="0.25">
      <c r="A298" s="167"/>
      <c r="B298" s="167" t="str">
        <f t="shared" si="13"/>
        <v>X</v>
      </c>
      <c r="C298" s="167" t="str">
        <f>IF(OR(TabellaA1[[#This Row],[LUN]]="X",TabellaA1[[#This Row],[MAR]]="X",TabellaA1[[#This Row],[MER]]="X",TabellaA1[[#This Row],[GIO]]="X",TabellaA1[[#This Row],[VEN]]="X",),"X","")</f>
        <v/>
      </c>
      <c r="D298" s="168" t="s">
        <v>143</v>
      </c>
      <c r="E298" s="170" t="s">
        <v>973</v>
      </c>
      <c r="F298" s="170">
        <v>200</v>
      </c>
      <c r="G298" s="170" t="s">
        <v>974</v>
      </c>
      <c r="H298" s="171"/>
      <c r="I298" s="171"/>
      <c r="J298" s="171"/>
      <c r="K298" s="171"/>
      <c r="L298" s="169"/>
      <c r="M298" s="129" t="s">
        <v>51</v>
      </c>
      <c r="N298" s="129"/>
      <c r="O298" s="172" t="s">
        <v>8</v>
      </c>
      <c r="P298" s="172"/>
      <c r="Q298" s="129" t="s">
        <v>975</v>
      </c>
      <c r="R298" s="129">
        <v>45680</v>
      </c>
      <c r="S298" s="129" t="s">
        <v>9</v>
      </c>
      <c r="T298" s="173" t="str">
        <f ca="1">IF(AND('Inserimento dati'!$B$3=$H$2, TabellaA1[[#This Row],[LUN]]="X"), "X",IF(AND('Inserimento dati'!$B$3=$I$2, TabellaA1[[#This Row],[MAR]]="X"), "X", IF(AND('Inserimento dati'!$B$3=$J$2, TabellaA1[[#This Row],[MER]]="X"), "X",IF(AND('Inserimento dati'!$B$3=$K$2, TabellaA1[[#This Row],[GIO]]="X"), "X", IF(AND('Inserimento dati'!$B$3=$L$2, TabellaA1[[#This Row],[VEN]]="X"), "X","")))))</f>
        <v/>
      </c>
      <c r="U298" s="139" t="str">
        <f t="shared" ca="1" si="12"/>
        <v/>
      </c>
    </row>
    <row r="299" spans="1:21" ht="45" x14ac:dyDescent="0.25">
      <c r="A299" s="167"/>
      <c r="B299" s="167" t="str">
        <f t="shared" si="13"/>
        <v>X</v>
      </c>
      <c r="C299" s="167" t="str">
        <f>IF(OR(TabellaA1[[#This Row],[LUN]]="X",TabellaA1[[#This Row],[MAR]]="X",TabellaA1[[#This Row],[MER]]="X",TabellaA1[[#This Row],[GIO]]="X",TabellaA1[[#This Row],[VEN]]="X",),"X","")</f>
        <v/>
      </c>
      <c r="D299" s="168" t="s">
        <v>143</v>
      </c>
      <c r="E299" s="170" t="s">
        <v>976</v>
      </c>
      <c r="F299" s="170">
        <v>200</v>
      </c>
      <c r="G299" s="170" t="s">
        <v>977</v>
      </c>
      <c r="H299" s="171"/>
      <c r="I299" s="171"/>
      <c r="J299" s="171"/>
      <c r="K299" s="171"/>
      <c r="L299" s="169"/>
      <c r="M299" s="129" t="s">
        <v>51</v>
      </c>
      <c r="N299" s="129"/>
      <c r="O299" s="172" t="s">
        <v>8</v>
      </c>
      <c r="P299" s="172"/>
      <c r="Q299" s="129" t="s">
        <v>978</v>
      </c>
      <c r="R299" s="129">
        <v>45644</v>
      </c>
      <c r="S299" s="129" t="s">
        <v>535</v>
      </c>
      <c r="T299" s="173" t="str">
        <f ca="1">IF(AND('Inserimento dati'!$B$3=$H$2, TabellaA1[[#This Row],[LUN]]="X"), "X",IF(AND('Inserimento dati'!$B$3=$I$2, TabellaA1[[#This Row],[MAR]]="X"), "X", IF(AND('Inserimento dati'!$B$3=$J$2, TabellaA1[[#This Row],[MER]]="X"), "X",IF(AND('Inserimento dati'!$B$3=$K$2, TabellaA1[[#This Row],[GIO]]="X"), "X", IF(AND('Inserimento dati'!$B$3=$L$2, TabellaA1[[#This Row],[VEN]]="X"), "X","")))))</f>
        <v/>
      </c>
      <c r="U299" s="139" t="str">
        <f t="shared" ca="1" si="12"/>
        <v/>
      </c>
    </row>
    <row r="300" spans="1:21" ht="30" x14ac:dyDescent="0.25">
      <c r="A300" s="167"/>
      <c r="B300" s="167"/>
      <c r="C300" s="167" t="str">
        <f>IF(OR(TabellaA1[[#This Row],[LUN]]="X",TabellaA1[[#This Row],[MAR]]="X",TabellaA1[[#This Row],[MER]]="X",TabellaA1[[#This Row],[GIO]]="X",TabellaA1[[#This Row],[VEN]]="X",),"X","")</f>
        <v/>
      </c>
      <c r="D300" s="168" t="s">
        <v>143</v>
      </c>
      <c r="E300" s="170" t="s">
        <v>979</v>
      </c>
      <c r="F300" s="170">
        <v>100</v>
      </c>
      <c r="G300" s="170" t="s">
        <v>980</v>
      </c>
      <c r="H300" s="171"/>
      <c r="I300" s="171"/>
      <c r="J300" s="171"/>
      <c r="K300" s="171"/>
      <c r="L300" s="169"/>
      <c r="M300" s="129" t="s">
        <v>51</v>
      </c>
      <c r="N300" s="129"/>
      <c r="O300" s="172" t="s">
        <v>8</v>
      </c>
      <c r="P300" s="172"/>
      <c r="Q300" s="129" t="s">
        <v>981</v>
      </c>
      <c r="R300" s="129">
        <v>45930</v>
      </c>
      <c r="S300" s="129" t="s">
        <v>23</v>
      </c>
      <c r="T300" s="173" t="str">
        <f ca="1">IF(AND('Inserimento dati'!$B$3=$H$2, TabellaA1[[#This Row],[LUN]]="X"), "X",IF(AND('Inserimento dati'!$B$3=$I$2, TabellaA1[[#This Row],[MAR]]="X"), "X", IF(AND('Inserimento dati'!$B$3=$J$2, TabellaA1[[#This Row],[MER]]="X"), "X",IF(AND('Inserimento dati'!$B$3=$K$2, TabellaA1[[#This Row],[GIO]]="X"), "X", IF(AND('Inserimento dati'!$B$3=$L$2, TabellaA1[[#This Row],[VEN]]="X"), "X","")))))</f>
        <v/>
      </c>
      <c r="U300" s="139"/>
    </row>
    <row r="301" spans="1:21" ht="23.25" x14ac:dyDescent="0.25">
      <c r="A301" s="84"/>
      <c r="B301" s="84"/>
      <c r="C301" s="84" t="str">
        <f>IF(OR(TabellaA1[[#This Row],[LUN]]="X",TabellaA1[[#This Row],[MAR]]="X",TabellaA1[[#This Row],[MER]]="X",TabellaA1[[#This Row],[GIO]]="X",TabellaA1[[#This Row],[VEN]]="X",),"X","")</f>
        <v/>
      </c>
      <c r="D301" s="85" t="s">
        <v>143</v>
      </c>
      <c r="E301" s="81" t="s">
        <v>3566</v>
      </c>
      <c r="F301" s="81">
        <v>900</v>
      </c>
      <c r="G301" s="81" t="s">
        <v>3567</v>
      </c>
      <c r="H301" s="83"/>
      <c r="I301" s="83"/>
      <c r="J301" s="83"/>
      <c r="K301" s="83"/>
      <c r="L301" s="83"/>
      <c r="M301" s="81" t="s">
        <v>146</v>
      </c>
      <c r="N301" s="82"/>
      <c r="O301" s="103"/>
      <c r="P301" s="103"/>
      <c r="Q301" s="82"/>
      <c r="R301" s="82"/>
      <c r="S301" s="82"/>
      <c r="T301" s="132" t="str">
        <f ca="1">IF(AND('Inserimento dati'!$B$3=$H$2, TabellaA1[[#This Row],[LUN]]="X"), "X",IF(AND('Inserimento dati'!$B$3=$I$2, TabellaA1[[#This Row],[MAR]]="X"), "X", IF(AND('Inserimento dati'!$B$3=$J$2, TabellaA1[[#This Row],[MER]]="X"), "X",IF(AND('Inserimento dati'!$B$3=$K$2, TabellaA1[[#This Row],[GIO]]="X"), "X", IF(AND('Inserimento dati'!$B$3=$L$2, TabellaA1[[#This Row],[VEN]]="X"), "X","")))))</f>
        <v/>
      </c>
      <c r="U301" s="66"/>
    </row>
  </sheetData>
  <mergeCells count="2">
    <mergeCell ref="A1:D1"/>
    <mergeCell ref="N2:P2"/>
  </mergeCells>
  <conditionalFormatting sqref="R110:S110 E234:G301 M234:S301 M21:S21 E21:G109">
    <cfRule type="expression" dxfId="8482" priority="2767">
      <formula>SEARCH("IN CORSO",$M21)&gt;0</formula>
    </cfRule>
    <cfRule type="expression" dxfId="8481" priority="2768">
      <formula>SEARCH("CHIUSO",$M21)&gt;0</formula>
    </cfRule>
    <cfRule type="expression" dxfId="8480" priority="2769">
      <formula>SEARCH("EMESSO",$M21)&gt;0</formula>
    </cfRule>
    <cfRule type="expression" dxfId="8479" priority="2770">
      <formula>SEARCH("RICHIESTO",$M21)&gt;0</formula>
    </cfRule>
    <cfRule type="expression" dxfId="8478" priority="2771">
      <formula>SEARCH("DA CHIUDERE",$M21)&gt;0</formula>
    </cfRule>
    <cfRule type="expression" dxfId="8477" priority="2772">
      <formula>SEARCH("INTERROTTO",$M21)&gt;0</formula>
    </cfRule>
  </conditionalFormatting>
  <conditionalFormatting sqref="M110">
    <cfRule type="expression" dxfId="8476" priority="2761">
      <formula>SEARCH("IN CORSO",$M110)&gt;0</formula>
    </cfRule>
    <cfRule type="expression" dxfId="8475" priority="2762">
      <formula>SEARCH("CHIUSO",$M110)&gt;0</formula>
    </cfRule>
    <cfRule type="expression" dxfId="8474" priority="2763">
      <formula>SEARCH("EMESSO",$M110)&gt;0</formula>
    </cfRule>
    <cfRule type="expression" dxfId="8473" priority="2764">
      <formula>SEARCH("RICHIESTO",$M110)&gt;0</formula>
    </cfRule>
    <cfRule type="expression" dxfId="8472" priority="2765">
      <formula>SEARCH("DA CHIUDERE",$M110)&gt;0</formula>
    </cfRule>
    <cfRule type="expression" dxfId="8471" priority="2766">
      <formula>SEARCH("INTERROTTO",$M110)&gt;0</formula>
    </cfRule>
  </conditionalFormatting>
  <conditionalFormatting sqref="E20:G20 N20:Q20">
    <cfRule type="expression" dxfId="8470" priority="307">
      <formula>SEARCH("IN CORSO",$M20)&gt;0</formula>
    </cfRule>
    <cfRule type="expression" dxfId="8469" priority="308">
      <formula>SEARCH("CHIUSO",$M20)&gt;0</formula>
    </cfRule>
    <cfRule type="expression" dxfId="8468" priority="309">
      <formula>SEARCH("EMESSO",$M20)&gt;0</formula>
    </cfRule>
    <cfRule type="expression" dxfId="8467" priority="310">
      <formula>SEARCH("RICHIESTO",$M20)&gt;0</formula>
    </cfRule>
    <cfRule type="expression" dxfId="8466" priority="311">
      <formula>SEARCH("DA CHIUDERE",$M20)&gt;0</formula>
    </cfRule>
    <cfRule type="expression" dxfId="8465" priority="312">
      <formula>SEARCH("INTERROTTO",$M20)&gt;0</formula>
    </cfRule>
  </conditionalFormatting>
  <conditionalFormatting sqref="R20:S20">
    <cfRule type="expression" dxfId="8464" priority="301">
      <formula>SEARCH("IN CORSO",$M20)&gt;0</formula>
    </cfRule>
    <cfRule type="expression" dxfId="8463" priority="302">
      <formula>SEARCH("CHIUSO",$M20)&gt;0</formula>
    </cfRule>
    <cfRule type="expression" dxfId="8462" priority="303">
      <formula>SEARCH("EMESSO",$M20)&gt;0</formula>
    </cfRule>
    <cfRule type="expression" dxfId="8461" priority="304">
      <formula>SEARCH("RICHIESTO",$M20)&gt;0</formula>
    </cfRule>
    <cfRule type="expression" dxfId="8460" priority="305">
      <formula>SEARCH("DA CHIUDERE",$M20)&gt;0</formula>
    </cfRule>
    <cfRule type="expression" dxfId="8459" priority="306">
      <formula>SEARCH("INTERROTTO",$M20)&gt;0</formula>
    </cfRule>
  </conditionalFormatting>
  <conditionalFormatting sqref="M20">
    <cfRule type="expression" dxfId="8458" priority="295">
      <formula>SEARCH("IN CORSO",$M20)&gt;0</formula>
    </cfRule>
    <cfRule type="expression" dxfId="8457" priority="296">
      <formula>SEARCH("CHIUSO",$M20)&gt;0</formula>
    </cfRule>
    <cfRule type="expression" dxfId="8456" priority="297">
      <formula>SEARCH("EMESSO",$M20)&gt;0</formula>
    </cfRule>
    <cfRule type="expression" dxfId="8455" priority="298">
      <formula>SEARCH("RICHIESTO",$M20)&gt;0</formula>
    </cfRule>
    <cfRule type="expression" dxfId="8454" priority="299">
      <formula>SEARCH("DA CHIUDERE",$M20)&gt;0</formula>
    </cfRule>
    <cfRule type="expression" dxfId="8453" priority="300">
      <formula>SEARCH("INTERROTTO",$M20)&gt;0</formula>
    </cfRule>
  </conditionalFormatting>
  <conditionalFormatting sqref="E19:G19 N19:Q19">
    <cfRule type="expression" dxfId="8452" priority="289">
      <formula>SEARCH("IN CORSO",$M19)&gt;0</formula>
    </cfRule>
    <cfRule type="expression" dxfId="8451" priority="290">
      <formula>SEARCH("CHIUSO",$M19)&gt;0</formula>
    </cfRule>
    <cfRule type="expression" dxfId="8450" priority="291">
      <formula>SEARCH("EMESSO",$M19)&gt;0</formula>
    </cfRule>
    <cfRule type="expression" dxfId="8449" priority="292">
      <formula>SEARCH("RICHIESTO",$M19)&gt;0</formula>
    </cfRule>
    <cfRule type="expression" dxfId="8448" priority="293">
      <formula>SEARCH("DA CHIUDERE",$M19)&gt;0</formula>
    </cfRule>
    <cfRule type="expression" dxfId="8447" priority="294">
      <formula>SEARCH("INTERROTTO",$M19)&gt;0</formula>
    </cfRule>
  </conditionalFormatting>
  <conditionalFormatting sqref="R19:S19">
    <cfRule type="expression" dxfId="8446" priority="283">
      <formula>SEARCH("IN CORSO",$M19)&gt;0</formula>
    </cfRule>
    <cfRule type="expression" dxfId="8445" priority="284">
      <formula>SEARCH("CHIUSO",$M19)&gt;0</formula>
    </cfRule>
    <cfRule type="expression" dxfId="8444" priority="285">
      <formula>SEARCH("EMESSO",$M19)&gt;0</formula>
    </cfRule>
    <cfRule type="expression" dxfId="8443" priority="286">
      <formula>SEARCH("RICHIESTO",$M19)&gt;0</formula>
    </cfRule>
    <cfRule type="expression" dxfId="8442" priority="287">
      <formula>SEARCH("DA CHIUDERE",$M19)&gt;0</formula>
    </cfRule>
    <cfRule type="expression" dxfId="8441" priority="288">
      <formula>SEARCH("INTERROTTO",$M19)&gt;0</formula>
    </cfRule>
  </conditionalFormatting>
  <conditionalFormatting sqref="M19">
    <cfRule type="expression" dxfId="8440" priority="277">
      <formula>SEARCH("IN CORSO",$M19)&gt;0</formula>
    </cfRule>
    <cfRule type="expression" dxfId="8439" priority="278">
      <formula>SEARCH("CHIUSO",$M19)&gt;0</formula>
    </cfRule>
    <cfRule type="expression" dxfId="8438" priority="279">
      <formula>SEARCH("EMESSO",$M19)&gt;0</formula>
    </cfRule>
    <cfRule type="expression" dxfId="8437" priority="280">
      <formula>SEARCH("RICHIESTO",$M19)&gt;0</formula>
    </cfRule>
    <cfRule type="expression" dxfId="8436" priority="281">
      <formula>SEARCH("DA CHIUDERE",$M19)&gt;0</formula>
    </cfRule>
    <cfRule type="expression" dxfId="8435" priority="282">
      <formula>SEARCH("INTERROTTO",$M19)&gt;0</formula>
    </cfRule>
  </conditionalFormatting>
  <conditionalFormatting sqref="E18:G18 N18:Q18">
    <cfRule type="expression" dxfId="8434" priority="271">
      <formula>SEARCH("IN CORSO",$M18)&gt;0</formula>
    </cfRule>
    <cfRule type="expression" dxfId="8433" priority="272">
      <formula>SEARCH("CHIUSO",$M18)&gt;0</formula>
    </cfRule>
    <cfRule type="expression" dxfId="8432" priority="273">
      <formula>SEARCH("EMESSO",$M18)&gt;0</formula>
    </cfRule>
    <cfRule type="expression" dxfId="8431" priority="274">
      <formula>SEARCH("RICHIESTO",$M18)&gt;0</formula>
    </cfRule>
    <cfRule type="expression" dxfId="8430" priority="275">
      <formula>SEARCH("DA CHIUDERE",$M18)&gt;0</formula>
    </cfRule>
    <cfRule type="expression" dxfId="8429" priority="276">
      <formula>SEARCH("INTERROTTO",$M18)&gt;0</formula>
    </cfRule>
  </conditionalFormatting>
  <conditionalFormatting sqref="R18:S18">
    <cfRule type="expression" dxfId="8428" priority="265">
      <formula>SEARCH("IN CORSO",$M18)&gt;0</formula>
    </cfRule>
    <cfRule type="expression" dxfId="8427" priority="266">
      <formula>SEARCH("CHIUSO",$M18)&gt;0</formula>
    </cfRule>
    <cfRule type="expression" dxfId="8426" priority="267">
      <formula>SEARCH("EMESSO",$M18)&gt;0</formula>
    </cfRule>
    <cfRule type="expression" dxfId="8425" priority="268">
      <formula>SEARCH("RICHIESTO",$M18)&gt;0</formula>
    </cfRule>
    <cfRule type="expression" dxfId="8424" priority="269">
      <formula>SEARCH("DA CHIUDERE",$M18)&gt;0</formula>
    </cfRule>
    <cfRule type="expression" dxfId="8423" priority="270">
      <formula>SEARCH("INTERROTTO",$M18)&gt;0</formula>
    </cfRule>
  </conditionalFormatting>
  <conditionalFormatting sqref="M18">
    <cfRule type="expression" dxfId="8422" priority="259">
      <formula>SEARCH("IN CORSO",$M18)&gt;0</formula>
    </cfRule>
    <cfRule type="expression" dxfId="8421" priority="260">
      <formula>SEARCH("CHIUSO",$M18)&gt;0</formula>
    </cfRule>
    <cfRule type="expression" dxfId="8420" priority="261">
      <formula>SEARCH("EMESSO",$M18)&gt;0</formula>
    </cfRule>
    <cfRule type="expression" dxfId="8419" priority="262">
      <formula>SEARCH("RICHIESTO",$M18)&gt;0</formula>
    </cfRule>
    <cfRule type="expression" dxfId="8418" priority="263">
      <formula>SEARCH("DA CHIUDERE",$M18)&gt;0</formula>
    </cfRule>
    <cfRule type="expression" dxfId="8417" priority="264">
      <formula>SEARCH("INTERROTTO",$M18)&gt;0</formula>
    </cfRule>
  </conditionalFormatting>
  <conditionalFormatting sqref="E17:G17 N17:Q17">
    <cfRule type="expression" dxfId="8416" priority="253">
      <formula>SEARCH("IN CORSO",$M17)&gt;0</formula>
    </cfRule>
    <cfRule type="expression" dxfId="8415" priority="254">
      <formula>SEARCH("CHIUSO",$M17)&gt;0</formula>
    </cfRule>
    <cfRule type="expression" dxfId="8414" priority="255">
      <formula>SEARCH("EMESSO",$M17)&gt;0</formula>
    </cfRule>
    <cfRule type="expression" dxfId="8413" priority="256">
      <formula>SEARCH("RICHIESTO",$M17)&gt;0</formula>
    </cfRule>
    <cfRule type="expression" dxfId="8412" priority="257">
      <formula>SEARCH("DA CHIUDERE",$M17)&gt;0</formula>
    </cfRule>
    <cfRule type="expression" dxfId="8411" priority="258">
      <formula>SEARCH("INTERROTTO",$M17)&gt;0</formula>
    </cfRule>
  </conditionalFormatting>
  <conditionalFormatting sqref="R17:S17">
    <cfRule type="expression" dxfId="8410" priority="247">
      <formula>SEARCH("IN CORSO",$M17)&gt;0</formula>
    </cfRule>
    <cfRule type="expression" dxfId="8409" priority="248">
      <formula>SEARCH("CHIUSO",$M17)&gt;0</formula>
    </cfRule>
    <cfRule type="expression" dxfId="8408" priority="249">
      <formula>SEARCH("EMESSO",$M17)&gt;0</formula>
    </cfRule>
    <cfRule type="expression" dxfId="8407" priority="250">
      <formula>SEARCH("RICHIESTO",$M17)&gt;0</formula>
    </cfRule>
    <cfRule type="expression" dxfId="8406" priority="251">
      <formula>SEARCH("DA CHIUDERE",$M17)&gt;0</formula>
    </cfRule>
    <cfRule type="expression" dxfId="8405" priority="252">
      <formula>SEARCH("INTERROTTO",$M17)&gt;0</formula>
    </cfRule>
  </conditionalFormatting>
  <conditionalFormatting sqref="M17">
    <cfRule type="expression" dxfId="8404" priority="241">
      <formula>SEARCH("IN CORSO",$M17)&gt;0</formula>
    </cfRule>
    <cfRule type="expression" dxfId="8403" priority="242">
      <formula>SEARCH("CHIUSO",$M17)&gt;0</formula>
    </cfRule>
    <cfRule type="expression" dxfId="8402" priority="243">
      <formula>SEARCH("EMESSO",$M17)&gt;0</formula>
    </cfRule>
    <cfRule type="expression" dxfId="8401" priority="244">
      <formula>SEARCH("RICHIESTO",$M17)&gt;0</formula>
    </cfRule>
    <cfRule type="expression" dxfId="8400" priority="245">
      <formula>SEARCH("DA CHIUDERE",$M17)&gt;0</formula>
    </cfRule>
    <cfRule type="expression" dxfId="8399" priority="246">
      <formula>SEARCH("INTERROTTO",$M17)&gt;0</formula>
    </cfRule>
  </conditionalFormatting>
  <conditionalFormatting sqref="E16:G16 N16:Q16">
    <cfRule type="expression" dxfId="8398" priority="235">
      <formula>SEARCH("IN CORSO",$M16)&gt;0</formula>
    </cfRule>
    <cfRule type="expression" dxfId="8397" priority="236">
      <formula>SEARCH("CHIUSO",$M16)&gt;0</formula>
    </cfRule>
    <cfRule type="expression" dxfId="8396" priority="237">
      <formula>SEARCH("EMESSO",$M16)&gt;0</formula>
    </cfRule>
    <cfRule type="expression" dxfId="8395" priority="238">
      <formula>SEARCH("RICHIESTO",$M16)&gt;0</formula>
    </cfRule>
    <cfRule type="expression" dxfId="8394" priority="239">
      <formula>SEARCH("DA CHIUDERE",$M16)&gt;0</formula>
    </cfRule>
    <cfRule type="expression" dxfId="8393" priority="240">
      <formula>SEARCH("INTERROTTO",$M16)&gt;0</formula>
    </cfRule>
  </conditionalFormatting>
  <conditionalFormatting sqref="R16:S16">
    <cfRule type="expression" dxfId="8392" priority="229">
      <formula>SEARCH("IN CORSO",$M16)&gt;0</formula>
    </cfRule>
    <cfRule type="expression" dxfId="8391" priority="230">
      <formula>SEARCH("CHIUSO",$M16)&gt;0</formula>
    </cfRule>
    <cfRule type="expression" dxfId="8390" priority="231">
      <formula>SEARCH("EMESSO",$M16)&gt;0</formula>
    </cfRule>
    <cfRule type="expression" dxfId="8389" priority="232">
      <formula>SEARCH("RICHIESTO",$M16)&gt;0</formula>
    </cfRule>
    <cfRule type="expression" dxfId="8388" priority="233">
      <formula>SEARCH("DA CHIUDERE",$M16)&gt;0</formula>
    </cfRule>
    <cfRule type="expression" dxfId="8387" priority="234">
      <formula>SEARCH("INTERROTTO",$M16)&gt;0</formula>
    </cfRule>
  </conditionalFormatting>
  <conditionalFormatting sqref="M16">
    <cfRule type="expression" dxfId="8386" priority="223">
      <formula>SEARCH("IN CORSO",$M16)&gt;0</formula>
    </cfRule>
    <cfRule type="expression" dxfId="8385" priority="224">
      <formula>SEARCH("CHIUSO",$M16)&gt;0</formula>
    </cfRule>
    <cfRule type="expression" dxfId="8384" priority="225">
      <formula>SEARCH("EMESSO",$M16)&gt;0</formula>
    </cfRule>
    <cfRule type="expression" dxfId="8383" priority="226">
      <formula>SEARCH("RICHIESTO",$M16)&gt;0</formula>
    </cfRule>
    <cfRule type="expression" dxfId="8382" priority="227">
      <formula>SEARCH("DA CHIUDERE",$M16)&gt;0</formula>
    </cfRule>
    <cfRule type="expression" dxfId="8381" priority="228">
      <formula>SEARCH("INTERROTTO",$M16)&gt;0</formula>
    </cfRule>
  </conditionalFormatting>
  <conditionalFormatting sqref="E15:G15 N15:Q15">
    <cfRule type="expression" dxfId="8380" priority="217">
      <formula>SEARCH("IN CORSO",$M15)&gt;0</formula>
    </cfRule>
    <cfRule type="expression" dxfId="8379" priority="218">
      <formula>SEARCH("CHIUSO",$M15)&gt;0</formula>
    </cfRule>
    <cfRule type="expression" dxfId="8378" priority="219">
      <formula>SEARCH("EMESSO",$M15)&gt;0</formula>
    </cfRule>
    <cfRule type="expression" dxfId="8377" priority="220">
      <formula>SEARCH("RICHIESTO",$M15)&gt;0</formula>
    </cfRule>
    <cfRule type="expression" dxfId="8376" priority="221">
      <formula>SEARCH("DA CHIUDERE",$M15)&gt;0</formula>
    </cfRule>
    <cfRule type="expression" dxfId="8375" priority="222">
      <formula>SEARCH("INTERROTTO",$M15)&gt;0</formula>
    </cfRule>
  </conditionalFormatting>
  <conditionalFormatting sqref="R15:S15">
    <cfRule type="expression" dxfId="8374" priority="211">
      <formula>SEARCH("IN CORSO",$M15)&gt;0</formula>
    </cfRule>
    <cfRule type="expression" dxfId="8373" priority="212">
      <formula>SEARCH("CHIUSO",$M15)&gt;0</formula>
    </cfRule>
    <cfRule type="expression" dxfId="8372" priority="213">
      <formula>SEARCH("EMESSO",$M15)&gt;0</formula>
    </cfRule>
    <cfRule type="expression" dxfId="8371" priority="214">
      <formula>SEARCH("RICHIESTO",$M15)&gt;0</formula>
    </cfRule>
    <cfRule type="expression" dxfId="8370" priority="215">
      <formula>SEARCH("DA CHIUDERE",$M15)&gt;0</formula>
    </cfRule>
    <cfRule type="expression" dxfId="8369" priority="216">
      <formula>SEARCH("INTERROTTO",$M15)&gt;0</formula>
    </cfRule>
  </conditionalFormatting>
  <conditionalFormatting sqref="M15">
    <cfRule type="expression" dxfId="8368" priority="205">
      <formula>SEARCH("IN CORSO",$M15)&gt;0</formula>
    </cfRule>
    <cfRule type="expression" dxfId="8367" priority="206">
      <formula>SEARCH("CHIUSO",$M15)&gt;0</formula>
    </cfRule>
    <cfRule type="expression" dxfId="8366" priority="207">
      <formula>SEARCH("EMESSO",$M15)&gt;0</formula>
    </cfRule>
    <cfRule type="expression" dxfId="8365" priority="208">
      <formula>SEARCH("RICHIESTO",$M15)&gt;0</formula>
    </cfRule>
    <cfRule type="expression" dxfId="8364" priority="209">
      <formula>SEARCH("DA CHIUDERE",$M15)&gt;0</formula>
    </cfRule>
    <cfRule type="expression" dxfId="8363" priority="210">
      <formula>SEARCH("INTERROTTO",$M15)&gt;0</formula>
    </cfRule>
  </conditionalFormatting>
  <conditionalFormatting sqref="E14:G14 N14:Q14">
    <cfRule type="expression" dxfId="8362" priority="199">
      <formula>SEARCH("IN CORSO",$M14)&gt;0</formula>
    </cfRule>
    <cfRule type="expression" dxfId="8361" priority="200">
      <formula>SEARCH("CHIUSO",$M14)&gt;0</formula>
    </cfRule>
    <cfRule type="expression" dxfId="8360" priority="201">
      <formula>SEARCH("EMESSO",$M14)&gt;0</formula>
    </cfRule>
    <cfRule type="expression" dxfId="8359" priority="202">
      <formula>SEARCH("RICHIESTO",$M14)&gt;0</formula>
    </cfRule>
    <cfRule type="expression" dxfId="8358" priority="203">
      <formula>SEARCH("DA CHIUDERE",$M14)&gt;0</formula>
    </cfRule>
    <cfRule type="expression" dxfId="8357" priority="204">
      <formula>SEARCH("INTERROTTO",$M14)&gt;0</formula>
    </cfRule>
  </conditionalFormatting>
  <conditionalFormatting sqref="R14:S14">
    <cfRule type="expression" dxfId="8356" priority="193">
      <formula>SEARCH("IN CORSO",$M14)&gt;0</formula>
    </cfRule>
    <cfRule type="expression" dxfId="8355" priority="194">
      <formula>SEARCH("CHIUSO",$M14)&gt;0</formula>
    </cfRule>
    <cfRule type="expression" dxfId="8354" priority="195">
      <formula>SEARCH("EMESSO",$M14)&gt;0</formula>
    </cfRule>
    <cfRule type="expression" dxfId="8353" priority="196">
      <formula>SEARCH("RICHIESTO",$M14)&gt;0</formula>
    </cfRule>
    <cfRule type="expression" dxfId="8352" priority="197">
      <formula>SEARCH("DA CHIUDERE",$M14)&gt;0</formula>
    </cfRule>
    <cfRule type="expression" dxfId="8351" priority="198">
      <formula>SEARCH("INTERROTTO",$M14)&gt;0</formula>
    </cfRule>
  </conditionalFormatting>
  <conditionalFormatting sqref="M14">
    <cfRule type="expression" dxfId="8350" priority="187">
      <formula>SEARCH("IN CORSO",$M14)&gt;0</formula>
    </cfRule>
    <cfRule type="expression" dxfId="8349" priority="188">
      <formula>SEARCH("CHIUSO",$M14)&gt;0</formula>
    </cfRule>
    <cfRule type="expression" dxfId="8348" priority="189">
      <formula>SEARCH("EMESSO",$M14)&gt;0</formula>
    </cfRule>
    <cfRule type="expression" dxfId="8347" priority="190">
      <formula>SEARCH("RICHIESTO",$M14)&gt;0</formula>
    </cfRule>
    <cfRule type="expression" dxfId="8346" priority="191">
      <formula>SEARCH("DA CHIUDERE",$M14)&gt;0</formula>
    </cfRule>
    <cfRule type="expression" dxfId="8345" priority="192">
      <formula>SEARCH("INTERROTTO",$M14)&gt;0</formula>
    </cfRule>
  </conditionalFormatting>
  <conditionalFormatting sqref="E13:G13 N13:Q13">
    <cfRule type="expression" dxfId="8344" priority="181">
      <formula>SEARCH("IN CORSO",$M13)&gt;0</formula>
    </cfRule>
    <cfRule type="expression" dxfId="8343" priority="182">
      <formula>SEARCH("CHIUSO",$M13)&gt;0</formula>
    </cfRule>
    <cfRule type="expression" dxfId="8342" priority="183">
      <formula>SEARCH("EMESSO",$M13)&gt;0</formula>
    </cfRule>
    <cfRule type="expression" dxfId="8341" priority="184">
      <formula>SEARCH("RICHIESTO",$M13)&gt;0</formula>
    </cfRule>
    <cfRule type="expression" dxfId="8340" priority="185">
      <formula>SEARCH("DA CHIUDERE",$M13)&gt;0</formula>
    </cfRule>
    <cfRule type="expression" dxfId="8339" priority="186">
      <formula>SEARCH("INTERROTTO",$M13)&gt;0</formula>
    </cfRule>
  </conditionalFormatting>
  <conditionalFormatting sqref="R13:S13">
    <cfRule type="expression" dxfId="8338" priority="175">
      <formula>SEARCH("IN CORSO",$M13)&gt;0</formula>
    </cfRule>
    <cfRule type="expression" dxfId="8337" priority="176">
      <formula>SEARCH("CHIUSO",$M13)&gt;0</formula>
    </cfRule>
    <cfRule type="expression" dxfId="8336" priority="177">
      <formula>SEARCH("EMESSO",$M13)&gt;0</formula>
    </cfRule>
    <cfRule type="expression" dxfId="8335" priority="178">
      <formula>SEARCH("RICHIESTO",$M13)&gt;0</formula>
    </cfRule>
    <cfRule type="expression" dxfId="8334" priority="179">
      <formula>SEARCH("DA CHIUDERE",$M13)&gt;0</formula>
    </cfRule>
    <cfRule type="expression" dxfId="8333" priority="180">
      <formula>SEARCH("INTERROTTO",$M13)&gt;0</formula>
    </cfRule>
  </conditionalFormatting>
  <conditionalFormatting sqref="M13">
    <cfRule type="expression" dxfId="8332" priority="169">
      <formula>SEARCH("IN CORSO",$M13)&gt;0</formula>
    </cfRule>
    <cfRule type="expression" dxfId="8331" priority="170">
      <formula>SEARCH("CHIUSO",$M13)&gt;0</formula>
    </cfRule>
    <cfRule type="expression" dxfId="8330" priority="171">
      <formula>SEARCH("EMESSO",$M13)&gt;0</formula>
    </cfRule>
    <cfRule type="expression" dxfId="8329" priority="172">
      <formula>SEARCH("RICHIESTO",$M13)&gt;0</formula>
    </cfRule>
    <cfRule type="expression" dxfId="8328" priority="173">
      <formula>SEARCH("DA CHIUDERE",$M13)&gt;0</formula>
    </cfRule>
    <cfRule type="expression" dxfId="8327" priority="174">
      <formula>SEARCH("INTERROTTO",$M13)&gt;0</formula>
    </cfRule>
  </conditionalFormatting>
  <conditionalFormatting sqref="E12:G12 N12:Q12">
    <cfRule type="expression" dxfId="8326" priority="163">
      <formula>SEARCH("IN CORSO",$M12)&gt;0</formula>
    </cfRule>
    <cfRule type="expression" dxfId="8325" priority="164">
      <formula>SEARCH("CHIUSO",$M12)&gt;0</formula>
    </cfRule>
    <cfRule type="expression" dxfId="8324" priority="165">
      <formula>SEARCH("EMESSO",$M12)&gt;0</formula>
    </cfRule>
    <cfRule type="expression" dxfId="8323" priority="166">
      <formula>SEARCH("RICHIESTO",$M12)&gt;0</formula>
    </cfRule>
    <cfRule type="expression" dxfId="8322" priority="167">
      <formula>SEARCH("DA CHIUDERE",$M12)&gt;0</formula>
    </cfRule>
    <cfRule type="expression" dxfId="8321" priority="168">
      <formula>SEARCH("INTERROTTO",$M12)&gt;0</formula>
    </cfRule>
  </conditionalFormatting>
  <conditionalFormatting sqref="R12:S12">
    <cfRule type="expression" dxfId="8320" priority="157">
      <formula>SEARCH("IN CORSO",$M12)&gt;0</formula>
    </cfRule>
    <cfRule type="expression" dxfId="8319" priority="158">
      <formula>SEARCH("CHIUSO",$M12)&gt;0</formula>
    </cfRule>
    <cfRule type="expression" dxfId="8318" priority="159">
      <formula>SEARCH("EMESSO",$M12)&gt;0</formula>
    </cfRule>
    <cfRule type="expression" dxfId="8317" priority="160">
      <formula>SEARCH("RICHIESTO",$M12)&gt;0</formula>
    </cfRule>
    <cfRule type="expression" dxfId="8316" priority="161">
      <formula>SEARCH("DA CHIUDERE",$M12)&gt;0</formula>
    </cfRule>
    <cfRule type="expression" dxfId="8315" priority="162">
      <formula>SEARCH("INTERROTTO",$M12)&gt;0</formula>
    </cfRule>
  </conditionalFormatting>
  <conditionalFormatting sqref="M12">
    <cfRule type="expression" dxfId="8314" priority="151">
      <formula>SEARCH("IN CORSO",$M12)&gt;0</formula>
    </cfRule>
    <cfRule type="expression" dxfId="8313" priority="152">
      <formula>SEARCH("CHIUSO",$M12)&gt;0</formula>
    </cfRule>
    <cfRule type="expression" dxfId="8312" priority="153">
      <formula>SEARCH("EMESSO",$M12)&gt;0</formula>
    </cfRule>
    <cfRule type="expression" dxfId="8311" priority="154">
      <formula>SEARCH("RICHIESTO",$M12)&gt;0</formula>
    </cfRule>
    <cfRule type="expression" dxfId="8310" priority="155">
      <formula>SEARCH("DA CHIUDERE",$M12)&gt;0</formula>
    </cfRule>
    <cfRule type="expression" dxfId="8309" priority="156">
      <formula>SEARCH("INTERROTTO",$M12)&gt;0</formula>
    </cfRule>
  </conditionalFormatting>
  <conditionalFormatting sqref="E11:G11 N11:Q11">
    <cfRule type="expression" dxfId="8308" priority="145">
      <formula>SEARCH("IN CORSO",$M11)&gt;0</formula>
    </cfRule>
    <cfRule type="expression" dxfId="8307" priority="146">
      <formula>SEARCH("CHIUSO",$M11)&gt;0</formula>
    </cfRule>
    <cfRule type="expression" dxfId="8306" priority="147">
      <formula>SEARCH("EMESSO",$M11)&gt;0</formula>
    </cfRule>
    <cfRule type="expression" dxfId="8305" priority="148">
      <formula>SEARCH("RICHIESTO",$M11)&gt;0</formula>
    </cfRule>
    <cfRule type="expression" dxfId="8304" priority="149">
      <formula>SEARCH("DA CHIUDERE",$M11)&gt;0</formula>
    </cfRule>
    <cfRule type="expression" dxfId="8303" priority="150">
      <formula>SEARCH("INTERROTTO",$M11)&gt;0</formula>
    </cfRule>
  </conditionalFormatting>
  <conditionalFormatting sqref="R11:S11">
    <cfRule type="expression" dxfId="8302" priority="139">
      <formula>SEARCH("IN CORSO",$M11)&gt;0</formula>
    </cfRule>
    <cfRule type="expression" dxfId="8301" priority="140">
      <formula>SEARCH("CHIUSO",$M11)&gt;0</formula>
    </cfRule>
    <cfRule type="expression" dxfId="8300" priority="141">
      <formula>SEARCH("EMESSO",$M11)&gt;0</formula>
    </cfRule>
    <cfRule type="expression" dxfId="8299" priority="142">
      <formula>SEARCH("RICHIESTO",$M11)&gt;0</formula>
    </cfRule>
    <cfRule type="expression" dxfId="8298" priority="143">
      <formula>SEARCH("DA CHIUDERE",$M11)&gt;0</formula>
    </cfRule>
    <cfRule type="expression" dxfId="8297" priority="144">
      <formula>SEARCH("INTERROTTO",$M11)&gt;0</formula>
    </cfRule>
  </conditionalFormatting>
  <conditionalFormatting sqref="M11">
    <cfRule type="expression" dxfId="8296" priority="133">
      <formula>SEARCH("IN CORSO",$M11)&gt;0</formula>
    </cfRule>
    <cfRule type="expression" dxfId="8295" priority="134">
      <formula>SEARCH("CHIUSO",$M11)&gt;0</formula>
    </cfRule>
    <cfRule type="expression" dxfId="8294" priority="135">
      <formula>SEARCH("EMESSO",$M11)&gt;0</formula>
    </cfRule>
    <cfRule type="expression" dxfId="8293" priority="136">
      <formula>SEARCH("RICHIESTO",$M11)&gt;0</formula>
    </cfRule>
    <cfRule type="expression" dxfId="8292" priority="137">
      <formula>SEARCH("DA CHIUDERE",$M11)&gt;0</formula>
    </cfRule>
    <cfRule type="expression" dxfId="8291" priority="138">
      <formula>SEARCH("INTERROTTO",$M11)&gt;0</formula>
    </cfRule>
  </conditionalFormatting>
  <conditionalFormatting sqref="E10:G10 N10:Q10">
    <cfRule type="expression" dxfId="8290" priority="127">
      <formula>SEARCH("IN CORSO",$M10)&gt;0</formula>
    </cfRule>
    <cfRule type="expression" dxfId="8289" priority="128">
      <formula>SEARCH("CHIUSO",$M10)&gt;0</formula>
    </cfRule>
    <cfRule type="expression" dxfId="8288" priority="129">
      <formula>SEARCH("EMESSO",$M10)&gt;0</formula>
    </cfRule>
    <cfRule type="expression" dxfId="8287" priority="130">
      <formula>SEARCH("RICHIESTO",$M10)&gt;0</formula>
    </cfRule>
    <cfRule type="expression" dxfId="8286" priority="131">
      <formula>SEARCH("DA CHIUDERE",$M10)&gt;0</formula>
    </cfRule>
    <cfRule type="expression" dxfId="8285" priority="132">
      <formula>SEARCH("INTERROTTO",$M10)&gt;0</formula>
    </cfRule>
  </conditionalFormatting>
  <conditionalFormatting sqref="E8:G8 N8:Q8">
    <cfRule type="expression" dxfId="8284" priority="85">
      <formula>SEARCH("IN CORSO",$M8)&gt;0</formula>
    </cfRule>
    <cfRule type="expression" dxfId="8283" priority="86">
      <formula>SEARCH("CHIUSO",$M8)&gt;0</formula>
    </cfRule>
    <cfRule type="expression" dxfId="8282" priority="87">
      <formula>SEARCH("EMESSO",$M8)&gt;0</formula>
    </cfRule>
    <cfRule type="expression" dxfId="8281" priority="88">
      <formula>SEARCH("RICHIESTO",$M8)&gt;0</formula>
    </cfRule>
    <cfRule type="expression" dxfId="8280" priority="89">
      <formula>SEARCH("DA CHIUDERE",$M8)&gt;0</formula>
    </cfRule>
    <cfRule type="expression" dxfId="8279" priority="90">
      <formula>SEARCH("INTERROTTO",$M8)&gt;0</formula>
    </cfRule>
  </conditionalFormatting>
  <conditionalFormatting sqref="R8:S8">
    <cfRule type="expression" dxfId="8278" priority="79">
      <formula>SEARCH("IN CORSO",$M8)&gt;0</formula>
    </cfRule>
    <cfRule type="expression" dxfId="8277" priority="80">
      <formula>SEARCH("CHIUSO",$M8)&gt;0</formula>
    </cfRule>
    <cfRule type="expression" dxfId="8276" priority="81">
      <formula>SEARCH("EMESSO",$M8)&gt;0</formula>
    </cfRule>
    <cfRule type="expression" dxfId="8275" priority="82">
      <formula>SEARCH("RICHIESTO",$M8)&gt;0</formula>
    </cfRule>
    <cfRule type="expression" dxfId="8274" priority="83">
      <formula>SEARCH("DA CHIUDERE",$M8)&gt;0</formula>
    </cfRule>
    <cfRule type="expression" dxfId="8273" priority="84">
      <formula>SEARCH("INTERROTTO",$M8)&gt;0</formula>
    </cfRule>
  </conditionalFormatting>
  <conditionalFormatting sqref="M8">
    <cfRule type="expression" dxfId="8272" priority="73">
      <formula>SEARCH("IN CORSO",$M8)&gt;0</formula>
    </cfRule>
    <cfRule type="expression" dxfId="8271" priority="74">
      <formula>SEARCH("CHIUSO",$M8)&gt;0</formula>
    </cfRule>
    <cfRule type="expression" dxfId="8270" priority="75">
      <formula>SEARCH("EMESSO",$M8)&gt;0</formula>
    </cfRule>
    <cfRule type="expression" dxfId="8269" priority="76">
      <formula>SEARCH("RICHIESTO",$M8)&gt;0</formula>
    </cfRule>
    <cfRule type="expression" dxfId="8268" priority="77">
      <formula>SEARCH("DA CHIUDERE",$M8)&gt;0</formula>
    </cfRule>
    <cfRule type="expression" dxfId="8267" priority="78">
      <formula>SEARCH("INTERROTTO",$M8)&gt;0</formula>
    </cfRule>
  </conditionalFormatting>
  <conditionalFormatting sqref="E7:G7 N7:Q7">
    <cfRule type="expression" dxfId="8266" priority="67">
      <formula>SEARCH("IN CORSO",$M7)&gt;0</formula>
    </cfRule>
    <cfRule type="expression" dxfId="8265" priority="68">
      <formula>SEARCH("CHIUSO",$M7)&gt;0</formula>
    </cfRule>
    <cfRule type="expression" dxfId="8264" priority="69">
      <formula>SEARCH("EMESSO",$M7)&gt;0</formula>
    </cfRule>
    <cfRule type="expression" dxfId="8263" priority="70">
      <formula>SEARCH("RICHIESTO",$M7)&gt;0</formula>
    </cfRule>
    <cfRule type="expression" dxfId="8262" priority="71">
      <formula>SEARCH("DA CHIUDERE",$M7)&gt;0</formula>
    </cfRule>
    <cfRule type="expression" dxfId="8261" priority="72">
      <formula>SEARCH("INTERROTTO",$M7)&gt;0</formula>
    </cfRule>
  </conditionalFormatting>
  <conditionalFormatting sqref="R7:S7">
    <cfRule type="expression" dxfId="8260" priority="61">
      <formula>SEARCH("IN CORSO",$M7)&gt;0</formula>
    </cfRule>
    <cfRule type="expression" dxfId="8259" priority="62">
      <formula>SEARCH("CHIUSO",$M7)&gt;0</formula>
    </cfRule>
    <cfRule type="expression" dxfId="8258" priority="63">
      <formula>SEARCH("EMESSO",$M7)&gt;0</formula>
    </cfRule>
    <cfRule type="expression" dxfId="8257" priority="64">
      <formula>SEARCH("RICHIESTO",$M7)&gt;0</formula>
    </cfRule>
    <cfRule type="expression" dxfId="8256" priority="65">
      <formula>SEARCH("DA CHIUDERE",$M7)&gt;0</formula>
    </cfRule>
    <cfRule type="expression" dxfId="8255" priority="66">
      <formula>SEARCH("INTERROTTO",$M7)&gt;0</formula>
    </cfRule>
  </conditionalFormatting>
  <conditionalFormatting sqref="M7">
    <cfRule type="expression" dxfId="8254" priority="55">
      <formula>SEARCH("IN CORSO",$M7)&gt;0</formula>
    </cfRule>
    <cfRule type="expression" dxfId="8253" priority="56">
      <formula>SEARCH("CHIUSO",$M7)&gt;0</formula>
    </cfRule>
    <cfRule type="expression" dxfId="8252" priority="57">
      <formula>SEARCH("EMESSO",$M7)&gt;0</formula>
    </cfRule>
    <cfRule type="expression" dxfId="8251" priority="58">
      <formula>SEARCH("RICHIESTO",$M7)&gt;0</formula>
    </cfRule>
    <cfRule type="expression" dxfId="8250" priority="59">
      <formula>SEARCH("DA CHIUDERE",$M7)&gt;0</formula>
    </cfRule>
    <cfRule type="expression" dxfId="8249" priority="60">
      <formula>SEARCH("INTERROTTO",$M7)&gt;0</formula>
    </cfRule>
  </conditionalFormatting>
  <conditionalFormatting sqref="E6:G6 N6:Q6">
    <cfRule type="expression" dxfId="8248" priority="49">
      <formula>SEARCH("IN CORSO",$M6)&gt;0</formula>
    </cfRule>
    <cfRule type="expression" dxfId="8247" priority="50">
      <formula>SEARCH("CHIUSO",$M6)&gt;0</formula>
    </cfRule>
    <cfRule type="expression" dxfId="8246" priority="51">
      <formula>SEARCH("EMESSO",$M6)&gt;0</formula>
    </cfRule>
    <cfRule type="expression" dxfId="8245" priority="52">
      <formula>SEARCH("RICHIESTO",$M6)&gt;0</formula>
    </cfRule>
    <cfRule type="expression" dxfId="8244" priority="53">
      <formula>SEARCH("DA CHIUDERE",$M6)&gt;0</formula>
    </cfRule>
    <cfRule type="expression" dxfId="8243" priority="54">
      <formula>SEARCH("INTERROTTO",$M6)&gt;0</formula>
    </cfRule>
  </conditionalFormatting>
  <conditionalFormatting sqref="M6">
    <cfRule type="expression" dxfId="8242" priority="43">
      <formula>SEARCH("IN CORSO",$M6)&gt;0</formula>
    </cfRule>
    <cfRule type="expression" dxfId="8241" priority="44">
      <formula>SEARCH("CHIUSO",$M6)&gt;0</formula>
    </cfRule>
    <cfRule type="expression" dxfId="8240" priority="45">
      <formula>SEARCH("EMESSO",$M6)&gt;0</formula>
    </cfRule>
    <cfRule type="expression" dxfId="8239" priority="46">
      <formula>SEARCH("RICHIESTO",$M6)&gt;0</formula>
    </cfRule>
    <cfRule type="expression" dxfId="8238" priority="47">
      <formula>SEARCH("DA CHIUDERE",$M6)&gt;0</formula>
    </cfRule>
    <cfRule type="expression" dxfId="8237" priority="48">
      <formula>SEARCH("INTERROTTO",$M6)&gt;0</formula>
    </cfRule>
  </conditionalFormatting>
  <conditionalFormatting sqref="R6:S6">
    <cfRule type="expression" dxfId="8236" priority="37">
      <formula>SEARCH("IN CORSO",$M6)&gt;0</formula>
    </cfRule>
    <cfRule type="expression" dxfId="8235" priority="38">
      <formula>SEARCH("CHIUSO",$M6)&gt;0</formula>
    </cfRule>
    <cfRule type="expression" dxfId="8234" priority="39">
      <formula>SEARCH("EMESSO",$M6)&gt;0</formula>
    </cfRule>
    <cfRule type="expression" dxfId="8233" priority="40">
      <formula>SEARCH("RICHIESTO",$M6)&gt;0</formula>
    </cfRule>
    <cfRule type="expression" dxfId="8232" priority="41">
      <formula>SEARCH("DA CHIUDERE",$M6)&gt;0</formula>
    </cfRule>
    <cfRule type="expression" dxfId="8231" priority="42">
      <formula>SEARCH("INTERROTTO",$M6)&gt;0</formula>
    </cfRule>
  </conditionalFormatting>
  <conditionalFormatting sqref="E233:G233 M233:S233">
    <cfRule type="expression" dxfId="8230" priority="4915">
      <formula>SEARCH("IN CORSO",$M233)&gt;0</formula>
    </cfRule>
    <cfRule type="expression" dxfId="8229" priority="4916">
      <formula>SEARCH("CHIUSO",$M233)&gt;0</formula>
    </cfRule>
    <cfRule type="expression" dxfId="8228" priority="4917">
      <formula>SEARCH("EMESSO",$M233)&gt;0</formula>
    </cfRule>
    <cfRule type="expression" dxfId="8227" priority="4918">
      <formula>SEARCH("RICHIESTO",$M233)&gt;0</formula>
    </cfRule>
    <cfRule type="expression" dxfId="8226" priority="4919">
      <formula>SEARCH("DA CHIUDERE",$M233)&gt;0</formula>
    </cfRule>
    <cfRule type="expression" dxfId="8225" priority="4920">
      <formula>SEARCH("INTERROTTO",$M233)&gt;0</formula>
    </cfRule>
  </conditionalFormatting>
  <conditionalFormatting sqref="E232:G232 M232:S232">
    <cfRule type="expression" dxfId="8224" priority="4909">
      <formula>SEARCH("IN CORSO",$M232)&gt;0</formula>
    </cfRule>
    <cfRule type="expression" dxfId="8223" priority="4910">
      <formula>SEARCH("CHIUSO",$M232)&gt;0</formula>
    </cfRule>
    <cfRule type="expression" dxfId="8222" priority="4911">
      <formula>SEARCH("EMESSO",$M232)&gt;0</formula>
    </cfRule>
    <cfRule type="expression" dxfId="8221" priority="4912">
      <formula>SEARCH("RICHIESTO",$M232)&gt;0</formula>
    </cfRule>
    <cfRule type="expression" dxfId="8220" priority="4913">
      <formula>SEARCH("DA CHIUDERE",$M232)&gt;0</formula>
    </cfRule>
    <cfRule type="expression" dxfId="8219" priority="4914">
      <formula>SEARCH("INTERROTTO",$M232)&gt;0</formula>
    </cfRule>
  </conditionalFormatting>
  <conditionalFormatting sqref="E231:G231 M231:S231">
    <cfRule type="expression" dxfId="8218" priority="4897">
      <formula>SEARCH("IN CORSO",$M231)&gt;0</formula>
    </cfRule>
    <cfRule type="expression" dxfId="8217" priority="4898">
      <formula>SEARCH("CHIUSO",$M231)&gt;0</formula>
    </cfRule>
    <cfRule type="expression" dxfId="8216" priority="4899">
      <formula>SEARCH("EMESSO",$M231)&gt;0</formula>
    </cfRule>
    <cfRule type="expression" dxfId="8215" priority="4900">
      <formula>SEARCH("RICHIESTO",$M231)&gt;0</formula>
    </cfRule>
    <cfRule type="expression" dxfId="8214" priority="4901">
      <formula>SEARCH("DA CHIUDERE",$M231)&gt;0</formula>
    </cfRule>
    <cfRule type="expression" dxfId="8213" priority="4902">
      <formula>SEARCH("INTERROTTO",$M231)&gt;0</formula>
    </cfRule>
  </conditionalFormatting>
  <conditionalFormatting sqref="E230:G230 N230:S230">
    <cfRule type="expression" dxfId="8212" priority="4891">
      <formula>SEARCH("IN CORSO",$M230)&gt;0</formula>
    </cfRule>
    <cfRule type="expression" dxfId="8211" priority="4892">
      <formula>SEARCH("CHIUSO",$M230)&gt;0</formula>
    </cfRule>
    <cfRule type="expression" dxfId="8210" priority="4893">
      <formula>SEARCH("EMESSO",$M230)&gt;0</formula>
    </cfRule>
    <cfRule type="expression" dxfId="8209" priority="4894">
      <formula>SEARCH("RICHIESTO",$M230)&gt;0</formula>
    </cfRule>
    <cfRule type="expression" dxfId="8208" priority="4895">
      <formula>SEARCH("DA CHIUDERE",$M230)&gt;0</formula>
    </cfRule>
    <cfRule type="expression" dxfId="8207" priority="4896">
      <formula>SEARCH("INTERROTTO",$M230)&gt;0</formula>
    </cfRule>
  </conditionalFormatting>
  <conditionalFormatting sqref="E229:G229 M229:S229">
    <cfRule type="expression" dxfId="8206" priority="4885">
      <formula>SEARCH("IN CORSO",$M229)&gt;0</formula>
    </cfRule>
    <cfRule type="expression" dxfId="8205" priority="4886">
      <formula>SEARCH("CHIUSO",$M229)&gt;0</formula>
    </cfRule>
    <cfRule type="expression" dxfId="8204" priority="4887">
      <formula>SEARCH("EMESSO",$M229)&gt;0</formula>
    </cfRule>
    <cfRule type="expression" dxfId="8203" priority="4888">
      <formula>SEARCH("RICHIESTO",$M229)&gt;0</formula>
    </cfRule>
    <cfRule type="expression" dxfId="8202" priority="4889">
      <formula>SEARCH("DA CHIUDERE",$M229)&gt;0</formula>
    </cfRule>
    <cfRule type="expression" dxfId="8201" priority="4890">
      <formula>SEARCH("INTERROTTO",$M229)&gt;0</formula>
    </cfRule>
  </conditionalFormatting>
  <conditionalFormatting sqref="M230">
    <cfRule type="expression" dxfId="8200" priority="4879">
      <formula>SEARCH("IN CORSO",$M230)&gt;0</formula>
    </cfRule>
    <cfRule type="expression" dxfId="8199" priority="4880">
      <formula>SEARCH("CHIUSO",$M230)&gt;0</formula>
    </cfRule>
    <cfRule type="expression" dxfId="8198" priority="4881">
      <formula>SEARCH("EMESSO",$M230)&gt;0</formula>
    </cfRule>
    <cfRule type="expression" dxfId="8197" priority="4882">
      <formula>SEARCH("RICHIESTO",$M230)&gt;0</formula>
    </cfRule>
    <cfRule type="expression" dxfId="8196" priority="4883">
      <formula>SEARCH("DA CHIUDERE",$M230)&gt;0</formula>
    </cfRule>
    <cfRule type="expression" dxfId="8195" priority="4884">
      <formula>SEARCH("INTERROTTO",$M230)&gt;0</formula>
    </cfRule>
  </conditionalFormatting>
  <conditionalFormatting sqref="E228:G228 M228:S228">
    <cfRule type="expression" dxfId="8194" priority="4873">
      <formula>SEARCH("IN CORSO",$M228)&gt;0</formula>
    </cfRule>
    <cfRule type="expression" dxfId="8193" priority="4874">
      <formula>SEARCH("CHIUSO",$M228)&gt;0</formula>
    </cfRule>
    <cfRule type="expression" dxfId="8192" priority="4875">
      <formula>SEARCH("EMESSO",$M228)&gt;0</formula>
    </cfRule>
    <cfRule type="expression" dxfId="8191" priority="4876">
      <formula>SEARCH("RICHIESTO",$M228)&gt;0</formula>
    </cfRule>
    <cfRule type="expression" dxfId="8190" priority="4877">
      <formula>SEARCH("DA CHIUDERE",$M228)&gt;0</formula>
    </cfRule>
    <cfRule type="expression" dxfId="8189" priority="4878">
      <formula>SEARCH("INTERROTTO",$M228)&gt;0</formula>
    </cfRule>
  </conditionalFormatting>
  <conditionalFormatting sqref="E227:G227 M227:Q227">
    <cfRule type="expression" dxfId="8188" priority="4867">
      <formula>SEARCH("IN CORSO",$M227)&gt;0</formula>
    </cfRule>
    <cfRule type="expression" dxfId="8187" priority="4868">
      <formula>SEARCH("CHIUSO",$M227)&gt;0</formula>
    </cfRule>
    <cfRule type="expression" dxfId="8186" priority="4869">
      <formula>SEARCH("EMESSO",$M227)&gt;0</formula>
    </cfRule>
    <cfRule type="expression" dxfId="8185" priority="4870">
      <formula>SEARCH("RICHIESTO",$M227)&gt;0</formula>
    </cfRule>
    <cfRule type="expression" dxfId="8184" priority="4871">
      <formula>SEARCH("DA CHIUDERE",$M227)&gt;0</formula>
    </cfRule>
    <cfRule type="expression" dxfId="8183" priority="4872">
      <formula>SEARCH("INTERROTTO",$M227)&gt;0</formula>
    </cfRule>
  </conditionalFormatting>
  <conditionalFormatting sqref="E226:G226 M226:Q226">
    <cfRule type="expression" dxfId="8182" priority="4849">
      <formula>SEARCH("IN CORSO",$M226)&gt;0</formula>
    </cfRule>
    <cfRule type="expression" dxfId="8181" priority="4850">
      <formula>SEARCH("CHIUSO",$M226)&gt;0</formula>
    </cfRule>
    <cfRule type="expression" dxfId="8180" priority="4851">
      <formula>SEARCH("EMESSO",$M226)&gt;0</formula>
    </cfRule>
    <cfRule type="expression" dxfId="8179" priority="4852">
      <formula>SEARCH("RICHIESTO",$M226)&gt;0</formula>
    </cfRule>
    <cfRule type="expression" dxfId="8178" priority="4853">
      <formula>SEARCH("DA CHIUDERE",$M226)&gt;0</formula>
    </cfRule>
    <cfRule type="expression" dxfId="8177" priority="4854">
      <formula>SEARCH("INTERROTTO",$M226)&gt;0</formula>
    </cfRule>
  </conditionalFormatting>
  <conditionalFormatting sqref="R226:S226">
    <cfRule type="expression" dxfId="8176" priority="4843">
      <formula>SEARCH("IN CORSO",$M226)&gt;0</formula>
    </cfRule>
    <cfRule type="expression" dxfId="8175" priority="4844">
      <formula>SEARCH("CHIUSO",$M226)&gt;0</formula>
    </cfRule>
    <cfRule type="expression" dxfId="8174" priority="4845">
      <formula>SEARCH("EMESSO",$M226)&gt;0</formula>
    </cfRule>
    <cfRule type="expression" dxfId="8173" priority="4846">
      <formula>SEARCH("RICHIESTO",$M226)&gt;0</formula>
    </cfRule>
    <cfRule type="expression" dxfId="8172" priority="4847">
      <formula>SEARCH("DA CHIUDERE",$M226)&gt;0</formula>
    </cfRule>
    <cfRule type="expression" dxfId="8171" priority="4848">
      <formula>SEARCH("INTERROTTO",$M226)&gt;0</formula>
    </cfRule>
  </conditionalFormatting>
  <conditionalFormatting sqref="E225:G225 M225:Q225">
    <cfRule type="expression" dxfId="8170" priority="4837">
      <formula>SEARCH("IN CORSO",$M225)&gt;0</formula>
    </cfRule>
    <cfRule type="expression" dxfId="8169" priority="4838">
      <formula>SEARCH("CHIUSO",$M225)&gt;0</formula>
    </cfRule>
    <cfRule type="expression" dxfId="8168" priority="4839">
      <formula>SEARCH("EMESSO",$M225)&gt;0</formula>
    </cfRule>
    <cfRule type="expression" dxfId="8167" priority="4840">
      <formula>SEARCH("RICHIESTO",$M225)&gt;0</formula>
    </cfRule>
    <cfRule type="expression" dxfId="8166" priority="4841">
      <formula>SEARCH("DA CHIUDERE",$M225)&gt;0</formula>
    </cfRule>
    <cfRule type="expression" dxfId="8165" priority="4842">
      <formula>SEARCH("INTERROTTO",$M225)&gt;0</formula>
    </cfRule>
  </conditionalFormatting>
  <conditionalFormatting sqref="R225:S225">
    <cfRule type="expression" dxfId="8164" priority="4831">
      <formula>SEARCH("IN CORSO",$M225)&gt;0</formula>
    </cfRule>
    <cfRule type="expression" dxfId="8163" priority="4832">
      <formula>SEARCH("CHIUSO",$M225)&gt;0</formula>
    </cfRule>
    <cfRule type="expression" dxfId="8162" priority="4833">
      <formula>SEARCH("EMESSO",$M225)&gt;0</formula>
    </cfRule>
    <cfRule type="expression" dxfId="8161" priority="4834">
      <formula>SEARCH("RICHIESTO",$M225)&gt;0</formula>
    </cfRule>
    <cfRule type="expression" dxfId="8160" priority="4835">
      <formula>SEARCH("DA CHIUDERE",$M225)&gt;0</formula>
    </cfRule>
    <cfRule type="expression" dxfId="8159" priority="4836">
      <formula>SEARCH("INTERROTTO",$M225)&gt;0</formula>
    </cfRule>
  </conditionalFormatting>
  <conditionalFormatting sqref="E223:G223 N223:Q223">
    <cfRule type="expression" dxfId="8158" priority="4807">
      <formula>SEARCH("IN CORSO",$M223)&gt;0</formula>
    </cfRule>
    <cfRule type="expression" dxfId="8157" priority="4808">
      <formula>SEARCH("CHIUSO",$M223)&gt;0</formula>
    </cfRule>
    <cfRule type="expression" dxfId="8156" priority="4809">
      <formula>SEARCH("EMESSO",$M223)&gt;0</formula>
    </cfRule>
    <cfRule type="expression" dxfId="8155" priority="4810">
      <formula>SEARCH("RICHIESTO",$M223)&gt;0</formula>
    </cfRule>
    <cfRule type="expression" dxfId="8154" priority="4811">
      <formula>SEARCH("DA CHIUDERE",$M223)&gt;0</formula>
    </cfRule>
    <cfRule type="expression" dxfId="8153" priority="4812">
      <formula>SEARCH("INTERROTTO",$M223)&gt;0</formula>
    </cfRule>
  </conditionalFormatting>
  <conditionalFormatting sqref="R223:S223">
    <cfRule type="expression" dxfId="8152" priority="4801">
      <formula>SEARCH("IN CORSO",$M223)&gt;0</formula>
    </cfRule>
    <cfRule type="expression" dxfId="8151" priority="4802">
      <formula>SEARCH("CHIUSO",$M223)&gt;0</formula>
    </cfRule>
    <cfRule type="expression" dxfId="8150" priority="4803">
      <formula>SEARCH("EMESSO",$M223)&gt;0</formula>
    </cfRule>
    <cfRule type="expression" dxfId="8149" priority="4804">
      <formula>SEARCH("RICHIESTO",$M223)&gt;0</formula>
    </cfRule>
    <cfRule type="expression" dxfId="8148" priority="4805">
      <formula>SEARCH("DA CHIUDERE",$M223)&gt;0</formula>
    </cfRule>
    <cfRule type="expression" dxfId="8147" priority="4806">
      <formula>SEARCH("INTERROTTO",$M223)&gt;0</formula>
    </cfRule>
  </conditionalFormatting>
  <conditionalFormatting sqref="M223">
    <cfRule type="expression" dxfId="8146" priority="4795">
      <formula>SEARCH("IN CORSO",$M223)&gt;0</formula>
    </cfRule>
    <cfRule type="expression" dxfId="8145" priority="4796">
      <formula>SEARCH("CHIUSO",$M223)&gt;0</formula>
    </cfRule>
    <cfRule type="expression" dxfId="8144" priority="4797">
      <formula>SEARCH("EMESSO",$M223)&gt;0</formula>
    </cfRule>
    <cfRule type="expression" dxfId="8143" priority="4798">
      <formula>SEARCH("RICHIESTO",$M223)&gt;0</formula>
    </cfRule>
    <cfRule type="expression" dxfId="8142" priority="4799">
      <formula>SEARCH("DA CHIUDERE",$M223)&gt;0</formula>
    </cfRule>
    <cfRule type="expression" dxfId="8141" priority="4800">
      <formula>SEARCH("INTERROTTO",$M223)&gt;0</formula>
    </cfRule>
  </conditionalFormatting>
  <conditionalFormatting sqref="E222:G222 N222:Q222">
    <cfRule type="expression" dxfId="8140" priority="4789">
      <formula>SEARCH("IN CORSO",$M222)&gt;0</formula>
    </cfRule>
    <cfRule type="expression" dxfId="8139" priority="4790">
      <formula>SEARCH("CHIUSO",$M222)&gt;0</formula>
    </cfRule>
    <cfRule type="expression" dxfId="8138" priority="4791">
      <formula>SEARCH("EMESSO",$M222)&gt;0</formula>
    </cfRule>
    <cfRule type="expression" dxfId="8137" priority="4792">
      <formula>SEARCH("RICHIESTO",$M222)&gt;0</formula>
    </cfRule>
    <cfRule type="expression" dxfId="8136" priority="4793">
      <formula>SEARCH("DA CHIUDERE",$M222)&gt;0</formula>
    </cfRule>
    <cfRule type="expression" dxfId="8135" priority="4794">
      <formula>SEARCH("INTERROTTO",$M222)&gt;0</formula>
    </cfRule>
  </conditionalFormatting>
  <conditionalFormatting sqref="R222:S222">
    <cfRule type="expression" dxfId="8134" priority="4783">
      <formula>SEARCH("IN CORSO",$M222)&gt;0</formula>
    </cfRule>
    <cfRule type="expression" dxfId="8133" priority="4784">
      <formula>SEARCH("CHIUSO",$M222)&gt;0</formula>
    </cfRule>
    <cfRule type="expression" dxfId="8132" priority="4785">
      <formula>SEARCH("EMESSO",$M222)&gt;0</formula>
    </cfRule>
    <cfRule type="expression" dxfId="8131" priority="4786">
      <formula>SEARCH("RICHIESTO",$M222)&gt;0</formula>
    </cfRule>
    <cfRule type="expression" dxfId="8130" priority="4787">
      <formula>SEARCH("DA CHIUDERE",$M222)&gt;0</formula>
    </cfRule>
    <cfRule type="expression" dxfId="8129" priority="4788">
      <formula>SEARCH("INTERROTTO",$M222)&gt;0</formula>
    </cfRule>
  </conditionalFormatting>
  <conditionalFormatting sqref="M222">
    <cfRule type="expression" dxfId="8128" priority="4777">
      <formula>SEARCH("IN CORSO",$M222)&gt;0</formula>
    </cfRule>
    <cfRule type="expression" dxfId="8127" priority="4778">
      <formula>SEARCH("CHIUSO",$M222)&gt;0</formula>
    </cfRule>
    <cfRule type="expression" dxfId="8126" priority="4779">
      <formula>SEARCH("EMESSO",$M222)&gt;0</formula>
    </cfRule>
    <cfRule type="expression" dxfId="8125" priority="4780">
      <formula>SEARCH("RICHIESTO",$M222)&gt;0</formula>
    </cfRule>
    <cfRule type="expression" dxfId="8124" priority="4781">
      <formula>SEARCH("DA CHIUDERE",$M222)&gt;0</formula>
    </cfRule>
    <cfRule type="expression" dxfId="8123" priority="4782">
      <formula>SEARCH("INTERROTTO",$M222)&gt;0</formula>
    </cfRule>
  </conditionalFormatting>
  <conditionalFormatting sqref="E221:G221 N221:Q221">
    <cfRule type="expression" dxfId="8122" priority="4771">
      <formula>SEARCH("IN CORSO",$M221)&gt;0</formula>
    </cfRule>
    <cfRule type="expression" dxfId="8121" priority="4772">
      <formula>SEARCH("CHIUSO",$M221)&gt;0</formula>
    </cfRule>
    <cfRule type="expression" dxfId="8120" priority="4773">
      <formula>SEARCH("EMESSO",$M221)&gt;0</formula>
    </cfRule>
    <cfRule type="expression" dxfId="8119" priority="4774">
      <formula>SEARCH("RICHIESTO",$M221)&gt;0</formula>
    </cfRule>
    <cfRule type="expression" dxfId="8118" priority="4775">
      <formula>SEARCH("DA CHIUDERE",$M221)&gt;0</formula>
    </cfRule>
    <cfRule type="expression" dxfId="8117" priority="4776">
      <formula>SEARCH("INTERROTTO",$M221)&gt;0</formula>
    </cfRule>
  </conditionalFormatting>
  <conditionalFormatting sqref="R221:S221">
    <cfRule type="expression" dxfId="8116" priority="4765">
      <formula>SEARCH("IN CORSO",$M221)&gt;0</formula>
    </cfRule>
    <cfRule type="expression" dxfId="8115" priority="4766">
      <formula>SEARCH("CHIUSO",$M221)&gt;0</formula>
    </cfRule>
    <cfRule type="expression" dxfId="8114" priority="4767">
      <formula>SEARCH("EMESSO",$M221)&gt;0</formula>
    </cfRule>
    <cfRule type="expression" dxfId="8113" priority="4768">
      <formula>SEARCH("RICHIESTO",$M221)&gt;0</formula>
    </cfRule>
    <cfRule type="expression" dxfId="8112" priority="4769">
      <formula>SEARCH("DA CHIUDERE",$M221)&gt;0</formula>
    </cfRule>
    <cfRule type="expression" dxfId="8111" priority="4770">
      <formula>SEARCH("INTERROTTO",$M221)&gt;0</formula>
    </cfRule>
  </conditionalFormatting>
  <conditionalFormatting sqref="M221">
    <cfRule type="expression" dxfId="8110" priority="4759">
      <formula>SEARCH("IN CORSO",$M221)&gt;0</formula>
    </cfRule>
    <cfRule type="expression" dxfId="8109" priority="4760">
      <formula>SEARCH("CHIUSO",$M221)&gt;0</formula>
    </cfRule>
    <cfRule type="expression" dxfId="8108" priority="4761">
      <formula>SEARCH("EMESSO",$M221)&gt;0</formula>
    </cfRule>
    <cfRule type="expression" dxfId="8107" priority="4762">
      <formula>SEARCH("RICHIESTO",$M221)&gt;0</formula>
    </cfRule>
    <cfRule type="expression" dxfId="8106" priority="4763">
      <formula>SEARCH("DA CHIUDERE",$M221)&gt;0</formula>
    </cfRule>
    <cfRule type="expression" dxfId="8105" priority="4764">
      <formula>SEARCH("INTERROTTO",$M221)&gt;0</formula>
    </cfRule>
  </conditionalFormatting>
  <conditionalFormatting sqref="E220:G220 N220:Q220">
    <cfRule type="expression" dxfId="8104" priority="4753">
      <formula>SEARCH("IN CORSO",$M220)&gt;0</formula>
    </cfRule>
    <cfRule type="expression" dxfId="8103" priority="4754">
      <formula>SEARCH("CHIUSO",$M220)&gt;0</formula>
    </cfRule>
    <cfRule type="expression" dxfId="8102" priority="4755">
      <formula>SEARCH("EMESSO",$M220)&gt;0</formula>
    </cfRule>
    <cfRule type="expression" dxfId="8101" priority="4756">
      <formula>SEARCH("RICHIESTO",$M220)&gt;0</formula>
    </cfRule>
    <cfRule type="expression" dxfId="8100" priority="4757">
      <formula>SEARCH("DA CHIUDERE",$M220)&gt;0</formula>
    </cfRule>
    <cfRule type="expression" dxfId="8099" priority="4758">
      <formula>SEARCH("INTERROTTO",$M220)&gt;0</formula>
    </cfRule>
  </conditionalFormatting>
  <conditionalFormatting sqref="R220:S220">
    <cfRule type="expression" dxfId="8098" priority="4747">
      <formula>SEARCH("IN CORSO",$M220)&gt;0</formula>
    </cfRule>
    <cfRule type="expression" dxfId="8097" priority="4748">
      <formula>SEARCH("CHIUSO",$M220)&gt;0</formula>
    </cfRule>
    <cfRule type="expression" dxfId="8096" priority="4749">
      <formula>SEARCH("EMESSO",$M220)&gt;0</formula>
    </cfRule>
    <cfRule type="expression" dxfId="8095" priority="4750">
      <formula>SEARCH("RICHIESTO",$M220)&gt;0</formula>
    </cfRule>
    <cfRule type="expression" dxfId="8094" priority="4751">
      <formula>SEARCH("DA CHIUDERE",$M220)&gt;0</formula>
    </cfRule>
    <cfRule type="expression" dxfId="8093" priority="4752">
      <formula>SEARCH("INTERROTTO",$M220)&gt;0</formula>
    </cfRule>
  </conditionalFormatting>
  <conditionalFormatting sqref="M220">
    <cfRule type="expression" dxfId="8092" priority="4741">
      <formula>SEARCH("IN CORSO",$M220)&gt;0</formula>
    </cfRule>
    <cfRule type="expression" dxfId="8091" priority="4742">
      <formula>SEARCH("CHIUSO",$M220)&gt;0</formula>
    </cfRule>
    <cfRule type="expression" dxfId="8090" priority="4743">
      <formula>SEARCH("EMESSO",$M220)&gt;0</formula>
    </cfRule>
    <cfRule type="expression" dxfId="8089" priority="4744">
      <formula>SEARCH("RICHIESTO",$M220)&gt;0</formula>
    </cfRule>
    <cfRule type="expression" dxfId="8088" priority="4745">
      <formula>SEARCH("DA CHIUDERE",$M220)&gt;0</formula>
    </cfRule>
    <cfRule type="expression" dxfId="8087" priority="4746">
      <formula>SEARCH("INTERROTTO",$M220)&gt;0</formula>
    </cfRule>
  </conditionalFormatting>
  <conditionalFormatting sqref="E219:G219 N219:Q219">
    <cfRule type="expression" dxfId="8086" priority="4735">
      <formula>SEARCH("IN CORSO",$M219)&gt;0</formula>
    </cfRule>
    <cfRule type="expression" dxfId="8085" priority="4736">
      <formula>SEARCH("CHIUSO",$M219)&gt;0</formula>
    </cfRule>
    <cfRule type="expression" dxfId="8084" priority="4737">
      <formula>SEARCH("EMESSO",$M219)&gt;0</formula>
    </cfRule>
    <cfRule type="expression" dxfId="8083" priority="4738">
      <formula>SEARCH("RICHIESTO",$M219)&gt;0</formula>
    </cfRule>
    <cfRule type="expression" dxfId="8082" priority="4739">
      <formula>SEARCH("DA CHIUDERE",$M219)&gt;0</formula>
    </cfRule>
    <cfRule type="expression" dxfId="8081" priority="4740">
      <formula>SEARCH("INTERROTTO",$M219)&gt;0</formula>
    </cfRule>
  </conditionalFormatting>
  <conditionalFormatting sqref="R219:S219">
    <cfRule type="expression" dxfId="8080" priority="4729">
      <formula>SEARCH("IN CORSO",$M219)&gt;0</formula>
    </cfRule>
    <cfRule type="expression" dxfId="8079" priority="4730">
      <formula>SEARCH("CHIUSO",$M219)&gt;0</formula>
    </cfRule>
    <cfRule type="expression" dxfId="8078" priority="4731">
      <formula>SEARCH("EMESSO",$M219)&gt;0</formula>
    </cfRule>
    <cfRule type="expression" dxfId="8077" priority="4732">
      <formula>SEARCH("RICHIESTO",$M219)&gt;0</formula>
    </cfRule>
    <cfRule type="expression" dxfId="8076" priority="4733">
      <formula>SEARCH("DA CHIUDERE",$M219)&gt;0</formula>
    </cfRule>
    <cfRule type="expression" dxfId="8075" priority="4734">
      <formula>SEARCH("INTERROTTO",$M219)&gt;0</formula>
    </cfRule>
  </conditionalFormatting>
  <conditionalFormatting sqref="M219">
    <cfRule type="expression" dxfId="8074" priority="4723">
      <formula>SEARCH("IN CORSO",$M219)&gt;0</formula>
    </cfRule>
    <cfRule type="expression" dxfId="8073" priority="4724">
      <formula>SEARCH("CHIUSO",$M219)&gt;0</formula>
    </cfRule>
    <cfRule type="expression" dxfId="8072" priority="4725">
      <formula>SEARCH("EMESSO",$M219)&gt;0</formula>
    </cfRule>
    <cfRule type="expression" dxfId="8071" priority="4726">
      <formula>SEARCH("RICHIESTO",$M219)&gt;0</formula>
    </cfRule>
    <cfRule type="expression" dxfId="8070" priority="4727">
      <formula>SEARCH("DA CHIUDERE",$M219)&gt;0</formula>
    </cfRule>
    <cfRule type="expression" dxfId="8069" priority="4728">
      <formula>SEARCH("INTERROTTO",$M219)&gt;0</formula>
    </cfRule>
  </conditionalFormatting>
  <conditionalFormatting sqref="E218:G218 N218:Q218">
    <cfRule type="expression" dxfId="8068" priority="4717">
      <formula>SEARCH("IN CORSO",$M218)&gt;0</formula>
    </cfRule>
    <cfRule type="expression" dxfId="8067" priority="4718">
      <formula>SEARCH("CHIUSO",$M218)&gt;0</formula>
    </cfRule>
    <cfRule type="expression" dxfId="8066" priority="4719">
      <formula>SEARCH("EMESSO",$M218)&gt;0</formula>
    </cfRule>
    <cfRule type="expression" dxfId="8065" priority="4720">
      <formula>SEARCH("RICHIESTO",$M218)&gt;0</formula>
    </cfRule>
    <cfRule type="expression" dxfId="8064" priority="4721">
      <formula>SEARCH("DA CHIUDERE",$M218)&gt;0</formula>
    </cfRule>
    <cfRule type="expression" dxfId="8063" priority="4722">
      <formula>SEARCH("INTERROTTO",$M218)&gt;0</formula>
    </cfRule>
  </conditionalFormatting>
  <conditionalFormatting sqref="R218:S218">
    <cfRule type="expression" dxfId="8062" priority="4711">
      <formula>SEARCH("IN CORSO",$M218)&gt;0</formula>
    </cfRule>
    <cfRule type="expression" dxfId="8061" priority="4712">
      <formula>SEARCH("CHIUSO",$M218)&gt;0</formula>
    </cfRule>
    <cfRule type="expression" dxfId="8060" priority="4713">
      <formula>SEARCH("EMESSO",$M218)&gt;0</formula>
    </cfRule>
    <cfRule type="expression" dxfId="8059" priority="4714">
      <formula>SEARCH("RICHIESTO",$M218)&gt;0</formula>
    </cfRule>
    <cfRule type="expression" dxfId="8058" priority="4715">
      <formula>SEARCH("DA CHIUDERE",$M218)&gt;0</formula>
    </cfRule>
    <cfRule type="expression" dxfId="8057" priority="4716">
      <formula>SEARCH("INTERROTTO",$M218)&gt;0</formula>
    </cfRule>
  </conditionalFormatting>
  <conditionalFormatting sqref="M218">
    <cfRule type="expression" dxfId="8056" priority="4705">
      <formula>SEARCH("IN CORSO",$M218)&gt;0</formula>
    </cfRule>
    <cfRule type="expression" dxfId="8055" priority="4706">
      <formula>SEARCH("CHIUSO",$M218)&gt;0</formula>
    </cfRule>
    <cfRule type="expression" dxfId="8054" priority="4707">
      <formula>SEARCH("EMESSO",$M218)&gt;0</formula>
    </cfRule>
    <cfRule type="expression" dxfId="8053" priority="4708">
      <formula>SEARCH("RICHIESTO",$M218)&gt;0</formula>
    </cfRule>
    <cfRule type="expression" dxfId="8052" priority="4709">
      <formula>SEARCH("DA CHIUDERE",$M218)&gt;0</formula>
    </cfRule>
    <cfRule type="expression" dxfId="8051" priority="4710">
      <formula>SEARCH("INTERROTTO",$M218)&gt;0</formula>
    </cfRule>
  </conditionalFormatting>
  <conditionalFormatting sqref="E217:G217 N217:Q217">
    <cfRule type="expression" dxfId="8050" priority="4699">
      <formula>SEARCH("IN CORSO",$M217)&gt;0</formula>
    </cfRule>
    <cfRule type="expression" dxfId="8049" priority="4700">
      <formula>SEARCH("CHIUSO",$M217)&gt;0</formula>
    </cfRule>
    <cfRule type="expression" dxfId="8048" priority="4701">
      <formula>SEARCH("EMESSO",$M217)&gt;0</formula>
    </cfRule>
    <cfRule type="expression" dxfId="8047" priority="4702">
      <formula>SEARCH("RICHIESTO",$M217)&gt;0</formula>
    </cfRule>
    <cfRule type="expression" dxfId="8046" priority="4703">
      <formula>SEARCH("DA CHIUDERE",$M217)&gt;0</formula>
    </cfRule>
    <cfRule type="expression" dxfId="8045" priority="4704">
      <formula>SEARCH("INTERROTTO",$M217)&gt;0</formula>
    </cfRule>
  </conditionalFormatting>
  <conditionalFormatting sqref="R217:S217">
    <cfRule type="expression" dxfId="8044" priority="4693">
      <formula>SEARCH("IN CORSO",$M217)&gt;0</formula>
    </cfRule>
    <cfRule type="expression" dxfId="8043" priority="4694">
      <formula>SEARCH("CHIUSO",$M217)&gt;0</formula>
    </cfRule>
    <cfRule type="expression" dxfId="8042" priority="4695">
      <formula>SEARCH("EMESSO",$M217)&gt;0</formula>
    </cfRule>
    <cfRule type="expression" dxfId="8041" priority="4696">
      <formula>SEARCH("RICHIESTO",$M217)&gt;0</formula>
    </cfRule>
    <cfRule type="expression" dxfId="8040" priority="4697">
      <formula>SEARCH("DA CHIUDERE",$M217)&gt;0</formula>
    </cfRule>
    <cfRule type="expression" dxfId="8039" priority="4698">
      <formula>SEARCH("INTERROTTO",$M217)&gt;0</formula>
    </cfRule>
  </conditionalFormatting>
  <conditionalFormatting sqref="M217">
    <cfRule type="expression" dxfId="8038" priority="4687">
      <formula>SEARCH("IN CORSO",$M217)&gt;0</formula>
    </cfRule>
    <cfRule type="expression" dxfId="8037" priority="4688">
      <formula>SEARCH("CHIUSO",$M217)&gt;0</formula>
    </cfRule>
    <cfRule type="expression" dxfId="8036" priority="4689">
      <formula>SEARCH("EMESSO",$M217)&gt;0</formula>
    </cfRule>
    <cfRule type="expression" dxfId="8035" priority="4690">
      <formula>SEARCH("RICHIESTO",$M217)&gt;0</formula>
    </cfRule>
    <cfRule type="expression" dxfId="8034" priority="4691">
      <formula>SEARCH("DA CHIUDERE",$M217)&gt;0</formula>
    </cfRule>
    <cfRule type="expression" dxfId="8033" priority="4692">
      <formula>SEARCH("INTERROTTO",$M217)&gt;0</formula>
    </cfRule>
  </conditionalFormatting>
  <conditionalFormatting sqref="E216:G216 N216:Q216">
    <cfRule type="expression" dxfId="8032" priority="4681">
      <formula>SEARCH("IN CORSO",$M216)&gt;0</formula>
    </cfRule>
    <cfRule type="expression" dxfId="8031" priority="4682">
      <formula>SEARCH("CHIUSO",$M216)&gt;0</formula>
    </cfRule>
    <cfRule type="expression" dxfId="8030" priority="4683">
      <formula>SEARCH("EMESSO",$M216)&gt;0</formula>
    </cfRule>
    <cfRule type="expression" dxfId="8029" priority="4684">
      <formula>SEARCH("RICHIESTO",$M216)&gt;0</formula>
    </cfRule>
    <cfRule type="expression" dxfId="8028" priority="4685">
      <formula>SEARCH("DA CHIUDERE",$M216)&gt;0</formula>
    </cfRule>
    <cfRule type="expression" dxfId="8027" priority="4686">
      <formula>SEARCH("INTERROTTO",$M216)&gt;0</formula>
    </cfRule>
  </conditionalFormatting>
  <conditionalFormatting sqref="R216:S216">
    <cfRule type="expression" dxfId="8026" priority="4675">
      <formula>SEARCH("IN CORSO",$M216)&gt;0</formula>
    </cfRule>
    <cfRule type="expression" dxfId="8025" priority="4676">
      <formula>SEARCH("CHIUSO",$M216)&gt;0</formula>
    </cfRule>
    <cfRule type="expression" dxfId="8024" priority="4677">
      <formula>SEARCH("EMESSO",$M216)&gt;0</formula>
    </cfRule>
    <cfRule type="expression" dxfId="8023" priority="4678">
      <formula>SEARCH("RICHIESTO",$M216)&gt;0</formula>
    </cfRule>
    <cfRule type="expression" dxfId="8022" priority="4679">
      <formula>SEARCH("DA CHIUDERE",$M216)&gt;0</formula>
    </cfRule>
    <cfRule type="expression" dxfId="8021" priority="4680">
      <formula>SEARCH("INTERROTTO",$M216)&gt;0</formula>
    </cfRule>
  </conditionalFormatting>
  <conditionalFormatting sqref="M216">
    <cfRule type="expression" dxfId="8020" priority="4669">
      <formula>SEARCH("IN CORSO",$M216)&gt;0</formula>
    </cfRule>
    <cfRule type="expression" dxfId="8019" priority="4670">
      <formula>SEARCH("CHIUSO",$M216)&gt;0</formula>
    </cfRule>
    <cfRule type="expression" dxfId="8018" priority="4671">
      <formula>SEARCH("EMESSO",$M216)&gt;0</formula>
    </cfRule>
    <cfRule type="expression" dxfId="8017" priority="4672">
      <formula>SEARCH("RICHIESTO",$M216)&gt;0</formula>
    </cfRule>
    <cfRule type="expression" dxfId="8016" priority="4673">
      <formula>SEARCH("DA CHIUDERE",$M216)&gt;0</formula>
    </cfRule>
    <cfRule type="expression" dxfId="8015" priority="4674">
      <formula>SEARCH("INTERROTTO",$M216)&gt;0</formula>
    </cfRule>
  </conditionalFormatting>
  <conditionalFormatting sqref="E215:G215 N215:Q215">
    <cfRule type="expression" dxfId="8014" priority="4663">
      <formula>SEARCH("IN CORSO",$M215)&gt;0</formula>
    </cfRule>
    <cfRule type="expression" dxfId="8013" priority="4664">
      <formula>SEARCH("CHIUSO",$M215)&gt;0</formula>
    </cfRule>
    <cfRule type="expression" dxfId="8012" priority="4665">
      <formula>SEARCH("EMESSO",$M215)&gt;0</formula>
    </cfRule>
    <cfRule type="expression" dxfId="8011" priority="4666">
      <formula>SEARCH("RICHIESTO",$M215)&gt;0</formula>
    </cfRule>
    <cfRule type="expression" dxfId="8010" priority="4667">
      <formula>SEARCH("DA CHIUDERE",$M215)&gt;0</formula>
    </cfRule>
    <cfRule type="expression" dxfId="8009" priority="4668">
      <formula>SEARCH("INTERROTTO",$M215)&gt;0</formula>
    </cfRule>
  </conditionalFormatting>
  <conditionalFormatting sqref="R215:S215">
    <cfRule type="expression" dxfId="8008" priority="4657">
      <formula>SEARCH("IN CORSO",$M215)&gt;0</formula>
    </cfRule>
    <cfRule type="expression" dxfId="8007" priority="4658">
      <formula>SEARCH("CHIUSO",$M215)&gt;0</formula>
    </cfRule>
    <cfRule type="expression" dxfId="8006" priority="4659">
      <formula>SEARCH("EMESSO",$M215)&gt;0</formula>
    </cfRule>
    <cfRule type="expression" dxfId="8005" priority="4660">
      <formula>SEARCH("RICHIESTO",$M215)&gt;0</formula>
    </cfRule>
    <cfRule type="expression" dxfId="8004" priority="4661">
      <formula>SEARCH("DA CHIUDERE",$M215)&gt;0</formula>
    </cfRule>
    <cfRule type="expression" dxfId="8003" priority="4662">
      <formula>SEARCH("INTERROTTO",$M215)&gt;0</formula>
    </cfRule>
  </conditionalFormatting>
  <conditionalFormatting sqref="M215">
    <cfRule type="expression" dxfId="8002" priority="4651">
      <formula>SEARCH("IN CORSO",$M215)&gt;0</formula>
    </cfRule>
    <cfRule type="expression" dxfId="8001" priority="4652">
      <formula>SEARCH("CHIUSO",$M215)&gt;0</formula>
    </cfRule>
    <cfRule type="expression" dxfId="8000" priority="4653">
      <formula>SEARCH("EMESSO",$M215)&gt;0</formula>
    </cfRule>
    <cfRule type="expression" dxfId="7999" priority="4654">
      <formula>SEARCH("RICHIESTO",$M215)&gt;0</formula>
    </cfRule>
    <cfRule type="expression" dxfId="7998" priority="4655">
      <formula>SEARCH("DA CHIUDERE",$M215)&gt;0</formula>
    </cfRule>
    <cfRule type="expression" dxfId="7997" priority="4656">
      <formula>SEARCH("INTERROTTO",$M215)&gt;0</formula>
    </cfRule>
  </conditionalFormatting>
  <conditionalFormatting sqref="R227:S227">
    <cfRule type="expression" dxfId="7996" priority="4861">
      <formula>SEARCH("IN CORSO",$M227)&gt;0</formula>
    </cfRule>
    <cfRule type="expression" dxfId="7995" priority="4862">
      <formula>SEARCH("CHIUSO",$M227)&gt;0</formula>
    </cfRule>
    <cfRule type="expression" dxfId="7994" priority="4863">
      <formula>SEARCH("EMESSO",$M227)&gt;0</formula>
    </cfRule>
    <cfRule type="expression" dxfId="7993" priority="4864">
      <formula>SEARCH("RICHIESTO",$M227)&gt;0</formula>
    </cfRule>
    <cfRule type="expression" dxfId="7992" priority="4865">
      <formula>SEARCH("DA CHIUDERE",$M227)&gt;0</formula>
    </cfRule>
    <cfRule type="expression" dxfId="7991" priority="4866">
      <formula>SEARCH("INTERROTTO",$M227)&gt;0</formula>
    </cfRule>
  </conditionalFormatting>
  <conditionalFormatting sqref="E224:G224 N224:Q224">
    <cfRule type="expression" dxfId="7990" priority="4825">
      <formula>SEARCH("IN CORSO",$M224)&gt;0</formula>
    </cfRule>
    <cfRule type="expression" dxfId="7989" priority="4826">
      <formula>SEARCH("CHIUSO",$M224)&gt;0</formula>
    </cfRule>
    <cfRule type="expression" dxfId="7988" priority="4827">
      <formula>SEARCH("EMESSO",$M224)&gt;0</formula>
    </cfRule>
    <cfRule type="expression" dxfId="7987" priority="4828">
      <formula>SEARCH("RICHIESTO",$M224)&gt;0</formula>
    </cfRule>
    <cfRule type="expression" dxfId="7986" priority="4829">
      <formula>SEARCH("DA CHIUDERE",$M224)&gt;0</formula>
    </cfRule>
    <cfRule type="expression" dxfId="7985" priority="4830">
      <formula>SEARCH("INTERROTTO",$M224)&gt;0</formula>
    </cfRule>
  </conditionalFormatting>
  <conditionalFormatting sqref="R224:S224">
    <cfRule type="expression" dxfId="7984" priority="4819">
      <formula>SEARCH("IN CORSO",$M224)&gt;0</formula>
    </cfRule>
    <cfRule type="expression" dxfId="7983" priority="4820">
      <formula>SEARCH("CHIUSO",$M224)&gt;0</formula>
    </cfRule>
    <cfRule type="expression" dxfId="7982" priority="4821">
      <formula>SEARCH("EMESSO",$M224)&gt;0</formula>
    </cfRule>
    <cfRule type="expression" dxfId="7981" priority="4822">
      <formula>SEARCH("RICHIESTO",$M224)&gt;0</formula>
    </cfRule>
    <cfRule type="expression" dxfId="7980" priority="4823">
      <formula>SEARCH("DA CHIUDERE",$M224)&gt;0</formula>
    </cfRule>
    <cfRule type="expression" dxfId="7979" priority="4824">
      <formula>SEARCH("INTERROTTO",$M224)&gt;0</formula>
    </cfRule>
  </conditionalFormatting>
  <conditionalFormatting sqref="M224">
    <cfRule type="expression" dxfId="7978" priority="4813">
      <formula>SEARCH("IN CORSO",$M224)&gt;0</formula>
    </cfRule>
    <cfRule type="expression" dxfId="7977" priority="4814">
      <formula>SEARCH("CHIUSO",$M224)&gt;0</formula>
    </cfRule>
    <cfRule type="expression" dxfId="7976" priority="4815">
      <formula>SEARCH("EMESSO",$M224)&gt;0</formula>
    </cfRule>
    <cfRule type="expression" dxfId="7975" priority="4816">
      <formula>SEARCH("RICHIESTO",$M224)&gt;0</formula>
    </cfRule>
    <cfRule type="expression" dxfId="7974" priority="4817">
      <formula>SEARCH("DA CHIUDERE",$M224)&gt;0</formula>
    </cfRule>
    <cfRule type="expression" dxfId="7973" priority="4818">
      <formula>SEARCH("INTERROTTO",$M224)&gt;0</formula>
    </cfRule>
  </conditionalFormatting>
  <conditionalFormatting sqref="E214:G214 N214:Q214">
    <cfRule type="expression" dxfId="7972" priority="4645">
      <formula>SEARCH("IN CORSO",$M214)&gt;0</formula>
    </cfRule>
    <cfRule type="expression" dxfId="7971" priority="4646">
      <formula>SEARCH("CHIUSO",$M214)&gt;0</formula>
    </cfRule>
    <cfRule type="expression" dxfId="7970" priority="4647">
      <formula>SEARCH("EMESSO",$M214)&gt;0</formula>
    </cfRule>
    <cfRule type="expression" dxfId="7969" priority="4648">
      <formula>SEARCH("RICHIESTO",$M214)&gt;0</formula>
    </cfRule>
    <cfRule type="expression" dxfId="7968" priority="4649">
      <formula>SEARCH("DA CHIUDERE",$M214)&gt;0</formula>
    </cfRule>
    <cfRule type="expression" dxfId="7967" priority="4650">
      <formula>SEARCH("INTERROTTO",$M214)&gt;0</formula>
    </cfRule>
  </conditionalFormatting>
  <conditionalFormatting sqref="R214:S214">
    <cfRule type="expression" dxfId="7966" priority="4639">
      <formula>SEARCH("IN CORSO",$M214)&gt;0</formula>
    </cfRule>
    <cfRule type="expression" dxfId="7965" priority="4640">
      <formula>SEARCH("CHIUSO",$M214)&gt;0</formula>
    </cfRule>
    <cfRule type="expression" dxfId="7964" priority="4641">
      <formula>SEARCH("EMESSO",$M214)&gt;0</formula>
    </cfRule>
    <cfRule type="expression" dxfId="7963" priority="4642">
      <formula>SEARCH("RICHIESTO",$M214)&gt;0</formula>
    </cfRule>
    <cfRule type="expression" dxfId="7962" priority="4643">
      <formula>SEARCH("DA CHIUDERE",$M214)&gt;0</formula>
    </cfRule>
    <cfRule type="expression" dxfId="7961" priority="4644">
      <formula>SEARCH("INTERROTTO",$M214)&gt;0</formula>
    </cfRule>
  </conditionalFormatting>
  <conditionalFormatting sqref="M214">
    <cfRule type="expression" dxfId="7960" priority="4633">
      <formula>SEARCH("IN CORSO",$M214)&gt;0</formula>
    </cfRule>
    <cfRule type="expression" dxfId="7959" priority="4634">
      <formula>SEARCH("CHIUSO",$M214)&gt;0</formula>
    </cfRule>
    <cfRule type="expression" dxfId="7958" priority="4635">
      <formula>SEARCH("EMESSO",$M214)&gt;0</formula>
    </cfRule>
    <cfRule type="expression" dxfId="7957" priority="4636">
      <formula>SEARCH("RICHIESTO",$M214)&gt;0</formula>
    </cfRule>
    <cfRule type="expression" dxfId="7956" priority="4637">
      <formula>SEARCH("DA CHIUDERE",$M214)&gt;0</formula>
    </cfRule>
    <cfRule type="expression" dxfId="7955" priority="4638">
      <formula>SEARCH("INTERROTTO",$M214)&gt;0</formula>
    </cfRule>
  </conditionalFormatting>
  <conditionalFormatting sqref="E213:G213 N213:Q213">
    <cfRule type="expression" dxfId="7954" priority="4627">
      <formula>SEARCH("IN CORSO",$M213)&gt;0</formula>
    </cfRule>
    <cfRule type="expression" dxfId="7953" priority="4628">
      <formula>SEARCH("CHIUSO",$M213)&gt;0</formula>
    </cfRule>
    <cfRule type="expression" dxfId="7952" priority="4629">
      <formula>SEARCH("EMESSO",$M213)&gt;0</formula>
    </cfRule>
    <cfRule type="expression" dxfId="7951" priority="4630">
      <formula>SEARCH("RICHIESTO",$M213)&gt;0</formula>
    </cfRule>
    <cfRule type="expression" dxfId="7950" priority="4631">
      <formula>SEARCH("DA CHIUDERE",$M213)&gt;0</formula>
    </cfRule>
    <cfRule type="expression" dxfId="7949" priority="4632">
      <formula>SEARCH("INTERROTTO",$M213)&gt;0</formula>
    </cfRule>
  </conditionalFormatting>
  <conditionalFormatting sqref="R213:S213">
    <cfRule type="expression" dxfId="7948" priority="4621">
      <formula>SEARCH("IN CORSO",$M213)&gt;0</formula>
    </cfRule>
    <cfRule type="expression" dxfId="7947" priority="4622">
      <formula>SEARCH("CHIUSO",$M213)&gt;0</formula>
    </cfRule>
    <cfRule type="expression" dxfId="7946" priority="4623">
      <formula>SEARCH("EMESSO",$M213)&gt;0</formula>
    </cfRule>
    <cfRule type="expression" dxfId="7945" priority="4624">
      <formula>SEARCH("RICHIESTO",$M213)&gt;0</formula>
    </cfRule>
    <cfRule type="expression" dxfId="7944" priority="4625">
      <formula>SEARCH("DA CHIUDERE",$M213)&gt;0</formula>
    </cfRule>
    <cfRule type="expression" dxfId="7943" priority="4626">
      <formula>SEARCH("INTERROTTO",$M213)&gt;0</formula>
    </cfRule>
  </conditionalFormatting>
  <conditionalFormatting sqref="M213">
    <cfRule type="expression" dxfId="7942" priority="4615">
      <formula>SEARCH("IN CORSO",$M213)&gt;0</formula>
    </cfRule>
    <cfRule type="expression" dxfId="7941" priority="4616">
      <formula>SEARCH("CHIUSO",$M213)&gt;0</formula>
    </cfRule>
    <cfRule type="expression" dxfId="7940" priority="4617">
      <formula>SEARCH("EMESSO",$M213)&gt;0</formula>
    </cfRule>
    <cfRule type="expression" dxfId="7939" priority="4618">
      <formula>SEARCH("RICHIESTO",$M213)&gt;0</formula>
    </cfRule>
    <cfRule type="expression" dxfId="7938" priority="4619">
      <formula>SEARCH("DA CHIUDERE",$M213)&gt;0</formula>
    </cfRule>
    <cfRule type="expression" dxfId="7937" priority="4620">
      <formula>SEARCH("INTERROTTO",$M213)&gt;0</formula>
    </cfRule>
  </conditionalFormatting>
  <conditionalFormatting sqref="E212:G212 N212:Q212">
    <cfRule type="expression" dxfId="7936" priority="4609">
      <formula>SEARCH("IN CORSO",$M212)&gt;0</formula>
    </cfRule>
    <cfRule type="expression" dxfId="7935" priority="4610">
      <formula>SEARCH("CHIUSO",$M212)&gt;0</formula>
    </cfRule>
    <cfRule type="expression" dxfId="7934" priority="4611">
      <formula>SEARCH("EMESSO",$M212)&gt;0</formula>
    </cfRule>
    <cfRule type="expression" dxfId="7933" priority="4612">
      <formula>SEARCH("RICHIESTO",$M212)&gt;0</formula>
    </cfRule>
    <cfRule type="expression" dxfId="7932" priority="4613">
      <formula>SEARCH("DA CHIUDERE",$M212)&gt;0</formula>
    </cfRule>
    <cfRule type="expression" dxfId="7931" priority="4614">
      <formula>SEARCH("INTERROTTO",$M212)&gt;0</formula>
    </cfRule>
  </conditionalFormatting>
  <conditionalFormatting sqref="R212:S212">
    <cfRule type="expression" dxfId="7930" priority="4603">
      <formula>SEARCH("IN CORSO",$M212)&gt;0</formula>
    </cfRule>
    <cfRule type="expression" dxfId="7929" priority="4604">
      <formula>SEARCH("CHIUSO",$M212)&gt;0</formula>
    </cfRule>
    <cfRule type="expression" dxfId="7928" priority="4605">
      <formula>SEARCH("EMESSO",$M212)&gt;0</formula>
    </cfRule>
    <cfRule type="expression" dxfId="7927" priority="4606">
      <formula>SEARCH("RICHIESTO",$M212)&gt;0</formula>
    </cfRule>
    <cfRule type="expression" dxfId="7926" priority="4607">
      <formula>SEARCH("DA CHIUDERE",$M212)&gt;0</formula>
    </cfRule>
    <cfRule type="expression" dxfId="7925" priority="4608">
      <formula>SEARCH("INTERROTTO",$M212)&gt;0</formula>
    </cfRule>
  </conditionalFormatting>
  <conditionalFormatting sqref="M212">
    <cfRule type="expression" dxfId="7924" priority="4597">
      <formula>SEARCH("IN CORSO",$M212)&gt;0</formula>
    </cfRule>
    <cfRule type="expression" dxfId="7923" priority="4598">
      <formula>SEARCH("CHIUSO",$M212)&gt;0</formula>
    </cfRule>
    <cfRule type="expression" dxfId="7922" priority="4599">
      <formula>SEARCH("EMESSO",$M212)&gt;0</formula>
    </cfRule>
    <cfRule type="expression" dxfId="7921" priority="4600">
      <formula>SEARCH("RICHIESTO",$M212)&gt;0</formula>
    </cfRule>
    <cfRule type="expression" dxfId="7920" priority="4601">
      <formula>SEARCH("DA CHIUDERE",$M212)&gt;0</formula>
    </cfRule>
    <cfRule type="expression" dxfId="7919" priority="4602">
      <formula>SEARCH("INTERROTTO",$M212)&gt;0</formula>
    </cfRule>
  </conditionalFormatting>
  <conditionalFormatting sqref="E211:G211 N211:Q211">
    <cfRule type="expression" dxfId="7918" priority="4591">
      <formula>SEARCH("IN CORSO",$M211)&gt;0</formula>
    </cfRule>
    <cfRule type="expression" dxfId="7917" priority="4592">
      <formula>SEARCH("CHIUSO",$M211)&gt;0</formula>
    </cfRule>
    <cfRule type="expression" dxfId="7916" priority="4593">
      <formula>SEARCH("EMESSO",$M211)&gt;0</formula>
    </cfRule>
    <cfRule type="expression" dxfId="7915" priority="4594">
      <formula>SEARCH("RICHIESTO",$M211)&gt;0</formula>
    </cfRule>
    <cfRule type="expression" dxfId="7914" priority="4595">
      <formula>SEARCH("DA CHIUDERE",$M211)&gt;0</formula>
    </cfRule>
    <cfRule type="expression" dxfId="7913" priority="4596">
      <formula>SEARCH("INTERROTTO",$M211)&gt;0</formula>
    </cfRule>
  </conditionalFormatting>
  <conditionalFormatting sqref="R211:S211">
    <cfRule type="expression" dxfId="7912" priority="4585">
      <formula>SEARCH("IN CORSO",$M211)&gt;0</formula>
    </cfRule>
    <cfRule type="expression" dxfId="7911" priority="4586">
      <formula>SEARCH("CHIUSO",$M211)&gt;0</formula>
    </cfRule>
    <cfRule type="expression" dxfId="7910" priority="4587">
      <formula>SEARCH("EMESSO",$M211)&gt;0</formula>
    </cfRule>
    <cfRule type="expression" dxfId="7909" priority="4588">
      <formula>SEARCH("RICHIESTO",$M211)&gt;0</formula>
    </cfRule>
    <cfRule type="expression" dxfId="7908" priority="4589">
      <formula>SEARCH("DA CHIUDERE",$M211)&gt;0</formula>
    </cfRule>
    <cfRule type="expression" dxfId="7907" priority="4590">
      <formula>SEARCH("INTERROTTO",$M211)&gt;0</formula>
    </cfRule>
  </conditionalFormatting>
  <conditionalFormatting sqref="M211">
    <cfRule type="expression" dxfId="7906" priority="4579">
      <formula>SEARCH("IN CORSO",$M211)&gt;0</formula>
    </cfRule>
    <cfRule type="expression" dxfId="7905" priority="4580">
      <formula>SEARCH("CHIUSO",$M211)&gt;0</formula>
    </cfRule>
    <cfRule type="expression" dxfId="7904" priority="4581">
      <formula>SEARCH("EMESSO",$M211)&gt;0</formula>
    </cfRule>
    <cfRule type="expression" dxfId="7903" priority="4582">
      <formula>SEARCH("RICHIESTO",$M211)&gt;0</formula>
    </cfRule>
    <cfRule type="expression" dxfId="7902" priority="4583">
      <formula>SEARCH("DA CHIUDERE",$M211)&gt;0</formula>
    </cfRule>
    <cfRule type="expression" dxfId="7901" priority="4584">
      <formula>SEARCH("INTERROTTO",$M211)&gt;0</formula>
    </cfRule>
  </conditionalFormatting>
  <conditionalFormatting sqref="E210:G210 N210:Q210">
    <cfRule type="expression" dxfId="7900" priority="4573">
      <formula>SEARCH("IN CORSO",$M210)&gt;0</formula>
    </cfRule>
    <cfRule type="expression" dxfId="7899" priority="4574">
      <formula>SEARCH("CHIUSO",$M210)&gt;0</formula>
    </cfRule>
    <cfRule type="expression" dxfId="7898" priority="4575">
      <formula>SEARCH("EMESSO",$M210)&gt;0</formula>
    </cfRule>
    <cfRule type="expression" dxfId="7897" priority="4576">
      <formula>SEARCH("RICHIESTO",$M210)&gt;0</formula>
    </cfRule>
    <cfRule type="expression" dxfId="7896" priority="4577">
      <formula>SEARCH("DA CHIUDERE",$M210)&gt;0</formula>
    </cfRule>
    <cfRule type="expression" dxfId="7895" priority="4578">
      <formula>SEARCH("INTERROTTO",$M210)&gt;0</formula>
    </cfRule>
  </conditionalFormatting>
  <conditionalFormatting sqref="R210:S210">
    <cfRule type="expression" dxfId="7894" priority="4567">
      <formula>SEARCH("IN CORSO",$M210)&gt;0</formula>
    </cfRule>
    <cfRule type="expression" dxfId="7893" priority="4568">
      <formula>SEARCH("CHIUSO",$M210)&gt;0</formula>
    </cfRule>
    <cfRule type="expression" dxfId="7892" priority="4569">
      <formula>SEARCH("EMESSO",$M210)&gt;0</formula>
    </cfRule>
    <cfRule type="expression" dxfId="7891" priority="4570">
      <formula>SEARCH("RICHIESTO",$M210)&gt;0</formula>
    </cfRule>
    <cfRule type="expression" dxfId="7890" priority="4571">
      <formula>SEARCH("DA CHIUDERE",$M210)&gt;0</formula>
    </cfRule>
    <cfRule type="expression" dxfId="7889" priority="4572">
      <formula>SEARCH("INTERROTTO",$M210)&gt;0</formula>
    </cfRule>
  </conditionalFormatting>
  <conditionalFormatting sqref="M210">
    <cfRule type="expression" dxfId="7888" priority="4561">
      <formula>SEARCH("IN CORSO",$M210)&gt;0</formula>
    </cfRule>
    <cfRule type="expression" dxfId="7887" priority="4562">
      <formula>SEARCH("CHIUSO",$M210)&gt;0</formula>
    </cfRule>
    <cfRule type="expression" dxfId="7886" priority="4563">
      <formula>SEARCH("EMESSO",$M210)&gt;0</formula>
    </cfRule>
    <cfRule type="expression" dxfId="7885" priority="4564">
      <formula>SEARCH("RICHIESTO",$M210)&gt;0</formula>
    </cfRule>
    <cfRule type="expression" dxfId="7884" priority="4565">
      <formula>SEARCH("DA CHIUDERE",$M210)&gt;0</formula>
    </cfRule>
    <cfRule type="expression" dxfId="7883" priority="4566">
      <formula>SEARCH("INTERROTTO",$M210)&gt;0</formula>
    </cfRule>
  </conditionalFormatting>
  <conditionalFormatting sqref="E209:G209 N209:Q209">
    <cfRule type="expression" dxfId="7882" priority="4555">
      <formula>SEARCH("IN CORSO",$M209)&gt;0</formula>
    </cfRule>
    <cfRule type="expression" dxfId="7881" priority="4556">
      <formula>SEARCH("CHIUSO",$M209)&gt;0</formula>
    </cfRule>
    <cfRule type="expression" dxfId="7880" priority="4557">
      <formula>SEARCH("EMESSO",$M209)&gt;0</formula>
    </cfRule>
    <cfRule type="expression" dxfId="7879" priority="4558">
      <formula>SEARCH("RICHIESTO",$M209)&gt;0</formula>
    </cfRule>
    <cfRule type="expression" dxfId="7878" priority="4559">
      <formula>SEARCH("DA CHIUDERE",$M209)&gt;0</formula>
    </cfRule>
    <cfRule type="expression" dxfId="7877" priority="4560">
      <formula>SEARCH("INTERROTTO",$M209)&gt;0</formula>
    </cfRule>
  </conditionalFormatting>
  <conditionalFormatting sqref="R209:S209">
    <cfRule type="expression" dxfId="7876" priority="4549">
      <formula>SEARCH("IN CORSO",$M209)&gt;0</formula>
    </cfRule>
    <cfRule type="expression" dxfId="7875" priority="4550">
      <formula>SEARCH("CHIUSO",$M209)&gt;0</formula>
    </cfRule>
    <cfRule type="expression" dxfId="7874" priority="4551">
      <formula>SEARCH("EMESSO",$M209)&gt;0</formula>
    </cfRule>
    <cfRule type="expression" dxfId="7873" priority="4552">
      <formula>SEARCH("RICHIESTO",$M209)&gt;0</formula>
    </cfRule>
    <cfRule type="expression" dxfId="7872" priority="4553">
      <formula>SEARCH("DA CHIUDERE",$M209)&gt;0</formula>
    </cfRule>
    <cfRule type="expression" dxfId="7871" priority="4554">
      <formula>SEARCH("INTERROTTO",$M209)&gt;0</formula>
    </cfRule>
  </conditionalFormatting>
  <conditionalFormatting sqref="M209">
    <cfRule type="expression" dxfId="7870" priority="4543">
      <formula>SEARCH("IN CORSO",$M209)&gt;0</formula>
    </cfRule>
    <cfRule type="expression" dxfId="7869" priority="4544">
      <formula>SEARCH("CHIUSO",$M209)&gt;0</formula>
    </cfRule>
    <cfRule type="expression" dxfId="7868" priority="4545">
      <formula>SEARCH("EMESSO",$M209)&gt;0</formula>
    </cfRule>
    <cfRule type="expression" dxfId="7867" priority="4546">
      <formula>SEARCH("RICHIESTO",$M209)&gt;0</formula>
    </cfRule>
    <cfRule type="expression" dxfId="7866" priority="4547">
      <formula>SEARCH("DA CHIUDERE",$M209)&gt;0</formula>
    </cfRule>
    <cfRule type="expression" dxfId="7865" priority="4548">
      <formula>SEARCH("INTERROTTO",$M209)&gt;0</formula>
    </cfRule>
  </conditionalFormatting>
  <conditionalFormatting sqref="E208:G208 N208:Q208">
    <cfRule type="expression" dxfId="7864" priority="4537">
      <formula>SEARCH("IN CORSO",$M208)&gt;0</formula>
    </cfRule>
    <cfRule type="expression" dxfId="7863" priority="4538">
      <formula>SEARCH("CHIUSO",$M208)&gt;0</formula>
    </cfRule>
    <cfRule type="expression" dxfId="7862" priority="4539">
      <formula>SEARCH("EMESSO",$M208)&gt;0</formula>
    </cfRule>
    <cfRule type="expression" dxfId="7861" priority="4540">
      <formula>SEARCH("RICHIESTO",$M208)&gt;0</formula>
    </cfRule>
    <cfRule type="expression" dxfId="7860" priority="4541">
      <formula>SEARCH("DA CHIUDERE",$M208)&gt;0</formula>
    </cfRule>
    <cfRule type="expression" dxfId="7859" priority="4542">
      <formula>SEARCH("INTERROTTO",$M208)&gt;0</formula>
    </cfRule>
  </conditionalFormatting>
  <conditionalFormatting sqref="R208:S208">
    <cfRule type="expression" dxfId="7858" priority="4531">
      <formula>SEARCH("IN CORSO",$M208)&gt;0</formula>
    </cfRule>
    <cfRule type="expression" dxfId="7857" priority="4532">
      <formula>SEARCH("CHIUSO",$M208)&gt;0</formula>
    </cfRule>
    <cfRule type="expression" dxfId="7856" priority="4533">
      <formula>SEARCH("EMESSO",$M208)&gt;0</formula>
    </cfRule>
    <cfRule type="expression" dxfId="7855" priority="4534">
      <formula>SEARCH("RICHIESTO",$M208)&gt;0</formula>
    </cfRule>
    <cfRule type="expression" dxfId="7854" priority="4535">
      <formula>SEARCH("DA CHIUDERE",$M208)&gt;0</formula>
    </cfRule>
    <cfRule type="expression" dxfId="7853" priority="4536">
      <formula>SEARCH("INTERROTTO",$M208)&gt;0</formula>
    </cfRule>
  </conditionalFormatting>
  <conditionalFormatting sqref="M208">
    <cfRule type="expression" dxfId="7852" priority="4525">
      <formula>SEARCH("IN CORSO",$M208)&gt;0</formula>
    </cfRule>
    <cfRule type="expression" dxfId="7851" priority="4526">
      <formula>SEARCH("CHIUSO",$M208)&gt;0</formula>
    </cfRule>
    <cfRule type="expression" dxfId="7850" priority="4527">
      <formula>SEARCH("EMESSO",$M208)&gt;0</formula>
    </cfRule>
    <cfRule type="expression" dxfId="7849" priority="4528">
      <formula>SEARCH("RICHIESTO",$M208)&gt;0</formula>
    </cfRule>
    <cfRule type="expression" dxfId="7848" priority="4529">
      <formula>SEARCH("DA CHIUDERE",$M208)&gt;0</formula>
    </cfRule>
    <cfRule type="expression" dxfId="7847" priority="4530">
      <formula>SEARCH("INTERROTTO",$M208)&gt;0</formula>
    </cfRule>
  </conditionalFormatting>
  <conditionalFormatting sqref="E207:G207 N207:Q207">
    <cfRule type="expression" dxfId="7846" priority="4519">
      <formula>SEARCH("IN CORSO",$M207)&gt;0</formula>
    </cfRule>
    <cfRule type="expression" dxfId="7845" priority="4520">
      <formula>SEARCH("CHIUSO",$M207)&gt;0</formula>
    </cfRule>
    <cfRule type="expression" dxfId="7844" priority="4521">
      <formula>SEARCH("EMESSO",$M207)&gt;0</formula>
    </cfRule>
    <cfRule type="expression" dxfId="7843" priority="4522">
      <formula>SEARCH("RICHIESTO",$M207)&gt;0</formula>
    </cfRule>
    <cfRule type="expression" dxfId="7842" priority="4523">
      <formula>SEARCH("DA CHIUDERE",$M207)&gt;0</formula>
    </cfRule>
    <cfRule type="expression" dxfId="7841" priority="4524">
      <formula>SEARCH("INTERROTTO",$M207)&gt;0</formula>
    </cfRule>
  </conditionalFormatting>
  <conditionalFormatting sqref="R207:S207">
    <cfRule type="expression" dxfId="7840" priority="4513">
      <formula>SEARCH("IN CORSO",$M207)&gt;0</formula>
    </cfRule>
    <cfRule type="expression" dxfId="7839" priority="4514">
      <formula>SEARCH("CHIUSO",$M207)&gt;0</formula>
    </cfRule>
    <cfRule type="expression" dxfId="7838" priority="4515">
      <formula>SEARCH("EMESSO",$M207)&gt;0</formula>
    </cfRule>
    <cfRule type="expression" dxfId="7837" priority="4516">
      <formula>SEARCH("RICHIESTO",$M207)&gt;0</formula>
    </cfRule>
    <cfRule type="expression" dxfId="7836" priority="4517">
      <formula>SEARCH("DA CHIUDERE",$M207)&gt;0</formula>
    </cfRule>
    <cfRule type="expression" dxfId="7835" priority="4518">
      <formula>SEARCH("INTERROTTO",$M207)&gt;0</formula>
    </cfRule>
  </conditionalFormatting>
  <conditionalFormatting sqref="M207">
    <cfRule type="expression" dxfId="7834" priority="4507">
      <formula>SEARCH("IN CORSO",$M207)&gt;0</formula>
    </cfRule>
    <cfRule type="expression" dxfId="7833" priority="4508">
      <formula>SEARCH("CHIUSO",$M207)&gt;0</formula>
    </cfRule>
    <cfRule type="expression" dxfId="7832" priority="4509">
      <formula>SEARCH("EMESSO",$M207)&gt;0</formula>
    </cfRule>
    <cfRule type="expression" dxfId="7831" priority="4510">
      <formula>SEARCH("RICHIESTO",$M207)&gt;0</formula>
    </cfRule>
    <cfRule type="expression" dxfId="7830" priority="4511">
      <formula>SEARCH("DA CHIUDERE",$M207)&gt;0</formula>
    </cfRule>
    <cfRule type="expression" dxfId="7829" priority="4512">
      <formula>SEARCH("INTERROTTO",$M207)&gt;0</formula>
    </cfRule>
  </conditionalFormatting>
  <conditionalFormatting sqref="E206:G206 N206:Q206">
    <cfRule type="expression" dxfId="7828" priority="4501">
      <formula>SEARCH("IN CORSO",$M206)&gt;0</formula>
    </cfRule>
    <cfRule type="expression" dxfId="7827" priority="4502">
      <formula>SEARCH("CHIUSO",$M206)&gt;0</formula>
    </cfRule>
    <cfRule type="expression" dxfId="7826" priority="4503">
      <formula>SEARCH("EMESSO",$M206)&gt;0</formula>
    </cfRule>
    <cfRule type="expression" dxfId="7825" priority="4504">
      <formula>SEARCH("RICHIESTO",$M206)&gt;0</formula>
    </cfRule>
    <cfRule type="expression" dxfId="7824" priority="4505">
      <formula>SEARCH("DA CHIUDERE",$M206)&gt;0</formula>
    </cfRule>
    <cfRule type="expression" dxfId="7823" priority="4506">
      <formula>SEARCH("INTERROTTO",$M206)&gt;0</formula>
    </cfRule>
  </conditionalFormatting>
  <conditionalFormatting sqref="R206:S206">
    <cfRule type="expression" dxfId="7822" priority="4495">
      <formula>SEARCH("IN CORSO",$M206)&gt;0</formula>
    </cfRule>
    <cfRule type="expression" dxfId="7821" priority="4496">
      <formula>SEARCH("CHIUSO",$M206)&gt;0</formula>
    </cfRule>
    <cfRule type="expression" dxfId="7820" priority="4497">
      <formula>SEARCH("EMESSO",$M206)&gt;0</formula>
    </cfRule>
    <cfRule type="expression" dxfId="7819" priority="4498">
      <formula>SEARCH("RICHIESTO",$M206)&gt;0</formula>
    </cfRule>
    <cfRule type="expression" dxfId="7818" priority="4499">
      <formula>SEARCH("DA CHIUDERE",$M206)&gt;0</formula>
    </cfRule>
    <cfRule type="expression" dxfId="7817" priority="4500">
      <formula>SEARCH("INTERROTTO",$M206)&gt;0</formula>
    </cfRule>
  </conditionalFormatting>
  <conditionalFormatting sqref="M206">
    <cfRule type="expression" dxfId="7816" priority="4489">
      <formula>SEARCH("IN CORSO",$M206)&gt;0</formula>
    </cfRule>
    <cfRule type="expression" dxfId="7815" priority="4490">
      <formula>SEARCH("CHIUSO",$M206)&gt;0</formula>
    </cfRule>
    <cfRule type="expression" dxfId="7814" priority="4491">
      <formula>SEARCH("EMESSO",$M206)&gt;0</formula>
    </cfRule>
    <cfRule type="expression" dxfId="7813" priority="4492">
      <formula>SEARCH("RICHIESTO",$M206)&gt;0</formula>
    </cfRule>
    <cfRule type="expression" dxfId="7812" priority="4493">
      <formula>SEARCH("DA CHIUDERE",$M206)&gt;0</formula>
    </cfRule>
    <cfRule type="expression" dxfId="7811" priority="4494">
      <formula>SEARCH("INTERROTTO",$M206)&gt;0</formula>
    </cfRule>
  </conditionalFormatting>
  <conditionalFormatting sqref="E205:G205 N205:Q205">
    <cfRule type="expression" dxfId="7810" priority="4483">
      <formula>SEARCH("IN CORSO",$M205)&gt;0</formula>
    </cfRule>
    <cfRule type="expression" dxfId="7809" priority="4484">
      <formula>SEARCH("CHIUSO",$M205)&gt;0</formula>
    </cfRule>
    <cfRule type="expression" dxfId="7808" priority="4485">
      <formula>SEARCH("EMESSO",$M205)&gt;0</formula>
    </cfRule>
    <cfRule type="expression" dxfId="7807" priority="4486">
      <formula>SEARCH("RICHIESTO",$M205)&gt;0</formula>
    </cfRule>
    <cfRule type="expression" dxfId="7806" priority="4487">
      <formula>SEARCH("DA CHIUDERE",$M205)&gt;0</formula>
    </cfRule>
    <cfRule type="expression" dxfId="7805" priority="4488">
      <formula>SEARCH("INTERROTTO",$M205)&gt;0</formula>
    </cfRule>
  </conditionalFormatting>
  <conditionalFormatting sqref="R205:S205">
    <cfRule type="expression" dxfId="7804" priority="4477">
      <formula>SEARCH("IN CORSO",$M205)&gt;0</formula>
    </cfRule>
    <cfRule type="expression" dxfId="7803" priority="4478">
      <formula>SEARCH("CHIUSO",$M205)&gt;0</formula>
    </cfRule>
    <cfRule type="expression" dxfId="7802" priority="4479">
      <formula>SEARCH("EMESSO",$M205)&gt;0</formula>
    </cfRule>
    <cfRule type="expression" dxfId="7801" priority="4480">
      <formula>SEARCH("RICHIESTO",$M205)&gt;0</formula>
    </cfRule>
    <cfRule type="expression" dxfId="7800" priority="4481">
      <formula>SEARCH("DA CHIUDERE",$M205)&gt;0</formula>
    </cfRule>
    <cfRule type="expression" dxfId="7799" priority="4482">
      <formula>SEARCH("INTERROTTO",$M205)&gt;0</formula>
    </cfRule>
  </conditionalFormatting>
  <conditionalFormatting sqref="M205">
    <cfRule type="expression" dxfId="7798" priority="4471">
      <formula>SEARCH("IN CORSO",$M205)&gt;0</formula>
    </cfRule>
    <cfRule type="expression" dxfId="7797" priority="4472">
      <formula>SEARCH("CHIUSO",$M205)&gt;0</formula>
    </cfRule>
    <cfRule type="expression" dxfId="7796" priority="4473">
      <formula>SEARCH("EMESSO",$M205)&gt;0</formula>
    </cfRule>
    <cfRule type="expression" dxfId="7795" priority="4474">
      <formula>SEARCH("RICHIESTO",$M205)&gt;0</formula>
    </cfRule>
    <cfRule type="expression" dxfId="7794" priority="4475">
      <formula>SEARCH("DA CHIUDERE",$M205)&gt;0</formula>
    </cfRule>
    <cfRule type="expression" dxfId="7793" priority="4476">
      <formula>SEARCH("INTERROTTO",$M205)&gt;0</formula>
    </cfRule>
  </conditionalFormatting>
  <conditionalFormatting sqref="E204:G204 N204:Q204">
    <cfRule type="expression" dxfId="7792" priority="4465">
      <formula>SEARCH("IN CORSO",$M204)&gt;0</formula>
    </cfRule>
    <cfRule type="expression" dxfId="7791" priority="4466">
      <formula>SEARCH("CHIUSO",$M204)&gt;0</formula>
    </cfRule>
    <cfRule type="expression" dxfId="7790" priority="4467">
      <formula>SEARCH("EMESSO",$M204)&gt;0</formula>
    </cfRule>
    <cfRule type="expression" dxfId="7789" priority="4468">
      <formula>SEARCH("RICHIESTO",$M204)&gt;0</formula>
    </cfRule>
    <cfRule type="expression" dxfId="7788" priority="4469">
      <formula>SEARCH("DA CHIUDERE",$M204)&gt;0</formula>
    </cfRule>
    <cfRule type="expression" dxfId="7787" priority="4470">
      <formula>SEARCH("INTERROTTO",$M204)&gt;0</formula>
    </cfRule>
  </conditionalFormatting>
  <conditionalFormatting sqref="R204:S204">
    <cfRule type="expression" dxfId="7786" priority="4459">
      <formula>SEARCH("IN CORSO",$M204)&gt;0</formula>
    </cfRule>
    <cfRule type="expression" dxfId="7785" priority="4460">
      <formula>SEARCH("CHIUSO",$M204)&gt;0</formula>
    </cfRule>
    <cfRule type="expression" dxfId="7784" priority="4461">
      <formula>SEARCH("EMESSO",$M204)&gt;0</formula>
    </cfRule>
    <cfRule type="expression" dxfId="7783" priority="4462">
      <formula>SEARCH("RICHIESTO",$M204)&gt;0</formula>
    </cfRule>
    <cfRule type="expression" dxfId="7782" priority="4463">
      <formula>SEARCH("DA CHIUDERE",$M204)&gt;0</formula>
    </cfRule>
    <cfRule type="expression" dxfId="7781" priority="4464">
      <formula>SEARCH("INTERROTTO",$M204)&gt;0</formula>
    </cfRule>
  </conditionalFormatting>
  <conditionalFormatting sqref="M204">
    <cfRule type="expression" dxfId="7780" priority="4453">
      <formula>SEARCH("IN CORSO",$M204)&gt;0</formula>
    </cfRule>
    <cfRule type="expression" dxfId="7779" priority="4454">
      <formula>SEARCH("CHIUSO",$M204)&gt;0</formula>
    </cfRule>
    <cfRule type="expression" dxfId="7778" priority="4455">
      <formula>SEARCH("EMESSO",$M204)&gt;0</formula>
    </cfRule>
    <cfRule type="expression" dxfId="7777" priority="4456">
      <formula>SEARCH("RICHIESTO",$M204)&gt;0</formula>
    </cfRule>
    <cfRule type="expression" dxfId="7776" priority="4457">
      <formula>SEARCH("DA CHIUDERE",$M204)&gt;0</formula>
    </cfRule>
    <cfRule type="expression" dxfId="7775" priority="4458">
      <formula>SEARCH("INTERROTTO",$M204)&gt;0</formula>
    </cfRule>
  </conditionalFormatting>
  <conditionalFormatting sqref="E203:G203 N203:Q203">
    <cfRule type="expression" dxfId="7774" priority="4447">
      <formula>SEARCH("IN CORSO",$M203)&gt;0</formula>
    </cfRule>
    <cfRule type="expression" dxfId="7773" priority="4448">
      <formula>SEARCH("CHIUSO",$M203)&gt;0</formula>
    </cfRule>
    <cfRule type="expression" dxfId="7772" priority="4449">
      <formula>SEARCH("EMESSO",$M203)&gt;0</formula>
    </cfRule>
    <cfRule type="expression" dxfId="7771" priority="4450">
      <formula>SEARCH("RICHIESTO",$M203)&gt;0</formula>
    </cfRule>
    <cfRule type="expression" dxfId="7770" priority="4451">
      <formula>SEARCH("DA CHIUDERE",$M203)&gt;0</formula>
    </cfRule>
    <cfRule type="expression" dxfId="7769" priority="4452">
      <formula>SEARCH("INTERROTTO",$M203)&gt;0</formula>
    </cfRule>
  </conditionalFormatting>
  <conditionalFormatting sqref="R203:S203">
    <cfRule type="expression" dxfId="7768" priority="4441">
      <formula>SEARCH("IN CORSO",$M203)&gt;0</formula>
    </cfRule>
    <cfRule type="expression" dxfId="7767" priority="4442">
      <formula>SEARCH("CHIUSO",$M203)&gt;0</formula>
    </cfRule>
    <cfRule type="expression" dxfId="7766" priority="4443">
      <formula>SEARCH("EMESSO",$M203)&gt;0</formula>
    </cfRule>
    <cfRule type="expression" dxfId="7765" priority="4444">
      <formula>SEARCH("RICHIESTO",$M203)&gt;0</formula>
    </cfRule>
    <cfRule type="expression" dxfId="7764" priority="4445">
      <formula>SEARCH("DA CHIUDERE",$M203)&gt;0</formula>
    </cfRule>
    <cfRule type="expression" dxfId="7763" priority="4446">
      <formula>SEARCH("INTERROTTO",$M203)&gt;0</formula>
    </cfRule>
  </conditionalFormatting>
  <conditionalFormatting sqref="M203">
    <cfRule type="expression" dxfId="7762" priority="4435">
      <formula>SEARCH("IN CORSO",$M203)&gt;0</formula>
    </cfRule>
    <cfRule type="expression" dxfId="7761" priority="4436">
      <formula>SEARCH("CHIUSO",$M203)&gt;0</formula>
    </cfRule>
    <cfRule type="expression" dxfId="7760" priority="4437">
      <formula>SEARCH("EMESSO",$M203)&gt;0</formula>
    </cfRule>
    <cfRule type="expression" dxfId="7759" priority="4438">
      <formula>SEARCH("RICHIESTO",$M203)&gt;0</formula>
    </cfRule>
    <cfRule type="expression" dxfId="7758" priority="4439">
      <formula>SEARCH("DA CHIUDERE",$M203)&gt;0</formula>
    </cfRule>
    <cfRule type="expression" dxfId="7757" priority="4440">
      <formula>SEARCH("INTERROTTO",$M203)&gt;0</formula>
    </cfRule>
  </conditionalFormatting>
  <conditionalFormatting sqref="E202:G202 N202:Q202">
    <cfRule type="expression" dxfId="7756" priority="4429">
      <formula>SEARCH("IN CORSO",$M202)&gt;0</formula>
    </cfRule>
    <cfRule type="expression" dxfId="7755" priority="4430">
      <formula>SEARCH("CHIUSO",$M202)&gt;0</formula>
    </cfRule>
    <cfRule type="expression" dxfId="7754" priority="4431">
      <formula>SEARCH("EMESSO",$M202)&gt;0</formula>
    </cfRule>
    <cfRule type="expression" dxfId="7753" priority="4432">
      <formula>SEARCH("RICHIESTO",$M202)&gt;0</formula>
    </cfRule>
    <cfRule type="expression" dxfId="7752" priority="4433">
      <formula>SEARCH("DA CHIUDERE",$M202)&gt;0</formula>
    </cfRule>
    <cfRule type="expression" dxfId="7751" priority="4434">
      <formula>SEARCH("INTERROTTO",$M202)&gt;0</formula>
    </cfRule>
  </conditionalFormatting>
  <conditionalFormatting sqref="R202:S202">
    <cfRule type="expression" dxfId="7750" priority="4423">
      <formula>SEARCH("IN CORSO",$M202)&gt;0</formula>
    </cfRule>
    <cfRule type="expression" dxfId="7749" priority="4424">
      <formula>SEARCH("CHIUSO",$M202)&gt;0</formula>
    </cfRule>
    <cfRule type="expression" dxfId="7748" priority="4425">
      <formula>SEARCH("EMESSO",$M202)&gt;0</formula>
    </cfRule>
    <cfRule type="expression" dxfId="7747" priority="4426">
      <formula>SEARCH("RICHIESTO",$M202)&gt;0</formula>
    </cfRule>
    <cfRule type="expression" dxfId="7746" priority="4427">
      <formula>SEARCH("DA CHIUDERE",$M202)&gt;0</formula>
    </cfRule>
    <cfRule type="expression" dxfId="7745" priority="4428">
      <formula>SEARCH("INTERROTTO",$M202)&gt;0</formula>
    </cfRule>
  </conditionalFormatting>
  <conditionalFormatting sqref="M202">
    <cfRule type="expression" dxfId="7744" priority="4417">
      <formula>SEARCH("IN CORSO",$M202)&gt;0</formula>
    </cfRule>
    <cfRule type="expression" dxfId="7743" priority="4418">
      <formula>SEARCH("CHIUSO",$M202)&gt;0</formula>
    </cfRule>
    <cfRule type="expression" dxfId="7742" priority="4419">
      <formula>SEARCH("EMESSO",$M202)&gt;0</formula>
    </cfRule>
    <cfRule type="expression" dxfId="7741" priority="4420">
      <formula>SEARCH("RICHIESTO",$M202)&gt;0</formula>
    </cfRule>
    <cfRule type="expression" dxfId="7740" priority="4421">
      <formula>SEARCH("DA CHIUDERE",$M202)&gt;0</formula>
    </cfRule>
    <cfRule type="expression" dxfId="7739" priority="4422">
      <formula>SEARCH("INTERROTTO",$M202)&gt;0</formula>
    </cfRule>
  </conditionalFormatting>
  <conditionalFormatting sqref="E201:G201 N201:Q201">
    <cfRule type="expression" dxfId="7738" priority="4411">
      <formula>SEARCH("IN CORSO",$M201)&gt;0</formula>
    </cfRule>
    <cfRule type="expression" dxfId="7737" priority="4412">
      <formula>SEARCH("CHIUSO",$M201)&gt;0</formula>
    </cfRule>
    <cfRule type="expression" dxfId="7736" priority="4413">
      <formula>SEARCH("EMESSO",$M201)&gt;0</formula>
    </cfRule>
    <cfRule type="expression" dxfId="7735" priority="4414">
      <formula>SEARCH("RICHIESTO",$M201)&gt;0</formula>
    </cfRule>
    <cfRule type="expression" dxfId="7734" priority="4415">
      <formula>SEARCH("DA CHIUDERE",$M201)&gt;0</formula>
    </cfRule>
    <cfRule type="expression" dxfId="7733" priority="4416">
      <formula>SEARCH("INTERROTTO",$M201)&gt;0</formula>
    </cfRule>
  </conditionalFormatting>
  <conditionalFormatting sqref="R201:S201">
    <cfRule type="expression" dxfId="7732" priority="4405">
      <formula>SEARCH("IN CORSO",$M201)&gt;0</formula>
    </cfRule>
    <cfRule type="expression" dxfId="7731" priority="4406">
      <formula>SEARCH("CHIUSO",$M201)&gt;0</formula>
    </cfRule>
    <cfRule type="expression" dxfId="7730" priority="4407">
      <formula>SEARCH("EMESSO",$M201)&gt;0</formula>
    </cfRule>
    <cfRule type="expression" dxfId="7729" priority="4408">
      <formula>SEARCH("RICHIESTO",$M201)&gt;0</formula>
    </cfRule>
    <cfRule type="expression" dxfId="7728" priority="4409">
      <formula>SEARCH("DA CHIUDERE",$M201)&gt;0</formula>
    </cfRule>
    <cfRule type="expression" dxfId="7727" priority="4410">
      <formula>SEARCH("INTERROTTO",$M201)&gt;0</formula>
    </cfRule>
  </conditionalFormatting>
  <conditionalFormatting sqref="M201">
    <cfRule type="expression" dxfId="7726" priority="4399">
      <formula>SEARCH("IN CORSO",$M201)&gt;0</formula>
    </cfRule>
    <cfRule type="expression" dxfId="7725" priority="4400">
      <formula>SEARCH("CHIUSO",$M201)&gt;0</formula>
    </cfRule>
    <cfRule type="expression" dxfId="7724" priority="4401">
      <formula>SEARCH("EMESSO",$M201)&gt;0</formula>
    </cfRule>
    <cfRule type="expression" dxfId="7723" priority="4402">
      <formula>SEARCH("RICHIESTO",$M201)&gt;0</formula>
    </cfRule>
    <cfRule type="expression" dxfId="7722" priority="4403">
      <formula>SEARCH("DA CHIUDERE",$M201)&gt;0</formula>
    </cfRule>
    <cfRule type="expression" dxfId="7721" priority="4404">
      <formula>SEARCH("INTERROTTO",$M201)&gt;0</formula>
    </cfRule>
  </conditionalFormatting>
  <conditionalFormatting sqref="E200:G200 N200:Q200">
    <cfRule type="expression" dxfId="7720" priority="4393">
      <formula>SEARCH("IN CORSO",$M200)&gt;0</formula>
    </cfRule>
    <cfRule type="expression" dxfId="7719" priority="4394">
      <formula>SEARCH("CHIUSO",$M200)&gt;0</formula>
    </cfRule>
    <cfRule type="expression" dxfId="7718" priority="4395">
      <formula>SEARCH("EMESSO",$M200)&gt;0</formula>
    </cfRule>
    <cfRule type="expression" dxfId="7717" priority="4396">
      <formula>SEARCH("RICHIESTO",$M200)&gt;0</formula>
    </cfRule>
    <cfRule type="expression" dxfId="7716" priority="4397">
      <formula>SEARCH("DA CHIUDERE",$M200)&gt;0</formula>
    </cfRule>
    <cfRule type="expression" dxfId="7715" priority="4398">
      <formula>SEARCH("INTERROTTO",$M200)&gt;0</formula>
    </cfRule>
  </conditionalFormatting>
  <conditionalFormatting sqref="R200:S200">
    <cfRule type="expression" dxfId="7714" priority="4387">
      <formula>SEARCH("IN CORSO",$M200)&gt;0</formula>
    </cfRule>
    <cfRule type="expression" dxfId="7713" priority="4388">
      <formula>SEARCH("CHIUSO",$M200)&gt;0</formula>
    </cfRule>
    <cfRule type="expression" dxfId="7712" priority="4389">
      <formula>SEARCH("EMESSO",$M200)&gt;0</formula>
    </cfRule>
    <cfRule type="expression" dxfId="7711" priority="4390">
      <formula>SEARCH("RICHIESTO",$M200)&gt;0</formula>
    </cfRule>
    <cfRule type="expression" dxfId="7710" priority="4391">
      <formula>SEARCH("DA CHIUDERE",$M200)&gt;0</formula>
    </cfRule>
    <cfRule type="expression" dxfId="7709" priority="4392">
      <formula>SEARCH("INTERROTTO",$M200)&gt;0</formula>
    </cfRule>
  </conditionalFormatting>
  <conditionalFormatting sqref="M200">
    <cfRule type="expression" dxfId="7708" priority="4381">
      <formula>SEARCH("IN CORSO",$M200)&gt;0</formula>
    </cfRule>
    <cfRule type="expression" dxfId="7707" priority="4382">
      <formula>SEARCH("CHIUSO",$M200)&gt;0</formula>
    </cfRule>
    <cfRule type="expression" dxfId="7706" priority="4383">
      <formula>SEARCH("EMESSO",$M200)&gt;0</formula>
    </cfRule>
    <cfRule type="expression" dxfId="7705" priority="4384">
      <formula>SEARCH("RICHIESTO",$M200)&gt;0</formula>
    </cfRule>
    <cfRule type="expression" dxfId="7704" priority="4385">
      <formula>SEARCH("DA CHIUDERE",$M200)&gt;0</formula>
    </cfRule>
    <cfRule type="expression" dxfId="7703" priority="4386">
      <formula>SEARCH("INTERROTTO",$M200)&gt;0</formula>
    </cfRule>
  </conditionalFormatting>
  <conditionalFormatting sqref="E199:G199 N199:Q199">
    <cfRule type="expression" dxfId="7702" priority="4375">
      <formula>SEARCH("IN CORSO",$M199)&gt;0</formula>
    </cfRule>
    <cfRule type="expression" dxfId="7701" priority="4376">
      <formula>SEARCH("CHIUSO",$M199)&gt;0</formula>
    </cfRule>
    <cfRule type="expression" dxfId="7700" priority="4377">
      <formula>SEARCH("EMESSO",$M199)&gt;0</formula>
    </cfRule>
    <cfRule type="expression" dxfId="7699" priority="4378">
      <formula>SEARCH("RICHIESTO",$M199)&gt;0</formula>
    </cfRule>
    <cfRule type="expression" dxfId="7698" priority="4379">
      <formula>SEARCH("DA CHIUDERE",$M199)&gt;0</formula>
    </cfRule>
    <cfRule type="expression" dxfId="7697" priority="4380">
      <formula>SEARCH("INTERROTTO",$M199)&gt;0</formula>
    </cfRule>
  </conditionalFormatting>
  <conditionalFormatting sqref="R199:S199">
    <cfRule type="expression" dxfId="7696" priority="4369">
      <formula>SEARCH("IN CORSO",$M199)&gt;0</formula>
    </cfRule>
    <cfRule type="expression" dxfId="7695" priority="4370">
      <formula>SEARCH("CHIUSO",$M199)&gt;0</formula>
    </cfRule>
    <cfRule type="expression" dxfId="7694" priority="4371">
      <formula>SEARCH("EMESSO",$M199)&gt;0</formula>
    </cfRule>
    <cfRule type="expression" dxfId="7693" priority="4372">
      <formula>SEARCH("RICHIESTO",$M199)&gt;0</formula>
    </cfRule>
    <cfRule type="expression" dxfId="7692" priority="4373">
      <formula>SEARCH("DA CHIUDERE",$M199)&gt;0</formula>
    </cfRule>
    <cfRule type="expression" dxfId="7691" priority="4374">
      <formula>SEARCH("INTERROTTO",$M199)&gt;0</formula>
    </cfRule>
  </conditionalFormatting>
  <conditionalFormatting sqref="M199">
    <cfRule type="expression" dxfId="7690" priority="4363">
      <formula>SEARCH("IN CORSO",$M199)&gt;0</formula>
    </cfRule>
    <cfRule type="expression" dxfId="7689" priority="4364">
      <formula>SEARCH("CHIUSO",$M199)&gt;0</formula>
    </cfRule>
    <cfRule type="expression" dxfId="7688" priority="4365">
      <formula>SEARCH("EMESSO",$M199)&gt;0</formula>
    </cfRule>
    <cfRule type="expression" dxfId="7687" priority="4366">
      <formula>SEARCH("RICHIESTO",$M199)&gt;0</formula>
    </cfRule>
    <cfRule type="expression" dxfId="7686" priority="4367">
      <formula>SEARCH("DA CHIUDERE",$M199)&gt;0</formula>
    </cfRule>
    <cfRule type="expression" dxfId="7685" priority="4368">
      <formula>SEARCH("INTERROTTO",$M199)&gt;0</formula>
    </cfRule>
  </conditionalFormatting>
  <conditionalFormatting sqref="E198:G198 N198:Q198">
    <cfRule type="expression" dxfId="7684" priority="4357">
      <formula>SEARCH("IN CORSO",$M198)&gt;0</formula>
    </cfRule>
    <cfRule type="expression" dxfId="7683" priority="4358">
      <formula>SEARCH("CHIUSO",$M198)&gt;0</formula>
    </cfRule>
    <cfRule type="expression" dxfId="7682" priority="4359">
      <formula>SEARCH("EMESSO",$M198)&gt;0</formula>
    </cfRule>
    <cfRule type="expression" dxfId="7681" priority="4360">
      <formula>SEARCH("RICHIESTO",$M198)&gt;0</formula>
    </cfRule>
    <cfRule type="expression" dxfId="7680" priority="4361">
      <formula>SEARCH("DA CHIUDERE",$M198)&gt;0</formula>
    </cfRule>
    <cfRule type="expression" dxfId="7679" priority="4362">
      <formula>SEARCH("INTERROTTO",$M198)&gt;0</formula>
    </cfRule>
  </conditionalFormatting>
  <conditionalFormatting sqref="R198:S198">
    <cfRule type="expression" dxfId="7678" priority="4351">
      <formula>SEARCH("IN CORSO",$M198)&gt;0</formula>
    </cfRule>
    <cfRule type="expression" dxfId="7677" priority="4352">
      <formula>SEARCH("CHIUSO",$M198)&gt;0</formula>
    </cfRule>
    <cfRule type="expression" dxfId="7676" priority="4353">
      <formula>SEARCH("EMESSO",$M198)&gt;0</formula>
    </cfRule>
    <cfRule type="expression" dxfId="7675" priority="4354">
      <formula>SEARCH("RICHIESTO",$M198)&gt;0</formula>
    </cfRule>
    <cfRule type="expression" dxfId="7674" priority="4355">
      <formula>SEARCH("DA CHIUDERE",$M198)&gt;0</formula>
    </cfRule>
    <cfRule type="expression" dxfId="7673" priority="4356">
      <formula>SEARCH("INTERROTTO",$M198)&gt;0</formula>
    </cfRule>
  </conditionalFormatting>
  <conditionalFormatting sqref="M198">
    <cfRule type="expression" dxfId="7672" priority="4345">
      <formula>SEARCH("IN CORSO",$M198)&gt;0</formula>
    </cfRule>
    <cfRule type="expression" dxfId="7671" priority="4346">
      <formula>SEARCH("CHIUSO",$M198)&gt;0</formula>
    </cfRule>
    <cfRule type="expression" dxfId="7670" priority="4347">
      <formula>SEARCH("EMESSO",$M198)&gt;0</formula>
    </cfRule>
    <cfRule type="expression" dxfId="7669" priority="4348">
      <formula>SEARCH("RICHIESTO",$M198)&gt;0</formula>
    </cfRule>
    <cfRule type="expression" dxfId="7668" priority="4349">
      <formula>SEARCH("DA CHIUDERE",$M198)&gt;0</formula>
    </cfRule>
    <cfRule type="expression" dxfId="7667" priority="4350">
      <formula>SEARCH("INTERROTTO",$M198)&gt;0</formula>
    </cfRule>
  </conditionalFormatting>
  <conditionalFormatting sqref="E197:G197 N197:Q197">
    <cfRule type="expression" dxfId="7666" priority="4339">
      <formula>SEARCH("IN CORSO",$M197)&gt;0</formula>
    </cfRule>
    <cfRule type="expression" dxfId="7665" priority="4340">
      <formula>SEARCH("CHIUSO",$M197)&gt;0</formula>
    </cfRule>
    <cfRule type="expression" dxfId="7664" priority="4341">
      <formula>SEARCH("EMESSO",$M197)&gt;0</formula>
    </cfRule>
    <cfRule type="expression" dxfId="7663" priority="4342">
      <formula>SEARCH("RICHIESTO",$M197)&gt;0</formula>
    </cfRule>
    <cfRule type="expression" dxfId="7662" priority="4343">
      <formula>SEARCH("DA CHIUDERE",$M197)&gt;0</formula>
    </cfRule>
    <cfRule type="expression" dxfId="7661" priority="4344">
      <formula>SEARCH("INTERROTTO",$M197)&gt;0</formula>
    </cfRule>
  </conditionalFormatting>
  <conditionalFormatting sqref="R197:S197">
    <cfRule type="expression" dxfId="7660" priority="4333">
      <formula>SEARCH("IN CORSO",$M197)&gt;0</formula>
    </cfRule>
    <cfRule type="expression" dxfId="7659" priority="4334">
      <formula>SEARCH("CHIUSO",$M197)&gt;0</formula>
    </cfRule>
    <cfRule type="expression" dxfId="7658" priority="4335">
      <formula>SEARCH("EMESSO",$M197)&gt;0</formula>
    </cfRule>
    <cfRule type="expression" dxfId="7657" priority="4336">
      <formula>SEARCH("RICHIESTO",$M197)&gt;0</formula>
    </cfRule>
    <cfRule type="expression" dxfId="7656" priority="4337">
      <formula>SEARCH("DA CHIUDERE",$M197)&gt;0</formula>
    </cfRule>
    <cfRule type="expression" dxfId="7655" priority="4338">
      <formula>SEARCH("INTERROTTO",$M197)&gt;0</formula>
    </cfRule>
  </conditionalFormatting>
  <conditionalFormatting sqref="M197">
    <cfRule type="expression" dxfId="7654" priority="4327">
      <formula>SEARCH("IN CORSO",$M197)&gt;0</formula>
    </cfRule>
    <cfRule type="expression" dxfId="7653" priority="4328">
      <formula>SEARCH("CHIUSO",$M197)&gt;0</formula>
    </cfRule>
    <cfRule type="expression" dxfId="7652" priority="4329">
      <formula>SEARCH("EMESSO",$M197)&gt;0</formula>
    </cfRule>
    <cfRule type="expression" dxfId="7651" priority="4330">
      <formula>SEARCH("RICHIESTO",$M197)&gt;0</formula>
    </cfRule>
    <cfRule type="expression" dxfId="7650" priority="4331">
      <formula>SEARCH("DA CHIUDERE",$M197)&gt;0</formula>
    </cfRule>
    <cfRule type="expression" dxfId="7649" priority="4332">
      <formula>SEARCH("INTERROTTO",$M197)&gt;0</formula>
    </cfRule>
  </conditionalFormatting>
  <conditionalFormatting sqref="E196:G196 N196:Q196">
    <cfRule type="expression" dxfId="7648" priority="4321">
      <formula>SEARCH("IN CORSO",$M196)&gt;0</formula>
    </cfRule>
    <cfRule type="expression" dxfId="7647" priority="4322">
      <formula>SEARCH("CHIUSO",$M196)&gt;0</formula>
    </cfRule>
    <cfRule type="expression" dxfId="7646" priority="4323">
      <formula>SEARCH("EMESSO",$M196)&gt;0</formula>
    </cfRule>
    <cfRule type="expression" dxfId="7645" priority="4324">
      <formula>SEARCH("RICHIESTO",$M196)&gt;0</formula>
    </cfRule>
    <cfRule type="expression" dxfId="7644" priority="4325">
      <formula>SEARCH("DA CHIUDERE",$M196)&gt;0</formula>
    </cfRule>
    <cfRule type="expression" dxfId="7643" priority="4326">
      <formula>SEARCH("INTERROTTO",$M196)&gt;0</formula>
    </cfRule>
  </conditionalFormatting>
  <conditionalFormatting sqref="R196:S196">
    <cfRule type="expression" dxfId="7642" priority="4315">
      <formula>SEARCH("IN CORSO",$M196)&gt;0</formula>
    </cfRule>
    <cfRule type="expression" dxfId="7641" priority="4316">
      <formula>SEARCH("CHIUSO",$M196)&gt;0</formula>
    </cfRule>
    <cfRule type="expression" dxfId="7640" priority="4317">
      <formula>SEARCH("EMESSO",$M196)&gt;0</formula>
    </cfRule>
    <cfRule type="expression" dxfId="7639" priority="4318">
      <formula>SEARCH("RICHIESTO",$M196)&gt;0</formula>
    </cfRule>
    <cfRule type="expression" dxfId="7638" priority="4319">
      <formula>SEARCH("DA CHIUDERE",$M196)&gt;0</formula>
    </cfRule>
    <cfRule type="expression" dxfId="7637" priority="4320">
      <formula>SEARCH("INTERROTTO",$M196)&gt;0</formula>
    </cfRule>
  </conditionalFormatting>
  <conditionalFormatting sqref="M196">
    <cfRule type="expression" dxfId="7636" priority="4309">
      <formula>SEARCH("IN CORSO",$M196)&gt;0</formula>
    </cfRule>
    <cfRule type="expression" dxfId="7635" priority="4310">
      <formula>SEARCH("CHIUSO",$M196)&gt;0</formula>
    </cfRule>
    <cfRule type="expression" dxfId="7634" priority="4311">
      <formula>SEARCH("EMESSO",$M196)&gt;0</formula>
    </cfRule>
    <cfRule type="expression" dxfId="7633" priority="4312">
      <formula>SEARCH("RICHIESTO",$M196)&gt;0</formula>
    </cfRule>
    <cfRule type="expression" dxfId="7632" priority="4313">
      <formula>SEARCH("DA CHIUDERE",$M196)&gt;0</formula>
    </cfRule>
    <cfRule type="expression" dxfId="7631" priority="4314">
      <formula>SEARCH("INTERROTTO",$M196)&gt;0</formula>
    </cfRule>
  </conditionalFormatting>
  <conditionalFormatting sqref="E195:G195 N195:Q195">
    <cfRule type="expression" dxfId="7630" priority="4303">
      <formula>SEARCH("IN CORSO",$M195)&gt;0</formula>
    </cfRule>
    <cfRule type="expression" dxfId="7629" priority="4304">
      <formula>SEARCH("CHIUSO",$M195)&gt;0</formula>
    </cfRule>
    <cfRule type="expression" dxfId="7628" priority="4305">
      <formula>SEARCH("EMESSO",$M195)&gt;0</formula>
    </cfRule>
    <cfRule type="expression" dxfId="7627" priority="4306">
      <formula>SEARCH("RICHIESTO",$M195)&gt;0</formula>
    </cfRule>
    <cfRule type="expression" dxfId="7626" priority="4307">
      <formula>SEARCH("DA CHIUDERE",$M195)&gt;0</formula>
    </cfRule>
    <cfRule type="expression" dxfId="7625" priority="4308">
      <formula>SEARCH("INTERROTTO",$M195)&gt;0</formula>
    </cfRule>
  </conditionalFormatting>
  <conditionalFormatting sqref="R195:S195">
    <cfRule type="expression" dxfId="7624" priority="4297">
      <formula>SEARCH("IN CORSO",$M195)&gt;0</formula>
    </cfRule>
    <cfRule type="expression" dxfId="7623" priority="4298">
      <formula>SEARCH("CHIUSO",$M195)&gt;0</formula>
    </cfRule>
    <cfRule type="expression" dxfId="7622" priority="4299">
      <formula>SEARCH("EMESSO",$M195)&gt;0</formula>
    </cfRule>
    <cfRule type="expression" dxfId="7621" priority="4300">
      <formula>SEARCH("RICHIESTO",$M195)&gt;0</formula>
    </cfRule>
    <cfRule type="expression" dxfId="7620" priority="4301">
      <formula>SEARCH("DA CHIUDERE",$M195)&gt;0</formula>
    </cfRule>
    <cfRule type="expression" dxfId="7619" priority="4302">
      <formula>SEARCH("INTERROTTO",$M195)&gt;0</formula>
    </cfRule>
  </conditionalFormatting>
  <conditionalFormatting sqref="M195">
    <cfRule type="expression" dxfId="7618" priority="4291">
      <formula>SEARCH("IN CORSO",$M195)&gt;0</formula>
    </cfRule>
    <cfRule type="expression" dxfId="7617" priority="4292">
      <formula>SEARCH("CHIUSO",$M195)&gt;0</formula>
    </cfRule>
    <cfRule type="expression" dxfId="7616" priority="4293">
      <formula>SEARCH("EMESSO",$M195)&gt;0</formula>
    </cfRule>
    <cfRule type="expression" dxfId="7615" priority="4294">
      <formula>SEARCH("RICHIESTO",$M195)&gt;0</formula>
    </cfRule>
    <cfRule type="expression" dxfId="7614" priority="4295">
      <formula>SEARCH("DA CHIUDERE",$M195)&gt;0</formula>
    </cfRule>
    <cfRule type="expression" dxfId="7613" priority="4296">
      <formula>SEARCH("INTERROTTO",$M195)&gt;0</formula>
    </cfRule>
  </conditionalFormatting>
  <conditionalFormatting sqref="E194:G194 N194:Q194">
    <cfRule type="expression" dxfId="7612" priority="4285">
      <formula>SEARCH("IN CORSO",$M194)&gt;0</formula>
    </cfRule>
    <cfRule type="expression" dxfId="7611" priority="4286">
      <formula>SEARCH("CHIUSO",$M194)&gt;0</formula>
    </cfRule>
    <cfRule type="expression" dxfId="7610" priority="4287">
      <formula>SEARCH("EMESSO",$M194)&gt;0</formula>
    </cfRule>
    <cfRule type="expression" dxfId="7609" priority="4288">
      <formula>SEARCH("RICHIESTO",$M194)&gt;0</formula>
    </cfRule>
    <cfRule type="expression" dxfId="7608" priority="4289">
      <formula>SEARCH("DA CHIUDERE",$M194)&gt;0</formula>
    </cfRule>
    <cfRule type="expression" dxfId="7607" priority="4290">
      <formula>SEARCH("INTERROTTO",$M194)&gt;0</formula>
    </cfRule>
  </conditionalFormatting>
  <conditionalFormatting sqref="R194:S194">
    <cfRule type="expression" dxfId="7606" priority="4279">
      <formula>SEARCH("IN CORSO",$M194)&gt;0</formula>
    </cfRule>
    <cfRule type="expression" dxfId="7605" priority="4280">
      <formula>SEARCH("CHIUSO",$M194)&gt;0</formula>
    </cfRule>
    <cfRule type="expression" dxfId="7604" priority="4281">
      <formula>SEARCH("EMESSO",$M194)&gt;0</formula>
    </cfRule>
    <cfRule type="expression" dxfId="7603" priority="4282">
      <formula>SEARCH("RICHIESTO",$M194)&gt;0</formula>
    </cfRule>
    <cfRule type="expression" dxfId="7602" priority="4283">
      <formula>SEARCH("DA CHIUDERE",$M194)&gt;0</formula>
    </cfRule>
    <cfRule type="expression" dxfId="7601" priority="4284">
      <formula>SEARCH("INTERROTTO",$M194)&gt;0</formula>
    </cfRule>
  </conditionalFormatting>
  <conditionalFormatting sqref="M194">
    <cfRule type="expression" dxfId="7600" priority="4273">
      <formula>SEARCH("IN CORSO",$M194)&gt;0</formula>
    </cfRule>
    <cfRule type="expression" dxfId="7599" priority="4274">
      <formula>SEARCH("CHIUSO",$M194)&gt;0</formula>
    </cfRule>
    <cfRule type="expression" dxfId="7598" priority="4275">
      <formula>SEARCH("EMESSO",$M194)&gt;0</formula>
    </cfRule>
    <cfRule type="expression" dxfId="7597" priority="4276">
      <formula>SEARCH("RICHIESTO",$M194)&gt;0</formula>
    </cfRule>
    <cfRule type="expression" dxfId="7596" priority="4277">
      <formula>SEARCH("DA CHIUDERE",$M194)&gt;0</formula>
    </cfRule>
    <cfRule type="expression" dxfId="7595" priority="4278">
      <formula>SEARCH("INTERROTTO",$M194)&gt;0</formula>
    </cfRule>
  </conditionalFormatting>
  <conditionalFormatting sqref="E193:G193 N193:Q193">
    <cfRule type="expression" dxfId="7594" priority="4267">
      <formula>SEARCH("IN CORSO",$M193)&gt;0</formula>
    </cfRule>
    <cfRule type="expression" dxfId="7593" priority="4268">
      <formula>SEARCH("CHIUSO",$M193)&gt;0</formula>
    </cfRule>
    <cfRule type="expression" dxfId="7592" priority="4269">
      <formula>SEARCH("EMESSO",$M193)&gt;0</formula>
    </cfRule>
    <cfRule type="expression" dxfId="7591" priority="4270">
      <formula>SEARCH("RICHIESTO",$M193)&gt;0</formula>
    </cfRule>
    <cfRule type="expression" dxfId="7590" priority="4271">
      <formula>SEARCH("DA CHIUDERE",$M193)&gt;0</formula>
    </cfRule>
    <cfRule type="expression" dxfId="7589" priority="4272">
      <formula>SEARCH("INTERROTTO",$M193)&gt;0</formula>
    </cfRule>
  </conditionalFormatting>
  <conditionalFormatting sqref="R193:S193">
    <cfRule type="expression" dxfId="7588" priority="4261">
      <formula>SEARCH("IN CORSO",$M193)&gt;0</formula>
    </cfRule>
    <cfRule type="expression" dxfId="7587" priority="4262">
      <formula>SEARCH("CHIUSO",$M193)&gt;0</formula>
    </cfRule>
    <cfRule type="expression" dxfId="7586" priority="4263">
      <formula>SEARCH("EMESSO",$M193)&gt;0</formula>
    </cfRule>
    <cfRule type="expression" dxfId="7585" priority="4264">
      <formula>SEARCH("RICHIESTO",$M193)&gt;0</formula>
    </cfRule>
    <cfRule type="expression" dxfId="7584" priority="4265">
      <formula>SEARCH("DA CHIUDERE",$M193)&gt;0</formula>
    </cfRule>
    <cfRule type="expression" dxfId="7583" priority="4266">
      <formula>SEARCH("INTERROTTO",$M193)&gt;0</formula>
    </cfRule>
  </conditionalFormatting>
  <conditionalFormatting sqref="M193">
    <cfRule type="expression" dxfId="7582" priority="4255">
      <formula>SEARCH("IN CORSO",$M193)&gt;0</formula>
    </cfRule>
    <cfRule type="expression" dxfId="7581" priority="4256">
      <formula>SEARCH("CHIUSO",$M193)&gt;0</formula>
    </cfRule>
    <cfRule type="expression" dxfId="7580" priority="4257">
      <formula>SEARCH("EMESSO",$M193)&gt;0</formula>
    </cfRule>
    <cfRule type="expression" dxfId="7579" priority="4258">
      <formula>SEARCH("RICHIESTO",$M193)&gt;0</formula>
    </cfRule>
    <cfRule type="expression" dxfId="7578" priority="4259">
      <formula>SEARCH("DA CHIUDERE",$M193)&gt;0</formula>
    </cfRule>
    <cfRule type="expression" dxfId="7577" priority="4260">
      <formula>SEARCH("INTERROTTO",$M193)&gt;0</formula>
    </cfRule>
  </conditionalFormatting>
  <conditionalFormatting sqref="E192:G192 N192:Q192">
    <cfRule type="expression" dxfId="7576" priority="4249">
      <formula>SEARCH("IN CORSO",$M192)&gt;0</formula>
    </cfRule>
    <cfRule type="expression" dxfId="7575" priority="4250">
      <formula>SEARCH("CHIUSO",$M192)&gt;0</formula>
    </cfRule>
    <cfRule type="expression" dxfId="7574" priority="4251">
      <formula>SEARCH("EMESSO",$M192)&gt;0</formula>
    </cfRule>
    <cfRule type="expression" dxfId="7573" priority="4252">
      <formula>SEARCH("RICHIESTO",$M192)&gt;0</formula>
    </cfRule>
    <cfRule type="expression" dxfId="7572" priority="4253">
      <formula>SEARCH("DA CHIUDERE",$M192)&gt;0</formula>
    </cfRule>
    <cfRule type="expression" dxfId="7571" priority="4254">
      <formula>SEARCH("INTERROTTO",$M192)&gt;0</formula>
    </cfRule>
  </conditionalFormatting>
  <conditionalFormatting sqref="R192:S192">
    <cfRule type="expression" dxfId="7570" priority="4243">
      <formula>SEARCH("IN CORSO",$M192)&gt;0</formula>
    </cfRule>
    <cfRule type="expression" dxfId="7569" priority="4244">
      <formula>SEARCH("CHIUSO",$M192)&gt;0</formula>
    </cfRule>
    <cfRule type="expression" dxfId="7568" priority="4245">
      <formula>SEARCH("EMESSO",$M192)&gt;0</formula>
    </cfRule>
    <cfRule type="expression" dxfId="7567" priority="4246">
      <formula>SEARCH("RICHIESTO",$M192)&gt;0</formula>
    </cfRule>
    <cfRule type="expression" dxfId="7566" priority="4247">
      <formula>SEARCH("DA CHIUDERE",$M192)&gt;0</formula>
    </cfRule>
    <cfRule type="expression" dxfId="7565" priority="4248">
      <formula>SEARCH("INTERROTTO",$M192)&gt;0</formula>
    </cfRule>
  </conditionalFormatting>
  <conditionalFormatting sqref="M192">
    <cfRule type="expression" dxfId="7564" priority="4237">
      <formula>SEARCH("IN CORSO",$M192)&gt;0</formula>
    </cfRule>
    <cfRule type="expression" dxfId="7563" priority="4238">
      <formula>SEARCH("CHIUSO",$M192)&gt;0</formula>
    </cfRule>
    <cfRule type="expression" dxfId="7562" priority="4239">
      <formula>SEARCH("EMESSO",$M192)&gt;0</formula>
    </cfRule>
    <cfRule type="expression" dxfId="7561" priority="4240">
      <formula>SEARCH("RICHIESTO",$M192)&gt;0</formula>
    </cfRule>
    <cfRule type="expression" dxfId="7560" priority="4241">
      <formula>SEARCH("DA CHIUDERE",$M192)&gt;0</formula>
    </cfRule>
    <cfRule type="expression" dxfId="7559" priority="4242">
      <formula>SEARCH("INTERROTTO",$M192)&gt;0</formula>
    </cfRule>
  </conditionalFormatting>
  <conditionalFormatting sqref="E191:G191 N191:Q191">
    <cfRule type="expression" dxfId="7558" priority="4231">
      <formula>SEARCH("IN CORSO",$M191)&gt;0</formula>
    </cfRule>
    <cfRule type="expression" dxfId="7557" priority="4232">
      <formula>SEARCH("CHIUSO",$M191)&gt;0</formula>
    </cfRule>
    <cfRule type="expression" dxfId="7556" priority="4233">
      <formula>SEARCH("EMESSO",$M191)&gt;0</formula>
    </cfRule>
    <cfRule type="expression" dxfId="7555" priority="4234">
      <formula>SEARCH("RICHIESTO",$M191)&gt;0</formula>
    </cfRule>
    <cfRule type="expression" dxfId="7554" priority="4235">
      <formula>SEARCH("DA CHIUDERE",$M191)&gt;0</formula>
    </cfRule>
    <cfRule type="expression" dxfId="7553" priority="4236">
      <formula>SEARCH("INTERROTTO",$M191)&gt;0</formula>
    </cfRule>
  </conditionalFormatting>
  <conditionalFormatting sqref="R191:S191">
    <cfRule type="expression" dxfId="7552" priority="4225">
      <formula>SEARCH("IN CORSO",$M191)&gt;0</formula>
    </cfRule>
    <cfRule type="expression" dxfId="7551" priority="4226">
      <formula>SEARCH("CHIUSO",$M191)&gt;0</formula>
    </cfRule>
    <cfRule type="expression" dxfId="7550" priority="4227">
      <formula>SEARCH("EMESSO",$M191)&gt;0</formula>
    </cfRule>
    <cfRule type="expression" dxfId="7549" priority="4228">
      <formula>SEARCH("RICHIESTO",$M191)&gt;0</formula>
    </cfRule>
    <cfRule type="expression" dxfId="7548" priority="4229">
      <formula>SEARCH("DA CHIUDERE",$M191)&gt;0</formula>
    </cfRule>
    <cfRule type="expression" dxfId="7547" priority="4230">
      <formula>SEARCH("INTERROTTO",$M191)&gt;0</formula>
    </cfRule>
  </conditionalFormatting>
  <conditionalFormatting sqref="M191">
    <cfRule type="expression" dxfId="7546" priority="4219">
      <formula>SEARCH("IN CORSO",$M191)&gt;0</formula>
    </cfRule>
    <cfRule type="expression" dxfId="7545" priority="4220">
      <formula>SEARCH("CHIUSO",$M191)&gt;0</formula>
    </cfRule>
    <cfRule type="expression" dxfId="7544" priority="4221">
      <formula>SEARCH("EMESSO",$M191)&gt;0</formula>
    </cfRule>
    <cfRule type="expression" dxfId="7543" priority="4222">
      <formula>SEARCH("RICHIESTO",$M191)&gt;0</formula>
    </cfRule>
    <cfRule type="expression" dxfId="7542" priority="4223">
      <formula>SEARCH("DA CHIUDERE",$M191)&gt;0</formula>
    </cfRule>
    <cfRule type="expression" dxfId="7541" priority="4224">
      <formula>SEARCH("INTERROTTO",$M191)&gt;0</formula>
    </cfRule>
  </conditionalFormatting>
  <conditionalFormatting sqref="E190:G190 N190:Q190">
    <cfRule type="expression" dxfId="7540" priority="4213">
      <formula>SEARCH("IN CORSO",$M190)&gt;0</formula>
    </cfRule>
    <cfRule type="expression" dxfId="7539" priority="4214">
      <formula>SEARCH("CHIUSO",$M190)&gt;0</formula>
    </cfRule>
    <cfRule type="expression" dxfId="7538" priority="4215">
      <formula>SEARCH("EMESSO",$M190)&gt;0</formula>
    </cfRule>
    <cfRule type="expression" dxfId="7537" priority="4216">
      <formula>SEARCH("RICHIESTO",$M190)&gt;0</formula>
    </cfRule>
    <cfRule type="expression" dxfId="7536" priority="4217">
      <formula>SEARCH("DA CHIUDERE",$M190)&gt;0</formula>
    </cfRule>
    <cfRule type="expression" dxfId="7535" priority="4218">
      <formula>SEARCH("INTERROTTO",$M190)&gt;0</formula>
    </cfRule>
  </conditionalFormatting>
  <conditionalFormatting sqref="R190:S190">
    <cfRule type="expression" dxfId="7534" priority="4207">
      <formula>SEARCH("IN CORSO",$M190)&gt;0</formula>
    </cfRule>
    <cfRule type="expression" dxfId="7533" priority="4208">
      <formula>SEARCH("CHIUSO",$M190)&gt;0</formula>
    </cfRule>
    <cfRule type="expression" dxfId="7532" priority="4209">
      <formula>SEARCH("EMESSO",$M190)&gt;0</formula>
    </cfRule>
    <cfRule type="expression" dxfId="7531" priority="4210">
      <formula>SEARCH("RICHIESTO",$M190)&gt;0</formula>
    </cfRule>
    <cfRule type="expression" dxfId="7530" priority="4211">
      <formula>SEARCH("DA CHIUDERE",$M190)&gt;0</formula>
    </cfRule>
    <cfRule type="expression" dxfId="7529" priority="4212">
      <formula>SEARCH("INTERROTTO",$M190)&gt;0</formula>
    </cfRule>
  </conditionalFormatting>
  <conditionalFormatting sqref="M190">
    <cfRule type="expression" dxfId="7528" priority="4201">
      <formula>SEARCH("IN CORSO",$M190)&gt;0</formula>
    </cfRule>
    <cfRule type="expression" dxfId="7527" priority="4202">
      <formula>SEARCH("CHIUSO",$M190)&gt;0</formula>
    </cfRule>
    <cfRule type="expression" dxfId="7526" priority="4203">
      <formula>SEARCH("EMESSO",$M190)&gt;0</formula>
    </cfRule>
    <cfRule type="expression" dxfId="7525" priority="4204">
      <formula>SEARCH("RICHIESTO",$M190)&gt;0</formula>
    </cfRule>
    <cfRule type="expression" dxfId="7524" priority="4205">
      <formula>SEARCH("DA CHIUDERE",$M190)&gt;0</formula>
    </cfRule>
    <cfRule type="expression" dxfId="7523" priority="4206">
      <formula>SEARCH("INTERROTTO",$M190)&gt;0</formula>
    </cfRule>
  </conditionalFormatting>
  <conditionalFormatting sqref="E189:G189 N189:Q189">
    <cfRule type="expression" dxfId="7522" priority="4195">
      <formula>SEARCH("IN CORSO",$M189)&gt;0</formula>
    </cfRule>
    <cfRule type="expression" dxfId="7521" priority="4196">
      <formula>SEARCH("CHIUSO",$M189)&gt;0</formula>
    </cfRule>
    <cfRule type="expression" dxfId="7520" priority="4197">
      <formula>SEARCH("EMESSO",$M189)&gt;0</formula>
    </cfRule>
    <cfRule type="expression" dxfId="7519" priority="4198">
      <formula>SEARCH("RICHIESTO",$M189)&gt;0</formula>
    </cfRule>
    <cfRule type="expression" dxfId="7518" priority="4199">
      <formula>SEARCH("DA CHIUDERE",$M189)&gt;0</formula>
    </cfRule>
    <cfRule type="expression" dxfId="7517" priority="4200">
      <formula>SEARCH("INTERROTTO",$M189)&gt;0</formula>
    </cfRule>
  </conditionalFormatting>
  <conditionalFormatting sqref="R189:S189">
    <cfRule type="expression" dxfId="7516" priority="4189">
      <formula>SEARCH("IN CORSO",$M189)&gt;0</formula>
    </cfRule>
    <cfRule type="expression" dxfId="7515" priority="4190">
      <formula>SEARCH("CHIUSO",$M189)&gt;0</formula>
    </cfRule>
    <cfRule type="expression" dxfId="7514" priority="4191">
      <formula>SEARCH("EMESSO",$M189)&gt;0</formula>
    </cfRule>
    <cfRule type="expression" dxfId="7513" priority="4192">
      <formula>SEARCH("RICHIESTO",$M189)&gt;0</formula>
    </cfRule>
    <cfRule type="expression" dxfId="7512" priority="4193">
      <formula>SEARCH("DA CHIUDERE",$M189)&gt;0</formula>
    </cfRule>
    <cfRule type="expression" dxfId="7511" priority="4194">
      <formula>SEARCH("INTERROTTO",$M189)&gt;0</formula>
    </cfRule>
  </conditionalFormatting>
  <conditionalFormatting sqref="M189">
    <cfRule type="expression" dxfId="7510" priority="4183">
      <formula>SEARCH("IN CORSO",$M189)&gt;0</formula>
    </cfRule>
    <cfRule type="expression" dxfId="7509" priority="4184">
      <formula>SEARCH("CHIUSO",$M189)&gt;0</formula>
    </cfRule>
    <cfRule type="expression" dxfId="7508" priority="4185">
      <formula>SEARCH("EMESSO",$M189)&gt;0</formula>
    </cfRule>
    <cfRule type="expression" dxfId="7507" priority="4186">
      <formula>SEARCH("RICHIESTO",$M189)&gt;0</formula>
    </cfRule>
    <cfRule type="expression" dxfId="7506" priority="4187">
      <formula>SEARCH("DA CHIUDERE",$M189)&gt;0</formula>
    </cfRule>
    <cfRule type="expression" dxfId="7505" priority="4188">
      <formula>SEARCH("INTERROTTO",$M189)&gt;0</formula>
    </cfRule>
  </conditionalFormatting>
  <conditionalFormatting sqref="E188:G188 N188:Q188">
    <cfRule type="expression" dxfId="7504" priority="4177">
      <formula>SEARCH("IN CORSO",$M188)&gt;0</formula>
    </cfRule>
    <cfRule type="expression" dxfId="7503" priority="4178">
      <formula>SEARCH("CHIUSO",$M188)&gt;0</formula>
    </cfRule>
    <cfRule type="expression" dxfId="7502" priority="4179">
      <formula>SEARCH("EMESSO",$M188)&gt;0</formula>
    </cfRule>
    <cfRule type="expression" dxfId="7501" priority="4180">
      <formula>SEARCH("RICHIESTO",$M188)&gt;0</formula>
    </cfRule>
    <cfRule type="expression" dxfId="7500" priority="4181">
      <formula>SEARCH("DA CHIUDERE",$M188)&gt;0</formula>
    </cfRule>
    <cfRule type="expression" dxfId="7499" priority="4182">
      <formula>SEARCH("INTERROTTO",$M188)&gt;0</formula>
    </cfRule>
  </conditionalFormatting>
  <conditionalFormatting sqref="R188:S188">
    <cfRule type="expression" dxfId="7498" priority="4171">
      <formula>SEARCH("IN CORSO",$M188)&gt;0</formula>
    </cfRule>
    <cfRule type="expression" dxfId="7497" priority="4172">
      <formula>SEARCH("CHIUSO",$M188)&gt;0</formula>
    </cfRule>
    <cfRule type="expression" dxfId="7496" priority="4173">
      <formula>SEARCH("EMESSO",$M188)&gt;0</formula>
    </cfRule>
    <cfRule type="expression" dxfId="7495" priority="4174">
      <formula>SEARCH("RICHIESTO",$M188)&gt;0</formula>
    </cfRule>
    <cfRule type="expression" dxfId="7494" priority="4175">
      <formula>SEARCH("DA CHIUDERE",$M188)&gt;0</formula>
    </cfRule>
    <cfRule type="expression" dxfId="7493" priority="4176">
      <formula>SEARCH("INTERROTTO",$M188)&gt;0</formula>
    </cfRule>
  </conditionalFormatting>
  <conditionalFormatting sqref="M188">
    <cfRule type="expression" dxfId="7492" priority="4165">
      <formula>SEARCH("IN CORSO",$M188)&gt;0</formula>
    </cfRule>
    <cfRule type="expression" dxfId="7491" priority="4166">
      <formula>SEARCH("CHIUSO",$M188)&gt;0</formula>
    </cfRule>
    <cfRule type="expression" dxfId="7490" priority="4167">
      <formula>SEARCH("EMESSO",$M188)&gt;0</formula>
    </cfRule>
    <cfRule type="expression" dxfId="7489" priority="4168">
      <formula>SEARCH("RICHIESTO",$M188)&gt;0</formula>
    </cfRule>
    <cfRule type="expression" dxfId="7488" priority="4169">
      <formula>SEARCH("DA CHIUDERE",$M188)&gt;0</formula>
    </cfRule>
    <cfRule type="expression" dxfId="7487" priority="4170">
      <formula>SEARCH("INTERROTTO",$M188)&gt;0</formula>
    </cfRule>
  </conditionalFormatting>
  <conditionalFormatting sqref="E187:G187 N187:Q187">
    <cfRule type="expression" dxfId="7486" priority="4159">
      <formula>SEARCH("IN CORSO",$M187)&gt;0</formula>
    </cfRule>
    <cfRule type="expression" dxfId="7485" priority="4160">
      <formula>SEARCH("CHIUSO",$M187)&gt;0</formula>
    </cfRule>
    <cfRule type="expression" dxfId="7484" priority="4161">
      <formula>SEARCH("EMESSO",$M187)&gt;0</formula>
    </cfRule>
    <cfRule type="expression" dxfId="7483" priority="4162">
      <formula>SEARCH("RICHIESTO",$M187)&gt;0</formula>
    </cfRule>
    <cfRule type="expression" dxfId="7482" priority="4163">
      <formula>SEARCH("DA CHIUDERE",$M187)&gt;0</formula>
    </cfRule>
    <cfRule type="expression" dxfId="7481" priority="4164">
      <formula>SEARCH("INTERROTTO",$M187)&gt;0</formula>
    </cfRule>
  </conditionalFormatting>
  <conditionalFormatting sqref="R187:S187">
    <cfRule type="expression" dxfId="7480" priority="4153">
      <formula>SEARCH("IN CORSO",$M187)&gt;0</formula>
    </cfRule>
    <cfRule type="expression" dxfId="7479" priority="4154">
      <formula>SEARCH("CHIUSO",$M187)&gt;0</formula>
    </cfRule>
    <cfRule type="expression" dxfId="7478" priority="4155">
      <formula>SEARCH("EMESSO",$M187)&gt;0</formula>
    </cfRule>
    <cfRule type="expression" dxfId="7477" priority="4156">
      <formula>SEARCH("RICHIESTO",$M187)&gt;0</formula>
    </cfRule>
    <cfRule type="expression" dxfId="7476" priority="4157">
      <formula>SEARCH("DA CHIUDERE",$M187)&gt;0</formula>
    </cfRule>
    <cfRule type="expression" dxfId="7475" priority="4158">
      <formula>SEARCH("INTERROTTO",$M187)&gt;0</formula>
    </cfRule>
  </conditionalFormatting>
  <conditionalFormatting sqref="M187">
    <cfRule type="expression" dxfId="7474" priority="4147">
      <formula>SEARCH("IN CORSO",$M187)&gt;0</formula>
    </cfRule>
    <cfRule type="expression" dxfId="7473" priority="4148">
      <formula>SEARCH("CHIUSO",$M187)&gt;0</formula>
    </cfRule>
    <cfRule type="expression" dxfId="7472" priority="4149">
      <formula>SEARCH("EMESSO",$M187)&gt;0</formula>
    </cfRule>
    <cfRule type="expression" dxfId="7471" priority="4150">
      <formula>SEARCH("RICHIESTO",$M187)&gt;0</formula>
    </cfRule>
    <cfRule type="expression" dxfId="7470" priority="4151">
      <formula>SEARCH("DA CHIUDERE",$M187)&gt;0</formula>
    </cfRule>
    <cfRule type="expression" dxfId="7469" priority="4152">
      <formula>SEARCH("INTERROTTO",$M187)&gt;0</formula>
    </cfRule>
  </conditionalFormatting>
  <conditionalFormatting sqref="E186:G186 N186:Q186">
    <cfRule type="expression" dxfId="7468" priority="4141">
      <formula>SEARCH("IN CORSO",$M186)&gt;0</formula>
    </cfRule>
    <cfRule type="expression" dxfId="7467" priority="4142">
      <formula>SEARCH("CHIUSO",$M186)&gt;0</formula>
    </cfRule>
    <cfRule type="expression" dxfId="7466" priority="4143">
      <formula>SEARCH("EMESSO",$M186)&gt;0</formula>
    </cfRule>
    <cfRule type="expression" dxfId="7465" priority="4144">
      <formula>SEARCH("RICHIESTO",$M186)&gt;0</formula>
    </cfRule>
    <cfRule type="expression" dxfId="7464" priority="4145">
      <formula>SEARCH("DA CHIUDERE",$M186)&gt;0</formula>
    </cfRule>
    <cfRule type="expression" dxfId="7463" priority="4146">
      <formula>SEARCH("INTERROTTO",$M186)&gt;0</formula>
    </cfRule>
  </conditionalFormatting>
  <conditionalFormatting sqref="R186:S186">
    <cfRule type="expression" dxfId="7462" priority="4135">
      <formula>SEARCH("IN CORSO",$M186)&gt;0</formula>
    </cfRule>
    <cfRule type="expression" dxfId="7461" priority="4136">
      <formula>SEARCH("CHIUSO",$M186)&gt;0</formula>
    </cfRule>
    <cfRule type="expression" dxfId="7460" priority="4137">
      <formula>SEARCH("EMESSO",$M186)&gt;0</formula>
    </cfRule>
    <cfRule type="expression" dxfId="7459" priority="4138">
      <formula>SEARCH("RICHIESTO",$M186)&gt;0</formula>
    </cfRule>
    <cfRule type="expression" dxfId="7458" priority="4139">
      <formula>SEARCH("DA CHIUDERE",$M186)&gt;0</formula>
    </cfRule>
    <cfRule type="expression" dxfId="7457" priority="4140">
      <formula>SEARCH("INTERROTTO",$M186)&gt;0</formula>
    </cfRule>
  </conditionalFormatting>
  <conditionalFormatting sqref="M186">
    <cfRule type="expression" dxfId="7456" priority="4129">
      <formula>SEARCH("IN CORSO",$M186)&gt;0</formula>
    </cfRule>
    <cfRule type="expression" dxfId="7455" priority="4130">
      <formula>SEARCH("CHIUSO",$M186)&gt;0</formula>
    </cfRule>
    <cfRule type="expression" dxfId="7454" priority="4131">
      <formula>SEARCH("EMESSO",$M186)&gt;0</formula>
    </cfRule>
    <cfRule type="expression" dxfId="7453" priority="4132">
      <formula>SEARCH("RICHIESTO",$M186)&gt;0</formula>
    </cfRule>
    <cfRule type="expression" dxfId="7452" priority="4133">
      <formula>SEARCH("DA CHIUDERE",$M186)&gt;0</formula>
    </cfRule>
    <cfRule type="expression" dxfId="7451" priority="4134">
      <formula>SEARCH("INTERROTTO",$M186)&gt;0</formula>
    </cfRule>
  </conditionalFormatting>
  <conditionalFormatting sqref="E185:G185 N185:Q185">
    <cfRule type="expression" dxfId="7450" priority="4123">
      <formula>SEARCH("IN CORSO",$M185)&gt;0</formula>
    </cfRule>
    <cfRule type="expression" dxfId="7449" priority="4124">
      <formula>SEARCH("CHIUSO",$M185)&gt;0</formula>
    </cfRule>
    <cfRule type="expression" dxfId="7448" priority="4125">
      <formula>SEARCH("EMESSO",$M185)&gt;0</formula>
    </cfRule>
    <cfRule type="expression" dxfId="7447" priority="4126">
      <formula>SEARCH("RICHIESTO",$M185)&gt;0</formula>
    </cfRule>
    <cfRule type="expression" dxfId="7446" priority="4127">
      <formula>SEARCH("DA CHIUDERE",$M185)&gt;0</formula>
    </cfRule>
    <cfRule type="expression" dxfId="7445" priority="4128">
      <formula>SEARCH("INTERROTTO",$M185)&gt;0</formula>
    </cfRule>
  </conditionalFormatting>
  <conditionalFormatting sqref="R185:S185">
    <cfRule type="expression" dxfId="7444" priority="4117">
      <formula>SEARCH("IN CORSO",$M185)&gt;0</formula>
    </cfRule>
    <cfRule type="expression" dxfId="7443" priority="4118">
      <formula>SEARCH("CHIUSO",$M185)&gt;0</formula>
    </cfRule>
    <cfRule type="expression" dxfId="7442" priority="4119">
      <formula>SEARCH("EMESSO",$M185)&gt;0</formula>
    </cfRule>
    <cfRule type="expression" dxfId="7441" priority="4120">
      <formula>SEARCH("RICHIESTO",$M185)&gt;0</formula>
    </cfRule>
    <cfRule type="expression" dxfId="7440" priority="4121">
      <formula>SEARCH("DA CHIUDERE",$M185)&gt;0</formula>
    </cfRule>
    <cfRule type="expression" dxfId="7439" priority="4122">
      <formula>SEARCH("INTERROTTO",$M185)&gt;0</formula>
    </cfRule>
  </conditionalFormatting>
  <conditionalFormatting sqref="M185">
    <cfRule type="expression" dxfId="7438" priority="4111">
      <formula>SEARCH("IN CORSO",$M185)&gt;0</formula>
    </cfRule>
    <cfRule type="expression" dxfId="7437" priority="4112">
      <formula>SEARCH("CHIUSO",$M185)&gt;0</formula>
    </cfRule>
    <cfRule type="expression" dxfId="7436" priority="4113">
      <formula>SEARCH("EMESSO",$M185)&gt;0</formula>
    </cfRule>
    <cfRule type="expression" dxfId="7435" priority="4114">
      <formula>SEARCH("RICHIESTO",$M185)&gt;0</formula>
    </cfRule>
    <cfRule type="expression" dxfId="7434" priority="4115">
      <formula>SEARCH("DA CHIUDERE",$M185)&gt;0</formula>
    </cfRule>
    <cfRule type="expression" dxfId="7433" priority="4116">
      <formula>SEARCH("INTERROTTO",$M185)&gt;0</formula>
    </cfRule>
  </conditionalFormatting>
  <conditionalFormatting sqref="E184:G184 N184:Q184">
    <cfRule type="expression" dxfId="7432" priority="4105">
      <formula>SEARCH("IN CORSO",$M184)&gt;0</formula>
    </cfRule>
    <cfRule type="expression" dxfId="7431" priority="4106">
      <formula>SEARCH("CHIUSO",$M184)&gt;0</formula>
    </cfRule>
    <cfRule type="expression" dxfId="7430" priority="4107">
      <formula>SEARCH("EMESSO",$M184)&gt;0</formula>
    </cfRule>
    <cfRule type="expression" dxfId="7429" priority="4108">
      <formula>SEARCH("RICHIESTO",$M184)&gt;0</formula>
    </cfRule>
    <cfRule type="expression" dxfId="7428" priority="4109">
      <formula>SEARCH("DA CHIUDERE",$M184)&gt;0</formula>
    </cfRule>
    <cfRule type="expression" dxfId="7427" priority="4110">
      <formula>SEARCH("INTERROTTO",$M184)&gt;0</formula>
    </cfRule>
  </conditionalFormatting>
  <conditionalFormatting sqref="R184:S184">
    <cfRule type="expression" dxfId="7426" priority="4099">
      <formula>SEARCH("IN CORSO",$M184)&gt;0</formula>
    </cfRule>
    <cfRule type="expression" dxfId="7425" priority="4100">
      <formula>SEARCH("CHIUSO",$M184)&gt;0</formula>
    </cfRule>
    <cfRule type="expression" dxfId="7424" priority="4101">
      <formula>SEARCH("EMESSO",$M184)&gt;0</formula>
    </cfRule>
    <cfRule type="expression" dxfId="7423" priority="4102">
      <formula>SEARCH("RICHIESTO",$M184)&gt;0</formula>
    </cfRule>
    <cfRule type="expression" dxfId="7422" priority="4103">
      <formula>SEARCH("DA CHIUDERE",$M184)&gt;0</formula>
    </cfRule>
    <cfRule type="expression" dxfId="7421" priority="4104">
      <formula>SEARCH("INTERROTTO",$M184)&gt;0</formula>
    </cfRule>
  </conditionalFormatting>
  <conditionalFormatting sqref="M184">
    <cfRule type="expression" dxfId="7420" priority="4093">
      <formula>SEARCH("IN CORSO",$M184)&gt;0</formula>
    </cfRule>
    <cfRule type="expression" dxfId="7419" priority="4094">
      <formula>SEARCH("CHIUSO",$M184)&gt;0</formula>
    </cfRule>
    <cfRule type="expression" dxfId="7418" priority="4095">
      <formula>SEARCH("EMESSO",$M184)&gt;0</formula>
    </cfRule>
    <cfRule type="expression" dxfId="7417" priority="4096">
      <formula>SEARCH("RICHIESTO",$M184)&gt;0</formula>
    </cfRule>
    <cfRule type="expression" dxfId="7416" priority="4097">
      <formula>SEARCH("DA CHIUDERE",$M184)&gt;0</formula>
    </cfRule>
    <cfRule type="expression" dxfId="7415" priority="4098">
      <formula>SEARCH("INTERROTTO",$M184)&gt;0</formula>
    </cfRule>
  </conditionalFormatting>
  <conditionalFormatting sqref="E183:G183 N183:Q183">
    <cfRule type="expression" dxfId="7414" priority="4087">
      <formula>SEARCH("IN CORSO",$M183)&gt;0</formula>
    </cfRule>
    <cfRule type="expression" dxfId="7413" priority="4088">
      <formula>SEARCH("CHIUSO",$M183)&gt;0</formula>
    </cfRule>
    <cfRule type="expression" dxfId="7412" priority="4089">
      <formula>SEARCH("EMESSO",$M183)&gt;0</formula>
    </cfRule>
    <cfRule type="expression" dxfId="7411" priority="4090">
      <formula>SEARCH("RICHIESTO",$M183)&gt;0</formula>
    </cfRule>
    <cfRule type="expression" dxfId="7410" priority="4091">
      <formula>SEARCH("DA CHIUDERE",$M183)&gt;0</formula>
    </cfRule>
    <cfRule type="expression" dxfId="7409" priority="4092">
      <formula>SEARCH("INTERROTTO",$M183)&gt;0</formula>
    </cfRule>
  </conditionalFormatting>
  <conditionalFormatting sqref="R183:S183">
    <cfRule type="expression" dxfId="7408" priority="4081">
      <formula>SEARCH("IN CORSO",$M183)&gt;0</formula>
    </cfRule>
    <cfRule type="expression" dxfId="7407" priority="4082">
      <formula>SEARCH("CHIUSO",$M183)&gt;0</formula>
    </cfRule>
    <cfRule type="expression" dxfId="7406" priority="4083">
      <formula>SEARCH("EMESSO",$M183)&gt;0</formula>
    </cfRule>
    <cfRule type="expression" dxfId="7405" priority="4084">
      <formula>SEARCH("RICHIESTO",$M183)&gt;0</formula>
    </cfRule>
    <cfRule type="expression" dxfId="7404" priority="4085">
      <formula>SEARCH("DA CHIUDERE",$M183)&gt;0</formula>
    </cfRule>
    <cfRule type="expression" dxfId="7403" priority="4086">
      <formula>SEARCH("INTERROTTO",$M183)&gt;0</formula>
    </cfRule>
  </conditionalFormatting>
  <conditionalFormatting sqref="M183">
    <cfRule type="expression" dxfId="7402" priority="4075">
      <formula>SEARCH("IN CORSO",$M183)&gt;0</formula>
    </cfRule>
    <cfRule type="expression" dxfId="7401" priority="4076">
      <formula>SEARCH("CHIUSO",$M183)&gt;0</formula>
    </cfRule>
    <cfRule type="expression" dxfId="7400" priority="4077">
      <formula>SEARCH("EMESSO",$M183)&gt;0</formula>
    </cfRule>
    <cfRule type="expression" dxfId="7399" priority="4078">
      <formula>SEARCH("RICHIESTO",$M183)&gt;0</formula>
    </cfRule>
    <cfRule type="expression" dxfId="7398" priority="4079">
      <formula>SEARCH("DA CHIUDERE",$M183)&gt;0</formula>
    </cfRule>
    <cfRule type="expression" dxfId="7397" priority="4080">
      <formula>SEARCH("INTERROTTO",$M183)&gt;0</formula>
    </cfRule>
  </conditionalFormatting>
  <conditionalFormatting sqref="E182:G182 N182:Q182">
    <cfRule type="expression" dxfId="7396" priority="4069">
      <formula>SEARCH("IN CORSO",$M182)&gt;0</formula>
    </cfRule>
    <cfRule type="expression" dxfId="7395" priority="4070">
      <formula>SEARCH("CHIUSO",$M182)&gt;0</formula>
    </cfRule>
    <cfRule type="expression" dxfId="7394" priority="4071">
      <formula>SEARCH("EMESSO",$M182)&gt;0</formula>
    </cfRule>
    <cfRule type="expression" dxfId="7393" priority="4072">
      <formula>SEARCH("RICHIESTO",$M182)&gt;0</formula>
    </cfRule>
    <cfRule type="expression" dxfId="7392" priority="4073">
      <formula>SEARCH("DA CHIUDERE",$M182)&gt;0</formula>
    </cfRule>
    <cfRule type="expression" dxfId="7391" priority="4074">
      <formula>SEARCH("INTERROTTO",$M182)&gt;0</formula>
    </cfRule>
  </conditionalFormatting>
  <conditionalFormatting sqref="R182:S182">
    <cfRule type="expression" dxfId="7390" priority="4063">
      <formula>SEARCH("IN CORSO",$M182)&gt;0</formula>
    </cfRule>
    <cfRule type="expression" dxfId="7389" priority="4064">
      <formula>SEARCH("CHIUSO",$M182)&gt;0</formula>
    </cfRule>
    <cfRule type="expression" dxfId="7388" priority="4065">
      <formula>SEARCH("EMESSO",$M182)&gt;0</formula>
    </cfRule>
    <cfRule type="expression" dxfId="7387" priority="4066">
      <formula>SEARCH("RICHIESTO",$M182)&gt;0</formula>
    </cfRule>
    <cfRule type="expression" dxfId="7386" priority="4067">
      <formula>SEARCH("DA CHIUDERE",$M182)&gt;0</formula>
    </cfRule>
    <cfRule type="expression" dxfId="7385" priority="4068">
      <formula>SEARCH("INTERROTTO",$M182)&gt;0</formula>
    </cfRule>
  </conditionalFormatting>
  <conditionalFormatting sqref="M182">
    <cfRule type="expression" dxfId="7384" priority="4057">
      <formula>SEARCH("IN CORSO",$M182)&gt;0</formula>
    </cfRule>
    <cfRule type="expression" dxfId="7383" priority="4058">
      <formula>SEARCH("CHIUSO",$M182)&gt;0</formula>
    </cfRule>
    <cfRule type="expression" dxfId="7382" priority="4059">
      <formula>SEARCH("EMESSO",$M182)&gt;0</formula>
    </cfRule>
    <cfRule type="expression" dxfId="7381" priority="4060">
      <formula>SEARCH("RICHIESTO",$M182)&gt;0</formula>
    </cfRule>
    <cfRule type="expression" dxfId="7380" priority="4061">
      <formula>SEARCH("DA CHIUDERE",$M182)&gt;0</formula>
    </cfRule>
    <cfRule type="expression" dxfId="7379" priority="4062">
      <formula>SEARCH("INTERROTTO",$M182)&gt;0</formula>
    </cfRule>
  </conditionalFormatting>
  <conditionalFormatting sqref="E181:G181 N181:Q181">
    <cfRule type="expression" dxfId="7378" priority="4051">
      <formula>SEARCH("IN CORSO",$M181)&gt;0</formula>
    </cfRule>
    <cfRule type="expression" dxfId="7377" priority="4052">
      <formula>SEARCH("CHIUSO",$M181)&gt;0</formula>
    </cfRule>
    <cfRule type="expression" dxfId="7376" priority="4053">
      <formula>SEARCH("EMESSO",$M181)&gt;0</formula>
    </cfRule>
    <cfRule type="expression" dxfId="7375" priority="4054">
      <formula>SEARCH("RICHIESTO",$M181)&gt;0</formula>
    </cfRule>
    <cfRule type="expression" dxfId="7374" priority="4055">
      <formula>SEARCH("DA CHIUDERE",$M181)&gt;0</formula>
    </cfRule>
    <cfRule type="expression" dxfId="7373" priority="4056">
      <formula>SEARCH("INTERROTTO",$M181)&gt;0</formula>
    </cfRule>
  </conditionalFormatting>
  <conditionalFormatting sqref="R181:S181">
    <cfRule type="expression" dxfId="7372" priority="4045">
      <formula>SEARCH("IN CORSO",$M181)&gt;0</formula>
    </cfRule>
    <cfRule type="expression" dxfId="7371" priority="4046">
      <formula>SEARCH("CHIUSO",$M181)&gt;0</formula>
    </cfRule>
    <cfRule type="expression" dxfId="7370" priority="4047">
      <formula>SEARCH("EMESSO",$M181)&gt;0</formula>
    </cfRule>
    <cfRule type="expression" dxfId="7369" priority="4048">
      <formula>SEARCH("RICHIESTO",$M181)&gt;0</formula>
    </cfRule>
    <cfRule type="expression" dxfId="7368" priority="4049">
      <formula>SEARCH("DA CHIUDERE",$M181)&gt;0</formula>
    </cfRule>
    <cfRule type="expression" dxfId="7367" priority="4050">
      <formula>SEARCH("INTERROTTO",$M181)&gt;0</formula>
    </cfRule>
  </conditionalFormatting>
  <conditionalFormatting sqref="M181">
    <cfRule type="expression" dxfId="7366" priority="4039">
      <formula>SEARCH("IN CORSO",$M181)&gt;0</formula>
    </cfRule>
    <cfRule type="expression" dxfId="7365" priority="4040">
      <formula>SEARCH("CHIUSO",$M181)&gt;0</formula>
    </cfRule>
    <cfRule type="expression" dxfId="7364" priority="4041">
      <formula>SEARCH("EMESSO",$M181)&gt;0</formula>
    </cfRule>
    <cfRule type="expression" dxfId="7363" priority="4042">
      <formula>SEARCH("RICHIESTO",$M181)&gt;0</formula>
    </cfRule>
    <cfRule type="expression" dxfId="7362" priority="4043">
      <formula>SEARCH("DA CHIUDERE",$M181)&gt;0</formula>
    </cfRule>
    <cfRule type="expression" dxfId="7361" priority="4044">
      <formula>SEARCH("INTERROTTO",$M181)&gt;0</formula>
    </cfRule>
  </conditionalFormatting>
  <conditionalFormatting sqref="E180:G180 N180:Q180">
    <cfRule type="expression" dxfId="7360" priority="4033">
      <formula>SEARCH("IN CORSO",$M180)&gt;0</formula>
    </cfRule>
    <cfRule type="expression" dxfId="7359" priority="4034">
      <formula>SEARCH("CHIUSO",$M180)&gt;0</formula>
    </cfRule>
    <cfRule type="expression" dxfId="7358" priority="4035">
      <formula>SEARCH("EMESSO",$M180)&gt;0</formula>
    </cfRule>
    <cfRule type="expression" dxfId="7357" priority="4036">
      <formula>SEARCH("RICHIESTO",$M180)&gt;0</formula>
    </cfRule>
    <cfRule type="expression" dxfId="7356" priority="4037">
      <formula>SEARCH("DA CHIUDERE",$M180)&gt;0</formula>
    </cfRule>
    <cfRule type="expression" dxfId="7355" priority="4038">
      <formula>SEARCH("INTERROTTO",$M180)&gt;0</formula>
    </cfRule>
  </conditionalFormatting>
  <conditionalFormatting sqref="R180:S180">
    <cfRule type="expression" dxfId="7354" priority="4027">
      <formula>SEARCH("IN CORSO",$M180)&gt;0</formula>
    </cfRule>
    <cfRule type="expression" dxfId="7353" priority="4028">
      <formula>SEARCH("CHIUSO",$M180)&gt;0</formula>
    </cfRule>
    <cfRule type="expression" dxfId="7352" priority="4029">
      <formula>SEARCH("EMESSO",$M180)&gt;0</formula>
    </cfRule>
    <cfRule type="expression" dxfId="7351" priority="4030">
      <formula>SEARCH("RICHIESTO",$M180)&gt;0</formula>
    </cfRule>
    <cfRule type="expression" dxfId="7350" priority="4031">
      <formula>SEARCH("DA CHIUDERE",$M180)&gt;0</formula>
    </cfRule>
    <cfRule type="expression" dxfId="7349" priority="4032">
      <formula>SEARCH("INTERROTTO",$M180)&gt;0</formula>
    </cfRule>
  </conditionalFormatting>
  <conditionalFormatting sqref="M180">
    <cfRule type="expression" dxfId="7348" priority="4021">
      <formula>SEARCH("IN CORSO",$M180)&gt;0</formula>
    </cfRule>
    <cfRule type="expression" dxfId="7347" priority="4022">
      <formula>SEARCH("CHIUSO",$M180)&gt;0</formula>
    </cfRule>
    <cfRule type="expression" dxfId="7346" priority="4023">
      <formula>SEARCH("EMESSO",$M180)&gt;0</formula>
    </cfRule>
    <cfRule type="expression" dxfId="7345" priority="4024">
      <formula>SEARCH("RICHIESTO",$M180)&gt;0</formula>
    </cfRule>
    <cfRule type="expression" dxfId="7344" priority="4025">
      <formula>SEARCH("DA CHIUDERE",$M180)&gt;0</formula>
    </cfRule>
    <cfRule type="expression" dxfId="7343" priority="4026">
      <formula>SEARCH("INTERROTTO",$M180)&gt;0</formula>
    </cfRule>
  </conditionalFormatting>
  <conditionalFormatting sqref="E179:G179 N179:Q179">
    <cfRule type="expression" dxfId="7342" priority="4015">
      <formula>SEARCH("IN CORSO",$M179)&gt;0</formula>
    </cfRule>
    <cfRule type="expression" dxfId="7341" priority="4016">
      <formula>SEARCH("CHIUSO",$M179)&gt;0</formula>
    </cfRule>
    <cfRule type="expression" dxfId="7340" priority="4017">
      <formula>SEARCH("EMESSO",$M179)&gt;0</formula>
    </cfRule>
    <cfRule type="expression" dxfId="7339" priority="4018">
      <formula>SEARCH("RICHIESTO",$M179)&gt;0</formula>
    </cfRule>
    <cfRule type="expression" dxfId="7338" priority="4019">
      <formula>SEARCH("DA CHIUDERE",$M179)&gt;0</formula>
    </cfRule>
    <cfRule type="expression" dxfId="7337" priority="4020">
      <formula>SEARCH("INTERROTTO",$M179)&gt;0</formula>
    </cfRule>
  </conditionalFormatting>
  <conditionalFormatting sqref="R179:S179">
    <cfRule type="expression" dxfId="7336" priority="4009">
      <formula>SEARCH("IN CORSO",$M179)&gt;0</formula>
    </cfRule>
    <cfRule type="expression" dxfId="7335" priority="4010">
      <formula>SEARCH("CHIUSO",$M179)&gt;0</formula>
    </cfRule>
    <cfRule type="expression" dxfId="7334" priority="4011">
      <formula>SEARCH("EMESSO",$M179)&gt;0</formula>
    </cfRule>
    <cfRule type="expression" dxfId="7333" priority="4012">
      <formula>SEARCH("RICHIESTO",$M179)&gt;0</formula>
    </cfRule>
    <cfRule type="expression" dxfId="7332" priority="4013">
      <formula>SEARCH("DA CHIUDERE",$M179)&gt;0</formula>
    </cfRule>
    <cfRule type="expression" dxfId="7331" priority="4014">
      <formula>SEARCH("INTERROTTO",$M179)&gt;0</formula>
    </cfRule>
  </conditionalFormatting>
  <conditionalFormatting sqref="M179">
    <cfRule type="expression" dxfId="7330" priority="4003">
      <formula>SEARCH("IN CORSO",$M179)&gt;0</formula>
    </cfRule>
    <cfRule type="expression" dxfId="7329" priority="4004">
      <formula>SEARCH("CHIUSO",$M179)&gt;0</formula>
    </cfRule>
    <cfRule type="expression" dxfId="7328" priority="4005">
      <formula>SEARCH("EMESSO",$M179)&gt;0</formula>
    </cfRule>
    <cfRule type="expression" dxfId="7327" priority="4006">
      <formula>SEARCH("RICHIESTO",$M179)&gt;0</formula>
    </cfRule>
    <cfRule type="expression" dxfId="7326" priority="4007">
      <formula>SEARCH("DA CHIUDERE",$M179)&gt;0</formula>
    </cfRule>
    <cfRule type="expression" dxfId="7325" priority="4008">
      <formula>SEARCH("INTERROTTO",$M179)&gt;0</formula>
    </cfRule>
  </conditionalFormatting>
  <conditionalFormatting sqref="E178:G178 N178:Q178">
    <cfRule type="expression" dxfId="7324" priority="3997">
      <formula>SEARCH("IN CORSO",$M178)&gt;0</formula>
    </cfRule>
    <cfRule type="expression" dxfId="7323" priority="3998">
      <formula>SEARCH("CHIUSO",$M178)&gt;0</formula>
    </cfRule>
    <cfRule type="expression" dxfId="7322" priority="3999">
      <formula>SEARCH("EMESSO",$M178)&gt;0</formula>
    </cfRule>
    <cfRule type="expression" dxfId="7321" priority="4000">
      <formula>SEARCH("RICHIESTO",$M178)&gt;0</formula>
    </cfRule>
    <cfRule type="expression" dxfId="7320" priority="4001">
      <formula>SEARCH("DA CHIUDERE",$M178)&gt;0</formula>
    </cfRule>
    <cfRule type="expression" dxfId="7319" priority="4002">
      <formula>SEARCH("INTERROTTO",$M178)&gt;0</formula>
    </cfRule>
  </conditionalFormatting>
  <conditionalFormatting sqref="R178:S178">
    <cfRule type="expression" dxfId="7318" priority="3991">
      <formula>SEARCH("IN CORSO",$M178)&gt;0</formula>
    </cfRule>
    <cfRule type="expression" dxfId="7317" priority="3992">
      <formula>SEARCH("CHIUSO",$M178)&gt;0</formula>
    </cfRule>
    <cfRule type="expression" dxfId="7316" priority="3993">
      <formula>SEARCH("EMESSO",$M178)&gt;0</formula>
    </cfRule>
    <cfRule type="expression" dxfId="7315" priority="3994">
      <formula>SEARCH("RICHIESTO",$M178)&gt;0</formula>
    </cfRule>
    <cfRule type="expression" dxfId="7314" priority="3995">
      <formula>SEARCH("DA CHIUDERE",$M178)&gt;0</formula>
    </cfRule>
    <cfRule type="expression" dxfId="7313" priority="3996">
      <formula>SEARCH("INTERROTTO",$M178)&gt;0</formula>
    </cfRule>
  </conditionalFormatting>
  <conditionalFormatting sqref="M178">
    <cfRule type="expression" dxfId="7312" priority="3985">
      <formula>SEARCH("IN CORSO",$M178)&gt;0</formula>
    </cfRule>
    <cfRule type="expression" dxfId="7311" priority="3986">
      <formula>SEARCH("CHIUSO",$M178)&gt;0</formula>
    </cfRule>
    <cfRule type="expression" dxfId="7310" priority="3987">
      <formula>SEARCH("EMESSO",$M178)&gt;0</formula>
    </cfRule>
    <cfRule type="expression" dxfId="7309" priority="3988">
      <formula>SEARCH("RICHIESTO",$M178)&gt;0</formula>
    </cfRule>
    <cfRule type="expression" dxfId="7308" priority="3989">
      <formula>SEARCH("DA CHIUDERE",$M178)&gt;0</formula>
    </cfRule>
    <cfRule type="expression" dxfId="7307" priority="3990">
      <formula>SEARCH("INTERROTTO",$M178)&gt;0</formula>
    </cfRule>
  </conditionalFormatting>
  <conditionalFormatting sqref="E177:G177 N177:Q177">
    <cfRule type="expression" dxfId="7306" priority="3979">
      <formula>SEARCH("IN CORSO",$M177)&gt;0</formula>
    </cfRule>
    <cfRule type="expression" dxfId="7305" priority="3980">
      <formula>SEARCH("CHIUSO",$M177)&gt;0</formula>
    </cfRule>
    <cfRule type="expression" dxfId="7304" priority="3981">
      <formula>SEARCH("EMESSO",$M177)&gt;0</formula>
    </cfRule>
    <cfRule type="expression" dxfId="7303" priority="3982">
      <formula>SEARCH("RICHIESTO",$M177)&gt;0</formula>
    </cfRule>
    <cfRule type="expression" dxfId="7302" priority="3983">
      <formula>SEARCH("DA CHIUDERE",$M177)&gt;0</formula>
    </cfRule>
    <cfRule type="expression" dxfId="7301" priority="3984">
      <formula>SEARCH("INTERROTTO",$M177)&gt;0</formula>
    </cfRule>
  </conditionalFormatting>
  <conditionalFormatting sqref="R177:S177">
    <cfRule type="expression" dxfId="7300" priority="3973">
      <formula>SEARCH("IN CORSO",$M177)&gt;0</formula>
    </cfRule>
    <cfRule type="expression" dxfId="7299" priority="3974">
      <formula>SEARCH("CHIUSO",$M177)&gt;0</formula>
    </cfRule>
    <cfRule type="expression" dxfId="7298" priority="3975">
      <formula>SEARCH("EMESSO",$M177)&gt;0</formula>
    </cfRule>
    <cfRule type="expression" dxfId="7297" priority="3976">
      <formula>SEARCH("RICHIESTO",$M177)&gt;0</formula>
    </cfRule>
    <cfRule type="expression" dxfId="7296" priority="3977">
      <formula>SEARCH("DA CHIUDERE",$M177)&gt;0</formula>
    </cfRule>
    <cfRule type="expression" dxfId="7295" priority="3978">
      <formula>SEARCH("INTERROTTO",$M177)&gt;0</formula>
    </cfRule>
  </conditionalFormatting>
  <conditionalFormatting sqref="M177">
    <cfRule type="expression" dxfId="7294" priority="3967">
      <formula>SEARCH("IN CORSO",$M177)&gt;0</formula>
    </cfRule>
    <cfRule type="expression" dxfId="7293" priority="3968">
      <formula>SEARCH("CHIUSO",$M177)&gt;0</formula>
    </cfRule>
    <cfRule type="expression" dxfId="7292" priority="3969">
      <formula>SEARCH("EMESSO",$M177)&gt;0</formula>
    </cfRule>
    <cfRule type="expression" dxfId="7291" priority="3970">
      <formula>SEARCH("RICHIESTO",$M177)&gt;0</formula>
    </cfRule>
    <cfRule type="expression" dxfId="7290" priority="3971">
      <formula>SEARCH("DA CHIUDERE",$M177)&gt;0</formula>
    </cfRule>
    <cfRule type="expression" dxfId="7289" priority="3972">
      <formula>SEARCH("INTERROTTO",$M177)&gt;0</formula>
    </cfRule>
  </conditionalFormatting>
  <conditionalFormatting sqref="E176:G176 N176:Q176">
    <cfRule type="expression" dxfId="7288" priority="3961">
      <formula>SEARCH("IN CORSO",$M176)&gt;0</formula>
    </cfRule>
    <cfRule type="expression" dxfId="7287" priority="3962">
      <formula>SEARCH("CHIUSO",$M176)&gt;0</formula>
    </cfRule>
    <cfRule type="expression" dxfId="7286" priority="3963">
      <formula>SEARCH("EMESSO",$M176)&gt;0</formula>
    </cfRule>
    <cfRule type="expression" dxfId="7285" priority="3964">
      <formula>SEARCH("RICHIESTO",$M176)&gt;0</formula>
    </cfRule>
    <cfRule type="expression" dxfId="7284" priority="3965">
      <formula>SEARCH("DA CHIUDERE",$M176)&gt;0</formula>
    </cfRule>
    <cfRule type="expression" dxfId="7283" priority="3966">
      <formula>SEARCH("INTERROTTO",$M176)&gt;0</formula>
    </cfRule>
  </conditionalFormatting>
  <conditionalFormatting sqref="R176:S176">
    <cfRule type="expression" dxfId="7282" priority="3955">
      <formula>SEARCH("IN CORSO",$M176)&gt;0</formula>
    </cfRule>
    <cfRule type="expression" dxfId="7281" priority="3956">
      <formula>SEARCH("CHIUSO",$M176)&gt;0</formula>
    </cfRule>
    <cfRule type="expression" dxfId="7280" priority="3957">
      <formula>SEARCH("EMESSO",$M176)&gt;0</formula>
    </cfRule>
    <cfRule type="expression" dxfId="7279" priority="3958">
      <formula>SEARCH("RICHIESTO",$M176)&gt;0</formula>
    </cfRule>
    <cfRule type="expression" dxfId="7278" priority="3959">
      <formula>SEARCH("DA CHIUDERE",$M176)&gt;0</formula>
    </cfRule>
    <cfRule type="expression" dxfId="7277" priority="3960">
      <formula>SEARCH("INTERROTTO",$M176)&gt;0</formula>
    </cfRule>
  </conditionalFormatting>
  <conditionalFormatting sqref="M176">
    <cfRule type="expression" dxfId="7276" priority="3949">
      <formula>SEARCH("IN CORSO",$M176)&gt;0</formula>
    </cfRule>
    <cfRule type="expression" dxfId="7275" priority="3950">
      <formula>SEARCH("CHIUSO",$M176)&gt;0</formula>
    </cfRule>
    <cfRule type="expression" dxfId="7274" priority="3951">
      <formula>SEARCH("EMESSO",$M176)&gt;0</formula>
    </cfRule>
    <cfRule type="expression" dxfId="7273" priority="3952">
      <formula>SEARCH("RICHIESTO",$M176)&gt;0</formula>
    </cfRule>
    <cfRule type="expression" dxfId="7272" priority="3953">
      <formula>SEARCH("DA CHIUDERE",$M176)&gt;0</formula>
    </cfRule>
    <cfRule type="expression" dxfId="7271" priority="3954">
      <formula>SEARCH("INTERROTTO",$M176)&gt;0</formula>
    </cfRule>
  </conditionalFormatting>
  <conditionalFormatting sqref="E175:G175 N175:Q175">
    <cfRule type="expression" dxfId="7270" priority="3943">
      <formula>SEARCH("IN CORSO",$M175)&gt;0</formula>
    </cfRule>
    <cfRule type="expression" dxfId="7269" priority="3944">
      <formula>SEARCH("CHIUSO",$M175)&gt;0</formula>
    </cfRule>
    <cfRule type="expression" dxfId="7268" priority="3945">
      <formula>SEARCH("EMESSO",$M175)&gt;0</formula>
    </cfRule>
    <cfRule type="expression" dxfId="7267" priority="3946">
      <formula>SEARCH("RICHIESTO",$M175)&gt;0</formula>
    </cfRule>
    <cfRule type="expression" dxfId="7266" priority="3947">
      <formula>SEARCH("DA CHIUDERE",$M175)&gt;0</formula>
    </cfRule>
    <cfRule type="expression" dxfId="7265" priority="3948">
      <formula>SEARCH("INTERROTTO",$M175)&gt;0</formula>
    </cfRule>
  </conditionalFormatting>
  <conditionalFormatting sqref="R175:S175">
    <cfRule type="expression" dxfId="7264" priority="3937">
      <formula>SEARCH("IN CORSO",$M175)&gt;0</formula>
    </cfRule>
    <cfRule type="expression" dxfId="7263" priority="3938">
      <formula>SEARCH("CHIUSO",$M175)&gt;0</formula>
    </cfRule>
    <cfRule type="expression" dxfId="7262" priority="3939">
      <formula>SEARCH("EMESSO",$M175)&gt;0</formula>
    </cfRule>
    <cfRule type="expression" dxfId="7261" priority="3940">
      <formula>SEARCH("RICHIESTO",$M175)&gt;0</formula>
    </cfRule>
    <cfRule type="expression" dxfId="7260" priority="3941">
      <formula>SEARCH("DA CHIUDERE",$M175)&gt;0</formula>
    </cfRule>
    <cfRule type="expression" dxfId="7259" priority="3942">
      <formula>SEARCH("INTERROTTO",$M175)&gt;0</formula>
    </cfRule>
  </conditionalFormatting>
  <conditionalFormatting sqref="M175">
    <cfRule type="expression" dxfId="7258" priority="3931">
      <formula>SEARCH("IN CORSO",$M175)&gt;0</formula>
    </cfRule>
    <cfRule type="expression" dxfId="7257" priority="3932">
      <formula>SEARCH("CHIUSO",$M175)&gt;0</formula>
    </cfRule>
    <cfRule type="expression" dxfId="7256" priority="3933">
      <formula>SEARCH("EMESSO",$M175)&gt;0</formula>
    </cfRule>
    <cfRule type="expression" dxfId="7255" priority="3934">
      <formula>SEARCH("RICHIESTO",$M175)&gt;0</formula>
    </cfRule>
    <cfRule type="expression" dxfId="7254" priority="3935">
      <formula>SEARCH("DA CHIUDERE",$M175)&gt;0</formula>
    </cfRule>
    <cfRule type="expression" dxfId="7253" priority="3936">
      <formula>SEARCH("INTERROTTO",$M175)&gt;0</formula>
    </cfRule>
  </conditionalFormatting>
  <conditionalFormatting sqref="E174:G174 N174:Q174">
    <cfRule type="expression" dxfId="7252" priority="3925">
      <formula>SEARCH("IN CORSO",$M174)&gt;0</formula>
    </cfRule>
    <cfRule type="expression" dxfId="7251" priority="3926">
      <formula>SEARCH("CHIUSO",$M174)&gt;0</formula>
    </cfRule>
    <cfRule type="expression" dxfId="7250" priority="3927">
      <formula>SEARCH("EMESSO",$M174)&gt;0</formula>
    </cfRule>
    <cfRule type="expression" dxfId="7249" priority="3928">
      <formula>SEARCH("RICHIESTO",$M174)&gt;0</formula>
    </cfRule>
    <cfRule type="expression" dxfId="7248" priority="3929">
      <formula>SEARCH("DA CHIUDERE",$M174)&gt;0</formula>
    </cfRule>
    <cfRule type="expression" dxfId="7247" priority="3930">
      <formula>SEARCH("INTERROTTO",$M174)&gt;0</formula>
    </cfRule>
  </conditionalFormatting>
  <conditionalFormatting sqref="R174:S174">
    <cfRule type="expression" dxfId="7246" priority="3919">
      <formula>SEARCH("IN CORSO",$M174)&gt;0</formula>
    </cfRule>
    <cfRule type="expression" dxfId="7245" priority="3920">
      <formula>SEARCH("CHIUSO",$M174)&gt;0</formula>
    </cfRule>
    <cfRule type="expression" dxfId="7244" priority="3921">
      <formula>SEARCH("EMESSO",$M174)&gt;0</formula>
    </cfRule>
    <cfRule type="expression" dxfId="7243" priority="3922">
      <formula>SEARCH("RICHIESTO",$M174)&gt;0</formula>
    </cfRule>
    <cfRule type="expression" dxfId="7242" priority="3923">
      <formula>SEARCH("DA CHIUDERE",$M174)&gt;0</formula>
    </cfRule>
    <cfRule type="expression" dxfId="7241" priority="3924">
      <formula>SEARCH("INTERROTTO",$M174)&gt;0</formula>
    </cfRule>
  </conditionalFormatting>
  <conditionalFormatting sqref="M174">
    <cfRule type="expression" dxfId="7240" priority="3913">
      <formula>SEARCH("IN CORSO",$M174)&gt;0</formula>
    </cfRule>
    <cfRule type="expression" dxfId="7239" priority="3914">
      <formula>SEARCH("CHIUSO",$M174)&gt;0</formula>
    </cfRule>
    <cfRule type="expression" dxfId="7238" priority="3915">
      <formula>SEARCH("EMESSO",$M174)&gt;0</formula>
    </cfRule>
    <cfRule type="expression" dxfId="7237" priority="3916">
      <formula>SEARCH("RICHIESTO",$M174)&gt;0</formula>
    </cfRule>
    <cfRule type="expression" dxfId="7236" priority="3917">
      <formula>SEARCH("DA CHIUDERE",$M174)&gt;0</formula>
    </cfRule>
    <cfRule type="expression" dxfId="7235" priority="3918">
      <formula>SEARCH("INTERROTTO",$M174)&gt;0</formula>
    </cfRule>
  </conditionalFormatting>
  <conditionalFormatting sqref="E173:G173 N173:Q173">
    <cfRule type="expression" dxfId="7234" priority="3907">
      <formula>SEARCH("IN CORSO",$M173)&gt;0</formula>
    </cfRule>
    <cfRule type="expression" dxfId="7233" priority="3908">
      <formula>SEARCH("CHIUSO",$M173)&gt;0</formula>
    </cfRule>
    <cfRule type="expression" dxfId="7232" priority="3909">
      <formula>SEARCH("EMESSO",$M173)&gt;0</formula>
    </cfRule>
    <cfRule type="expression" dxfId="7231" priority="3910">
      <formula>SEARCH("RICHIESTO",$M173)&gt;0</formula>
    </cfRule>
    <cfRule type="expression" dxfId="7230" priority="3911">
      <formula>SEARCH("DA CHIUDERE",$M173)&gt;0</formula>
    </cfRule>
    <cfRule type="expression" dxfId="7229" priority="3912">
      <formula>SEARCH("INTERROTTO",$M173)&gt;0</formula>
    </cfRule>
  </conditionalFormatting>
  <conditionalFormatting sqref="R173:S173">
    <cfRule type="expression" dxfId="7228" priority="3901">
      <formula>SEARCH("IN CORSO",$M173)&gt;0</formula>
    </cfRule>
    <cfRule type="expression" dxfId="7227" priority="3902">
      <formula>SEARCH("CHIUSO",$M173)&gt;0</formula>
    </cfRule>
    <cfRule type="expression" dxfId="7226" priority="3903">
      <formula>SEARCH("EMESSO",$M173)&gt;0</formula>
    </cfRule>
    <cfRule type="expression" dxfId="7225" priority="3904">
      <formula>SEARCH("RICHIESTO",$M173)&gt;0</formula>
    </cfRule>
    <cfRule type="expression" dxfId="7224" priority="3905">
      <formula>SEARCH("DA CHIUDERE",$M173)&gt;0</formula>
    </cfRule>
    <cfRule type="expression" dxfId="7223" priority="3906">
      <formula>SEARCH("INTERROTTO",$M173)&gt;0</formula>
    </cfRule>
  </conditionalFormatting>
  <conditionalFormatting sqref="M173">
    <cfRule type="expression" dxfId="7222" priority="3895">
      <formula>SEARCH("IN CORSO",$M173)&gt;0</formula>
    </cfRule>
    <cfRule type="expression" dxfId="7221" priority="3896">
      <formula>SEARCH("CHIUSO",$M173)&gt;0</formula>
    </cfRule>
    <cfRule type="expression" dxfId="7220" priority="3897">
      <formula>SEARCH("EMESSO",$M173)&gt;0</formula>
    </cfRule>
    <cfRule type="expression" dxfId="7219" priority="3898">
      <formula>SEARCH("RICHIESTO",$M173)&gt;0</formula>
    </cfRule>
    <cfRule type="expression" dxfId="7218" priority="3899">
      <formula>SEARCH("DA CHIUDERE",$M173)&gt;0</formula>
    </cfRule>
    <cfRule type="expression" dxfId="7217" priority="3900">
      <formula>SEARCH("INTERROTTO",$M173)&gt;0</formula>
    </cfRule>
  </conditionalFormatting>
  <conditionalFormatting sqref="E172:G172 N172:Q172">
    <cfRule type="expression" dxfId="7216" priority="3889">
      <formula>SEARCH("IN CORSO",$M172)&gt;0</formula>
    </cfRule>
    <cfRule type="expression" dxfId="7215" priority="3890">
      <formula>SEARCH("CHIUSO",$M172)&gt;0</formula>
    </cfRule>
    <cfRule type="expression" dxfId="7214" priority="3891">
      <formula>SEARCH("EMESSO",$M172)&gt;0</formula>
    </cfRule>
    <cfRule type="expression" dxfId="7213" priority="3892">
      <formula>SEARCH("RICHIESTO",$M172)&gt;0</formula>
    </cfRule>
    <cfRule type="expression" dxfId="7212" priority="3893">
      <formula>SEARCH("DA CHIUDERE",$M172)&gt;0</formula>
    </cfRule>
    <cfRule type="expression" dxfId="7211" priority="3894">
      <formula>SEARCH("INTERROTTO",$M172)&gt;0</formula>
    </cfRule>
  </conditionalFormatting>
  <conditionalFormatting sqref="R172:S172">
    <cfRule type="expression" dxfId="7210" priority="3883">
      <formula>SEARCH("IN CORSO",$M172)&gt;0</formula>
    </cfRule>
    <cfRule type="expression" dxfId="7209" priority="3884">
      <formula>SEARCH("CHIUSO",$M172)&gt;0</formula>
    </cfRule>
    <cfRule type="expression" dxfId="7208" priority="3885">
      <formula>SEARCH("EMESSO",$M172)&gt;0</formula>
    </cfRule>
    <cfRule type="expression" dxfId="7207" priority="3886">
      <formula>SEARCH("RICHIESTO",$M172)&gt;0</formula>
    </cfRule>
    <cfRule type="expression" dxfId="7206" priority="3887">
      <formula>SEARCH("DA CHIUDERE",$M172)&gt;0</formula>
    </cfRule>
    <cfRule type="expression" dxfId="7205" priority="3888">
      <formula>SEARCH("INTERROTTO",$M172)&gt;0</formula>
    </cfRule>
  </conditionalFormatting>
  <conditionalFormatting sqref="M172">
    <cfRule type="expression" dxfId="7204" priority="3877">
      <formula>SEARCH("IN CORSO",$M172)&gt;0</formula>
    </cfRule>
    <cfRule type="expression" dxfId="7203" priority="3878">
      <formula>SEARCH("CHIUSO",$M172)&gt;0</formula>
    </cfRule>
    <cfRule type="expression" dxfId="7202" priority="3879">
      <formula>SEARCH("EMESSO",$M172)&gt;0</formula>
    </cfRule>
    <cfRule type="expression" dxfId="7201" priority="3880">
      <formula>SEARCH("RICHIESTO",$M172)&gt;0</formula>
    </cfRule>
    <cfRule type="expression" dxfId="7200" priority="3881">
      <formula>SEARCH("DA CHIUDERE",$M172)&gt;0</formula>
    </cfRule>
    <cfRule type="expression" dxfId="7199" priority="3882">
      <formula>SEARCH("INTERROTTO",$M172)&gt;0</formula>
    </cfRule>
  </conditionalFormatting>
  <conditionalFormatting sqref="E171:G171 N171:Q171">
    <cfRule type="expression" dxfId="7198" priority="3871">
      <formula>SEARCH("IN CORSO",$M171)&gt;0</formula>
    </cfRule>
    <cfRule type="expression" dxfId="7197" priority="3872">
      <formula>SEARCH("CHIUSO",$M171)&gt;0</formula>
    </cfRule>
    <cfRule type="expression" dxfId="7196" priority="3873">
      <formula>SEARCH("EMESSO",$M171)&gt;0</formula>
    </cfRule>
    <cfRule type="expression" dxfId="7195" priority="3874">
      <formula>SEARCH("RICHIESTO",$M171)&gt;0</formula>
    </cfRule>
    <cfRule type="expression" dxfId="7194" priority="3875">
      <formula>SEARCH("DA CHIUDERE",$M171)&gt;0</formula>
    </cfRule>
    <cfRule type="expression" dxfId="7193" priority="3876">
      <formula>SEARCH("INTERROTTO",$M171)&gt;0</formula>
    </cfRule>
  </conditionalFormatting>
  <conditionalFormatting sqref="R171:S171">
    <cfRule type="expression" dxfId="7192" priority="3865">
      <formula>SEARCH("IN CORSO",$M171)&gt;0</formula>
    </cfRule>
    <cfRule type="expression" dxfId="7191" priority="3866">
      <formula>SEARCH("CHIUSO",$M171)&gt;0</formula>
    </cfRule>
    <cfRule type="expression" dxfId="7190" priority="3867">
      <formula>SEARCH("EMESSO",$M171)&gt;0</formula>
    </cfRule>
    <cfRule type="expression" dxfId="7189" priority="3868">
      <formula>SEARCH("RICHIESTO",$M171)&gt;0</formula>
    </cfRule>
    <cfRule type="expression" dxfId="7188" priority="3869">
      <formula>SEARCH("DA CHIUDERE",$M171)&gt;0</formula>
    </cfRule>
    <cfRule type="expression" dxfId="7187" priority="3870">
      <formula>SEARCH("INTERROTTO",$M171)&gt;0</formula>
    </cfRule>
  </conditionalFormatting>
  <conditionalFormatting sqref="M171">
    <cfRule type="expression" dxfId="7186" priority="3859">
      <formula>SEARCH("IN CORSO",$M171)&gt;0</formula>
    </cfRule>
    <cfRule type="expression" dxfId="7185" priority="3860">
      <formula>SEARCH("CHIUSO",$M171)&gt;0</formula>
    </cfRule>
    <cfRule type="expression" dxfId="7184" priority="3861">
      <formula>SEARCH("EMESSO",$M171)&gt;0</formula>
    </cfRule>
    <cfRule type="expression" dxfId="7183" priority="3862">
      <formula>SEARCH("RICHIESTO",$M171)&gt;0</formula>
    </cfRule>
    <cfRule type="expression" dxfId="7182" priority="3863">
      <formula>SEARCH("DA CHIUDERE",$M171)&gt;0</formula>
    </cfRule>
    <cfRule type="expression" dxfId="7181" priority="3864">
      <formula>SEARCH("INTERROTTO",$M171)&gt;0</formula>
    </cfRule>
  </conditionalFormatting>
  <conditionalFormatting sqref="E170:G170 N170:Q170">
    <cfRule type="expression" dxfId="7180" priority="3853">
      <formula>SEARCH("IN CORSO",$M170)&gt;0</formula>
    </cfRule>
    <cfRule type="expression" dxfId="7179" priority="3854">
      <formula>SEARCH("CHIUSO",$M170)&gt;0</formula>
    </cfRule>
    <cfRule type="expression" dxfId="7178" priority="3855">
      <formula>SEARCH("EMESSO",$M170)&gt;0</formula>
    </cfRule>
    <cfRule type="expression" dxfId="7177" priority="3856">
      <formula>SEARCH("RICHIESTO",$M170)&gt;0</formula>
    </cfRule>
    <cfRule type="expression" dxfId="7176" priority="3857">
      <formula>SEARCH("DA CHIUDERE",$M170)&gt;0</formula>
    </cfRule>
    <cfRule type="expression" dxfId="7175" priority="3858">
      <formula>SEARCH("INTERROTTO",$M170)&gt;0</formula>
    </cfRule>
  </conditionalFormatting>
  <conditionalFormatting sqref="R170:S170">
    <cfRule type="expression" dxfId="7174" priority="3847">
      <formula>SEARCH("IN CORSO",$M170)&gt;0</formula>
    </cfRule>
    <cfRule type="expression" dxfId="7173" priority="3848">
      <formula>SEARCH("CHIUSO",$M170)&gt;0</formula>
    </cfRule>
    <cfRule type="expression" dxfId="7172" priority="3849">
      <formula>SEARCH("EMESSO",$M170)&gt;0</formula>
    </cfRule>
    <cfRule type="expression" dxfId="7171" priority="3850">
      <formula>SEARCH("RICHIESTO",$M170)&gt;0</formula>
    </cfRule>
    <cfRule type="expression" dxfId="7170" priority="3851">
      <formula>SEARCH("DA CHIUDERE",$M170)&gt;0</formula>
    </cfRule>
    <cfRule type="expression" dxfId="7169" priority="3852">
      <formula>SEARCH("INTERROTTO",$M170)&gt;0</formula>
    </cfRule>
  </conditionalFormatting>
  <conditionalFormatting sqref="M170">
    <cfRule type="expression" dxfId="7168" priority="3841">
      <formula>SEARCH("IN CORSO",$M170)&gt;0</formula>
    </cfRule>
    <cfRule type="expression" dxfId="7167" priority="3842">
      <formula>SEARCH("CHIUSO",$M170)&gt;0</formula>
    </cfRule>
    <cfRule type="expression" dxfId="7166" priority="3843">
      <formula>SEARCH("EMESSO",$M170)&gt;0</formula>
    </cfRule>
    <cfRule type="expression" dxfId="7165" priority="3844">
      <formula>SEARCH("RICHIESTO",$M170)&gt;0</formula>
    </cfRule>
    <cfRule type="expression" dxfId="7164" priority="3845">
      <formula>SEARCH("DA CHIUDERE",$M170)&gt;0</formula>
    </cfRule>
    <cfRule type="expression" dxfId="7163" priority="3846">
      <formula>SEARCH("INTERROTTO",$M170)&gt;0</formula>
    </cfRule>
  </conditionalFormatting>
  <conditionalFormatting sqref="E169:G169 N169:Q169">
    <cfRule type="expression" dxfId="7162" priority="3835">
      <formula>SEARCH("IN CORSO",$M169)&gt;0</formula>
    </cfRule>
    <cfRule type="expression" dxfId="7161" priority="3836">
      <formula>SEARCH("CHIUSO",$M169)&gt;0</formula>
    </cfRule>
    <cfRule type="expression" dxfId="7160" priority="3837">
      <formula>SEARCH("EMESSO",$M169)&gt;0</formula>
    </cfRule>
    <cfRule type="expression" dxfId="7159" priority="3838">
      <formula>SEARCH("RICHIESTO",$M169)&gt;0</formula>
    </cfRule>
    <cfRule type="expression" dxfId="7158" priority="3839">
      <formula>SEARCH("DA CHIUDERE",$M169)&gt;0</formula>
    </cfRule>
    <cfRule type="expression" dxfId="7157" priority="3840">
      <formula>SEARCH("INTERROTTO",$M169)&gt;0</formula>
    </cfRule>
  </conditionalFormatting>
  <conditionalFormatting sqref="R169:S169">
    <cfRule type="expression" dxfId="7156" priority="3829">
      <formula>SEARCH("IN CORSO",$M169)&gt;0</formula>
    </cfRule>
    <cfRule type="expression" dxfId="7155" priority="3830">
      <formula>SEARCH("CHIUSO",$M169)&gt;0</formula>
    </cfRule>
    <cfRule type="expression" dxfId="7154" priority="3831">
      <formula>SEARCH("EMESSO",$M169)&gt;0</formula>
    </cfRule>
    <cfRule type="expression" dxfId="7153" priority="3832">
      <formula>SEARCH("RICHIESTO",$M169)&gt;0</formula>
    </cfRule>
    <cfRule type="expression" dxfId="7152" priority="3833">
      <formula>SEARCH("DA CHIUDERE",$M169)&gt;0</formula>
    </cfRule>
    <cfRule type="expression" dxfId="7151" priority="3834">
      <formula>SEARCH("INTERROTTO",$M169)&gt;0</formula>
    </cfRule>
  </conditionalFormatting>
  <conditionalFormatting sqref="M169">
    <cfRule type="expression" dxfId="7150" priority="3823">
      <formula>SEARCH("IN CORSO",$M169)&gt;0</formula>
    </cfRule>
    <cfRule type="expression" dxfId="7149" priority="3824">
      <formula>SEARCH("CHIUSO",$M169)&gt;0</formula>
    </cfRule>
    <cfRule type="expression" dxfId="7148" priority="3825">
      <formula>SEARCH("EMESSO",$M169)&gt;0</formula>
    </cfRule>
    <cfRule type="expression" dxfId="7147" priority="3826">
      <formula>SEARCH("RICHIESTO",$M169)&gt;0</formula>
    </cfRule>
    <cfRule type="expression" dxfId="7146" priority="3827">
      <formula>SEARCH("DA CHIUDERE",$M169)&gt;0</formula>
    </cfRule>
    <cfRule type="expression" dxfId="7145" priority="3828">
      <formula>SEARCH("INTERROTTO",$M169)&gt;0</formula>
    </cfRule>
  </conditionalFormatting>
  <conditionalFormatting sqref="E168:G168 N168:Q168">
    <cfRule type="expression" dxfId="7144" priority="3817">
      <formula>SEARCH("IN CORSO",$M168)&gt;0</formula>
    </cfRule>
    <cfRule type="expression" dxfId="7143" priority="3818">
      <formula>SEARCH("CHIUSO",$M168)&gt;0</formula>
    </cfRule>
    <cfRule type="expression" dxfId="7142" priority="3819">
      <formula>SEARCH("EMESSO",$M168)&gt;0</formula>
    </cfRule>
    <cfRule type="expression" dxfId="7141" priority="3820">
      <formula>SEARCH("RICHIESTO",$M168)&gt;0</formula>
    </cfRule>
    <cfRule type="expression" dxfId="7140" priority="3821">
      <formula>SEARCH("DA CHIUDERE",$M168)&gt;0</formula>
    </cfRule>
    <cfRule type="expression" dxfId="7139" priority="3822">
      <formula>SEARCH("INTERROTTO",$M168)&gt;0</formula>
    </cfRule>
  </conditionalFormatting>
  <conditionalFormatting sqref="R168:S168">
    <cfRule type="expression" dxfId="7138" priority="3811">
      <formula>SEARCH("IN CORSO",$M168)&gt;0</formula>
    </cfRule>
    <cfRule type="expression" dxfId="7137" priority="3812">
      <formula>SEARCH("CHIUSO",$M168)&gt;0</formula>
    </cfRule>
    <cfRule type="expression" dxfId="7136" priority="3813">
      <formula>SEARCH("EMESSO",$M168)&gt;0</formula>
    </cfRule>
    <cfRule type="expression" dxfId="7135" priority="3814">
      <formula>SEARCH("RICHIESTO",$M168)&gt;0</formula>
    </cfRule>
    <cfRule type="expression" dxfId="7134" priority="3815">
      <formula>SEARCH("DA CHIUDERE",$M168)&gt;0</formula>
    </cfRule>
    <cfRule type="expression" dxfId="7133" priority="3816">
      <formula>SEARCH("INTERROTTO",$M168)&gt;0</formula>
    </cfRule>
  </conditionalFormatting>
  <conditionalFormatting sqref="M168">
    <cfRule type="expression" dxfId="7132" priority="3805">
      <formula>SEARCH("IN CORSO",$M168)&gt;0</formula>
    </cfRule>
    <cfRule type="expression" dxfId="7131" priority="3806">
      <formula>SEARCH("CHIUSO",$M168)&gt;0</formula>
    </cfRule>
    <cfRule type="expression" dxfId="7130" priority="3807">
      <formula>SEARCH("EMESSO",$M168)&gt;0</formula>
    </cfRule>
    <cfRule type="expression" dxfId="7129" priority="3808">
      <formula>SEARCH("RICHIESTO",$M168)&gt;0</formula>
    </cfRule>
    <cfRule type="expression" dxfId="7128" priority="3809">
      <formula>SEARCH("DA CHIUDERE",$M168)&gt;0</formula>
    </cfRule>
    <cfRule type="expression" dxfId="7127" priority="3810">
      <formula>SEARCH("INTERROTTO",$M168)&gt;0</formula>
    </cfRule>
  </conditionalFormatting>
  <conditionalFormatting sqref="E167:G167 N167:Q167">
    <cfRule type="expression" dxfId="7126" priority="3799">
      <formula>SEARCH("IN CORSO",$M167)&gt;0</formula>
    </cfRule>
    <cfRule type="expression" dxfId="7125" priority="3800">
      <formula>SEARCH("CHIUSO",$M167)&gt;0</formula>
    </cfRule>
    <cfRule type="expression" dxfId="7124" priority="3801">
      <formula>SEARCH("EMESSO",$M167)&gt;0</formula>
    </cfRule>
    <cfRule type="expression" dxfId="7123" priority="3802">
      <formula>SEARCH("RICHIESTO",$M167)&gt;0</formula>
    </cfRule>
    <cfRule type="expression" dxfId="7122" priority="3803">
      <formula>SEARCH("DA CHIUDERE",$M167)&gt;0</formula>
    </cfRule>
    <cfRule type="expression" dxfId="7121" priority="3804">
      <formula>SEARCH("INTERROTTO",$M167)&gt;0</formula>
    </cfRule>
  </conditionalFormatting>
  <conditionalFormatting sqref="R167:S167">
    <cfRule type="expression" dxfId="7120" priority="3793">
      <formula>SEARCH("IN CORSO",$M167)&gt;0</formula>
    </cfRule>
    <cfRule type="expression" dxfId="7119" priority="3794">
      <formula>SEARCH("CHIUSO",$M167)&gt;0</formula>
    </cfRule>
    <cfRule type="expression" dxfId="7118" priority="3795">
      <formula>SEARCH("EMESSO",$M167)&gt;0</formula>
    </cfRule>
    <cfRule type="expression" dxfId="7117" priority="3796">
      <formula>SEARCH("RICHIESTO",$M167)&gt;0</formula>
    </cfRule>
    <cfRule type="expression" dxfId="7116" priority="3797">
      <formula>SEARCH("DA CHIUDERE",$M167)&gt;0</formula>
    </cfRule>
    <cfRule type="expression" dxfId="7115" priority="3798">
      <formula>SEARCH("INTERROTTO",$M167)&gt;0</formula>
    </cfRule>
  </conditionalFormatting>
  <conditionalFormatting sqref="M167">
    <cfRule type="expression" dxfId="7114" priority="3787">
      <formula>SEARCH("IN CORSO",$M167)&gt;0</formula>
    </cfRule>
    <cfRule type="expression" dxfId="7113" priority="3788">
      <formula>SEARCH("CHIUSO",$M167)&gt;0</formula>
    </cfRule>
    <cfRule type="expression" dxfId="7112" priority="3789">
      <formula>SEARCH("EMESSO",$M167)&gt;0</formula>
    </cfRule>
    <cfRule type="expression" dxfId="7111" priority="3790">
      <formula>SEARCH("RICHIESTO",$M167)&gt;0</formula>
    </cfRule>
    <cfRule type="expression" dxfId="7110" priority="3791">
      <formula>SEARCH("DA CHIUDERE",$M167)&gt;0</formula>
    </cfRule>
    <cfRule type="expression" dxfId="7109" priority="3792">
      <formula>SEARCH("INTERROTTO",$M167)&gt;0</formula>
    </cfRule>
  </conditionalFormatting>
  <conditionalFormatting sqref="E166:G166 N166:Q166">
    <cfRule type="expression" dxfId="7108" priority="3781">
      <formula>SEARCH("IN CORSO",$M166)&gt;0</formula>
    </cfRule>
    <cfRule type="expression" dxfId="7107" priority="3782">
      <formula>SEARCH("CHIUSO",$M166)&gt;0</formula>
    </cfRule>
    <cfRule type="expression" dxfId="7106" priority="3783">
      <formula>SEARCH("EMESSO",$M166)&gt;0</formula>
    </cfRule>
    <cfRule type="expression" dxfId="7105" priority="3784">
      <formula>SEARCH("RICHIESTO",$M166)&gt;0</formula>
    </cfRule>
    <cfRule type="expression" dxfId="7104" priority="3785">
      <formula>SEARCH("DA CHIUDERE",$M166)&gt;0</formula>
    </cfRule>
    <cfRule type="expression" dxfId="7103" priority="3786">
      <formula>SEARCH("INTERROTTO",$M166)&gt;0</formula>
    </cfRule>
  </conditionalFormatting>
  <conditionalFormatting sqref="R166:S166">
    <cfRule type="expression" dxfId="7102" priority="3775">
      <formula>SEARCH("IN CORSO",$M166)&gt;0</formula>
    </cfRule>
    <cfRule type="expression" dxfId="7101" priority="3776">
      <formula>SEARCH("CHIUSO",$M166)&gt;0</formula>
    </cfRule>
    <cfRule type="expression" dxfId="7100" priority="3777">
      <formula>SEARCH("EMESSO",$M166)&gt;0</formula>
    </cfRule>
    <cfRule type="expression" dxfId="7099" priority="3778">
      <formula>SEARCH("RICHIESTO",$M166)&gt;0</formula>
    </cfRule>
    <cfRule type="expression" dxfId="7098" priority="3779">
      <formula>SEARCH("DA CHIUDERE",$M166)&gt;0</formula>
    </cfRule>
    <cfRule type="expression" dxfId="7097" priority="3780">
      <formula>SEARCH("INTERROTTO",$M166)&gt;0</formula>
    </cfRule>
  </conditionalFormatting>
  <conditionalFormatting sqref="M166">
    <cfRule type="expression" dxfId="7096" priority="3769">
      <formula>SEARCH("IN CORSO",$M166)&gt;0</formula>
    </cfRule>
    <cfRule type="expression" dxfId="7095" priority="3770">
      <formula>SEARCH("CHIUSO",$M166)&gt;0</formula>
    </cfRule>
    <cfRule type="expression" dxfId="7094" priority="3771">
      <formula>SEARCH("EMESSO",$M166)&gt;0</formula>
    </cfRule>
    <cfRule type="expression" dxfId="7093" priority="3772">
      <formula>SEARCH("RICHIESTO",$M166)&gt;0</formula>
    </cfRule>
    <cfRule type="expression" dxfId="7092" priority="3773">
      <formula>SEARCH("DA CHIUDERE",$M166)&gt;0</formula>
    </cfRule>
    <cfRule type="expression" dxfId="7091" priority="3774">
      <formula>SEARCH("INTERROTTO",$M166)&gt;0</formula>
    </cfRule>
  </conditionalFormatting>
  <conditionalFormatting sqref="E165:G165 N165:Q165">
    <cfRule type="expression" dxfId="7090" priority="3763">
      <formula>SEARCH("IN CORSO",$M165)&gt;0</formula>
    </cfRule>
    <cfRule type="expression" dxfId="7089" priority="3764">
      <formula>SEARCH("CHIUSO",$M165)&gt;0</formula>
    </cfRule>
    <cfRule type="expression" dxfId="7088" priority="3765">
      <formula>SEARCH("EMESSO",$M165)&gt;0</formula>
    </cfRule>
    <cfRule type="expression" dxfId="7087" priority="3766">
      <formula>SEARCH("RICHIESTO",$M165)&gt;0</formula>
    </cfRule>
    <cfRule type="expression" dxfId="7086" priority="3767">
      <formula>SEARCH("DA CHIUDERE",$M165)&gt;0</formula>
    </cfRule>
    <cfRule type="expression" dxfId="7085" priority="3768">
      <formula>SEARCH("INTERROTTO",$M165)&gt;0</formula>
    </cfRule>
  </conditionalFormatting>
  <conditionalFormatting sqref="R165:S165">
    <cfRule type="expression" dxfId="7084" priority="3757">
      <formula>SEARCH("IN CORSO",$M165)&gt;0</formula>
    </cfRule>
    <cfRule type="expression" dxfId="7083" priority="3758">
      <formula>SEARCH("CHIUSO",$M165)&gt;0</formula>
    </cfRule>
    <cfRule type="expression" dxfId="7082" priority="3759">
      <formula>SEARCH("EMESSO",$M165)&gt;0</formula>
    </cfRule>
    <cfRule type="expression" dxfId="7081" priority="3760">
      <formula>SEARCH("RICHIESTO",$M165)&gt;0</formula>
    </cfRule>
    <cfRule type="expression" dxfId="7080" priority="3761">
      <formula>SEARCH("DA CHIUDERE",$M165)&gt;0</formula>
    </cfRule>
    <cfRule type="expression" dxfId="7079" priority="3762">
      <formula>SEARCH("INTERROTTO",$M165)&gt;0</formula>
    </cfRule>
  </conditionalFormatting>
  <conditionalFormatting sqref="M165">
    <cfRule type="expression" dxfId="7078" priority="3751">
      <formula>SEARCH("IN CORSO",$M165)&gt;0</formula>
    </cfRule>
    <cfRule type="expression" dxfId="7077" priority="3752">
      <formula>SEARCH("CHIUSO",$M165)&gt;0</formula>
    </cfRule>
    <cfRule type="expression" dxfId="7076" priority="3753">
      <formula>SEARCH("EMESSO",$M165)&gt;0</formula>
    </cfRule>
    <cfRule type="expression" dxfId="7075" priority="3754">
      <formula>SEARCH("RICHIESTO",$M165)&gt;0</formula>
    </cfRule>
    <cfRule type="expression" dxfId="7074" priority="3755">
      <formula>SEARCH("DA CHIUDERE",$M165)&gt;0</formula>
    </cfRule>
    <cfRule type="expression" dxfId="7073" priority="3756">
      <formula>SEARCH("INTERROTTO",$M165)&gt;0</formula>
    </cfRule>
  </conditionalFormatting>
  <conditionalFormatting sqref="E164:G164 N164:Q164">
    <cfRule type="expression" dxfId="7072" priority="3745">
      <formula>SEARCH("IN CORSO",$M164)&gt;0</formula>
    </cfRule>
    <cfRule type="expression" dxfId="7071" priority="3746">
      <formula>SEARCH("CHIUSO",$M164)&gt;0</formula>
    </cfRule>
    <cfRule type="expression" dxfId="7070" priority="3747">
      <formula>SEARCH("EMESSO",$M164)&gt;0</formula>
    </cfRule>
    <cfRule type="expression" dxfId="7069" priority="3748">
      <formula>SEARCH("RICHIESTO",$M164)&gt;0</formula>
    </cfRule>
    <cfRule type="expression" dxfId="7068" priority="3749">
      <formula>SEARCH("DA CHIUDERE",$M164)&gt;0</formula>
    </cfRule>
    <cfRule type="expression" dxfId="7067" priority="3750">
      <formula>SEARCH("INTERROTTO",$M164)&gt;0</formula>
    </cfRule>
  </conditionalFormatting>
  <conditionalFormatting sqref="R164:S164">
    <cfRule type="expression" dxfId="7066" priority="3739">
      <formula>SEARCH("IN CORSO",$M164)&gt;0</formula>
    </cfRule>
    <cfRule type="expression" dxfId="7065" priority="3740">
      <formula>SEARCH("CHIUSO",$M164)&gt;0</formula>
    </cfRule>
    <cfRule type="expression" dxfId="7064" priority="3741">
      <formula>SEARCH("EMESSO",$M164)&gt;0</formula>
    </cfRule>
    <cfRule type="expression" dxfId="7063" priority="3742">
      <formula>SEARCH("RICHIESTO",$M164)&gt;0</formula>
    </cfRule>
    <cfRule type="expression" dxfId="7062" priority="3743">
      <formula>SEARCH("DA CHIUDERE",$M164)&gt;0</formula>
    </cfRule>
    <cfRule type="expression" dxfId="7061" priority="3744">
      <formula>SEARCH("INTERROTTO",$M164)&gt;0</formula>
    </cfRule>
  </conditionalFormatting>
  <conditionalFormatting sqref="M164">
    <cfRule type="expression" dxfId="7060" priority="3733">
      <formula>SEARCH("IN CORSO",$M164)&gt;0</formula>
    </cfRule>
    <cfRule type="expression" dxfId="7059" priority="3734">
      <formula>SEARCH("CHIUSO",$M164)&gt;0</formula>
    </cfRule>
    <cfRule type="expression" dxfId="7058" priority="3735">
      <formula>SEARCH("EMESSO",$M164)&gt;0</formula>
    </cfRule>
    <cfRule type="expression" dxfId="7057" priority="3736">
      <formula>SEARCH("RICHIESTO",$M164)&gt;0</formula>
    </cfRule>
    <cfRule type="expression" dxfId="7056" priority="3737">
      <formula>SEARCH("DA CHIUDERE",$M164)&gt;0</formula>
    </cfRule>
    <cfRule type="expression" dxfId="7055" priority="3738">
      <formula>SEARCH("INTERROTTO",$M164)&gt;0</formula>
    </cfRule>
  </conditionalFormatting>
  <conditionalFormatting sqref="E163:G163 N163:Q163">
    <cfRule type="expression" dxfId="7054" priority="3727">
      <formula>SEARCH("IN CORSO",$M163)&gt;0</formula>
    </cfRule>
    <cfRule type="expression" dxfId="7053" priority="3728">
      <formula>SEARCH("CHIUSO",$M163)&gt;0</formula>
    </cfRule>
    <cfRule type="expression" dxfId="7052" priority="3729">
      <formula>SEARCH("EMESSO",$M163)&gt;0</formula>
    </cfRule>
    <cfRule type="expression" dxfId="7051" priority="3730">
      <formula>SEARCH("RICHIESTO",$M163)&gt;0</formula>
    </cfRule>
    <cfRule type="expression" dxfId="7050" priority="3731">
      <formula>SEARCH("DA CHIUDERE",$M163)&gt;0</formula>
    </cfRule>
    <cfRule type="expression" dxfId="7049" priority="3732">
      <formula>SEARCH("INTERROTTO",$M163)&gt;0</formula>
    </cfRule>
  </conditionalFormatting>
  <conditionalFormatting sqref="R163:S163">
    <cfRule type="expression" dxfId="7048" priority="3721">
      <formula>SEARCH("IN CORSO",$M163)&gt;0</formula>
    </cfRule>
    <cfRule type="expression" dxfId="7047" priority="3722">
      <formula>SEARCH("CHIUSO",$M163)&gt;0</formula>
    </cfRule>
    <cfRule type="expression" dxfId="7046" priority="3723">
      <formula>SEARCH("EMESSO",$M163)&gt;0</formula>
    </cfRule>
    <cfRule type="expression" dxfId="7045" priority="3724">
      <formula>SEARCH("RICHIESTO",$M163)&gt;0</formula>
    </cfRule>
    <cfRule type="expression" dxfId="7044" priority="3725">
      <formula>SEARCH("DA CHIUDERE",$M163)&gt;0</formula>
    </cfRule>
    <cfRule type="expression" dxfId="7043" priority="3726">
      <formula>SEARCH("INTERROTTO",$M163)&gt;0</formula>
    </cfRule>
  </conditionalFormatting>
  <conditionalFormatting sqref="M163">
    <cfRule type="expression" dxfId="7042" priority="3715">
      <formula>SEARCH("IN CORSO",$M163)&gt;0</formula>
    </cfRule>
    <cfRule type="expression" dxfId="7041" priority="3716">
      <formula>SEARCH("CHIUSO",$M163)&gt;0</formula>
    </cfRule>
    <cfRule type="expression" dxfId="7040" priority="3717">
      <formula>SEARCH("EMESSO",$M163)&gt;0</formula>
    </cfRule>
    <cfRule type="expression" dxfId="7039" priority="3718">
      <formula>SEARCH("RICHIESTO",$M163)&gt;0</formula>
    </cfRule>
    <cfRule type="expression" dxfId="7038" priority="3719">
      <formula>SEARCH("DA CHIUDERE",$M163)&gt;0</formula>
    </cfRule>
    <cfRule type="expression" dxfId="7037" priority="3720">
      <formula>SEARCH("INTERROTTO",$M163)&gt;0</formula>
    </cfRule>
  </conditionalFormatting>
  <conditionalFormatting sqref="E162:G162 N162:Q162">
    <cfRule type="expression" dxfId="7036" priority="3709">
      <formula>SEARCH("IN CORSO",$M162)&gt;0</formula>
    </cfRule>
    <cfRule type="expression" dxfId="7035" priority="3710">
      <formula>SEARCH("CHIUSO",$M162)&gt;0</formula>
    </cfRule>
    <cfRule type="expression" dxfId="7034" priority="3711">
      <formula>SEARCH("EMESSO",$M162)&gt;0</formula>
    </cfRule>
    <cfRule type="expression" dxfId="7033" priority="3712">
      <formula>SEARCH("RICHIESTO",$M162)&gt;0</formula>
    </cfRule>
    <cfRule type="expression" dxfId="7032" priority="3713">
      <formula>SEARCH("DA CHIUDERE",$M162)&gt;0</formula>
    </cfRule>
    <cfRule type="expression" dxfId="7031" priority="3714">
      <formula>SEARCH("INTERROTTO",$M162)&gt;0</formula>
    </cfRule>
  </conditionalFormatting>
  <conditionalFormatting sqref="R162:S162">
    <cfRule type="expression" dxfId="7030" priority="3703">
      <formula>SEARCH("IN CORSO",$M162)&gt;0</formula>
    </cfRule>
    <cfRule type="expression" dxfId="7029" priority="3704">
      <formula>SEARCH("CHIUSO",$M162)&gt;0</formula>
    </cfRule>
    <cfRule type="expression" dxfId="7028" priority="3705">
      <formula>SEARCH("EMESSO",$M162)&gt;0</formula>
    </cfRule>
    <cfRule type="expression" dxfId="7027" priority="3706">
      <formula>SEARCH("RICHIESTO",$M162)&gt;0</formula>
    </cfRule>
    <cfRule type="expression" dxfId="7026" priority="3707">
      <formula>SEARCH("DA CHIUDERE",$M162)&gt;0</formula>
    </cfRule>
    <cfRule type="expression" dxfId="7025" priority="3708">
      <formula>SEARCH("INTERROTTO",$M162)&gt;0</formula>
    </cfRule>
  </conditionalFormatting>
  <conditionalFormatting sqref="M162">
    <cfRule type="expression" dxfId="7024" priority="3697">
      <formula>SEARCH("IN CORSO",$M162)&gt;0</formula>
    </cfRule>
    <cfRule type="expression" dxfId="7023" priority="3698">
      <formula>SEARCH("CHIUSO",$M162)&gt;0</formula>
    </cfRule>
    <cfRule type="expression" dxfId="7022" priority="3699">
      <formula>SEARCH("EMESSO",$M162)&gt;0</formula>
    </cfRule>
    <cfRule type="expression" dxfId="7021" priority="3700">
      <formula>SEARCH("RICHIESTO",$M162)&gt;0</formula>
    </cfRule>
    <cfRule type="expression" dxfId="7020" priority="3701">
      <formula>SEARCH("DA CHIUDERE",$M162)&gt;0</formula>
    </cfRule>
    <cfRule type="expression" dxfId="7019" priority="3702">
      <formula>SEARCH("INTERROTTO",$M162)&gt;0</formula>
    </cfRule>
  </conditionalFormatting>
  <conditionalFormatting sqref="E161:G161 N161:Q161">
    <cfRule type="expression" dxfId="7018" priority="3691">
      <formula>SEARCH("IN CORSO",$M161)&gt;0</formula>
    </cfRule>
    <cfRule type="expression" dxfId="7017" priority="3692">
      <formula>SEARCH("CHIUSO",$M161)&gt;0</formula>
    </cfRule>
    <cfRule type="expression" dxfId="7016" priority="3693">
      <formula>SEARCH("EMESSO",$M161)&gt;0</formula>
    </cfRule>
    <cfRule type="expression" dxfId="7015" priority="3694">
      <formula>SEARCH("RICHIESTO",$M161)&gt;0</formula>
    </cfRule>
    <cfRule type="expression" dxfId="7014" priority="3695">
      <formula>SEARCH("DA CHIUDERE",$M161)&gt;0</formula>
    </cfRule>
    <cfRule type="expression" dxfId="7013" priority="3696">
      <formula>SEARCH("INTERROTTO",$M161)&gt;0</formula>
    </cfRule>
  </conditionalFormatting>
  <conditionalFormatting sqref="R161:S161">
    <cfRule type="expression" dxfId="7012" priority="3685">
      <formula>SEARCH("IN CORSO",$M161)&gt;0</formula>
    </cfRule>
    <cfRule type="expression" dxfId="7011" priority="3686">
      <formula>SEARCH("CHIUSO",$M161)&gt;0</formula>
    </cfRule>
    <cfRule type="expression" dxfId="7010" priority="3687">
      <formula>SEARCH("EMESSO",$M161)&gt;0</formula>
    </cfRule>
    <cfRule type="expression" dxfId="7009" priority="3688">
      <formula>SEARCH("RICHIESTO",$M161)&gt;0</formula>
    </cfRule>
    <cfRule type="expression" dxfId="7008" priority="3689">
      <formula>SEARCH("DA CHIUDERE",$M161)&gt;0</formula>
    </cfRule>
    <cfRule type="expression" dxfId="7007" priority="3690">
      <formula>SEARCH("INTERROTTO",$M161)&gt;0</formula>
    </cfRule>
  </conditionalFormatting>
  <conditionalFormatting sqref="M161">
    <cfRule type="expression" dxfId="7006" priority="3679">
      <formula>SEARCH("IN CORSO",$M161)&gt;0</formula>
    </cfRule>
    <cfRule type="expression" dxfId="7005" priority="3680">
      <formula>SEARCH("CHIUSO",$M161)&gt;0</formula>
    </cfRule>
    <cfRule type="expression" dxfId="7004" priority="3681">
      <formula>SEARCH("EMESSO",$M161)&gt;0</formula>
    </cfRule>
    <cfRule type="expression" dxfId="7003" priority="3682">
      <formula>SEARCH("RICHIESTO",$M161)&gt;0</formula>
    </cfRule>
    <cfRule type="expression" dxfId="7002" priority="3683">
      <formula>SEARCH("DA CHIUDERE",$M161)&gt;0</formula>
    </cfRule>
    <cfRule type="expression" dxfId="7001" priority="3684">
      <formula>SEARCH("INTERROTTO",$M161)&gt;0</formula>
    </cfRule>
  </conditionalFormatting>
  <conditionalFormatting sqref="E160:G160 N160:Q160">
    <cfRule type="expression" dxfId="7000" priority="3673">
      <formula>SEARCH("IN CORSO",$M160)&gt;0</formula>
    </cfRule>
    <cfRule type="expression" dxfId="6999" priority="3674">
      <formula>SEARCH("CHIUSO",$M160)&gt;0</formula>
    </cfRule>
    <cfRule type="expression" dxfId="6998" priority="3675">
      <formula>SEARCH("EMESSO",$M160)&gt;0</formula>
    </cfRule>
    <cfRule type="expression" dxfId="6997" priority="3676">
      <formula>SEARCH("RICHIESTO",$M160)&gt;0</formula>
    </cfRule>
    <cfRule type="expression" dxfId="6996" priority="3677">
      <formula>SEARCH("DA CHIUDERE",$M160)&gt;0</formula>
    </cfRule>
    <cfRule type="expression" dxfId="6995" priority="3678">
      <formula>SEARCH("INTERROTTO",$M160)&gt;0</formula>
    </cfRule>
  </conditionalFormatting>
  <conditionalFormatting sqref="R160:S160">
    <cfRule type="expression" dxfId="6994" priority="3667">
      <formula>SEARCH("IN CORSO",$M160)&gt;0</formula>
    </cfRule>
    <cfRule type="expression" dxfId="6993" priority="3668">
      <formula>SEARCH("CHIUSO",$M160)&gt;0</formula>
    </cfRule>
    <cfRule type="expression" dxfId="6992" priority="3669">
      <formula>SEARCH("EMESSO",$M160)&gt;0</formula>
    </cfRule>
    <cfRule type="expression" dxfId="6991" priority="3670">
      <formula>SEARCH("RICHIESTO",$M160)&gt;0</formula>
    </cfRule>
    <cfRule type="expression" dxfId="6990" priority="3671">
      <formula>SEARCH("DA CHIUDERE",$M160)&gt;0</formula>
    </cfRule>
    <cfRule type="expression" dxfId="6989" priority="3672">
      <formula>SEARCH("INTERROTTO",$M160)&gt;0</formula>
    </cfRule>
  </conditionalFormatting>
  <conditionalFormatting sqref="M160">
    <cfRule type="expression" dxfId="6988" priority="3661">
      <formula>SEARCH("IN CORSO",$M160)&gt;0</formula>
    </cfRule>
    <cfRule type="expression" dxfId="6987" priority="3662">
      <formula>SEARCH("CHIUSO",$M160)&gt;0</formula>
    </cfRule>
    <cfRule type="expression" dxfId="6986" priority="3663">
      <formula>SEARCH("EMESSO",$M160)&gt;0</formula>
    </cfRule>
    <cfRule type="expression" dxfId="6985" priority="3664">
      <formula>SEARCH("RICHIESTO",$M160)&gt;0</formula>
    </cfRule>
    <cfRule type="expression" dxfId="6984" priority="3665">
      <formula>SEARCH("DA CHIUDERE",$M160)&gt;0</formula>
    </cfRule>
    <cfRule type="expression" dxfId="6983" priority="3666">
      <formula>SEARCH("INTERROTTO",$M160)&gt;0</formula>
    </cfRule>
  </conditionalFormatting>
  <conditionalFormatting sqref="E159:G159 N159:Q159">
    <cfRule type="expression" dxfId="6982" priority="3655">
      <formula>SEARCH("IN CORSO",$M159)&gt;0</formula>
    </cfRule>
    <cfRule type="expression" dxfId="6981" priority="3656">
      <formula>SEARCH("CHIUSO",$M159)&gt;0</formula>
    </cfRule>
    <cfRule type="expression" dxfId="6980" priority="3657">
      <formula>SEARCH("EMESSO",$M159)&gt;0</formula>
    </cfRule>
    <cfRule type="expression" dxfId="6979" priority="3658">
      <formula>SEARCH("RICHIESTO",$M159)&gt;0</formula>
    </cfRule>
    <cfRule type="expression" dxfId="6978" priority="3659">
      <formula>SEARCH("DA CHIUDERE",$M159)&gt;0</formula>
    </cfRule>
    <cfRule type="expression" dxfId="6977" priority="3660">
      <formula>SEARCH("INTERROTTO",$M159)&gt;0</formula>
    </cfRule>
  </conditionalFormatting>
  <conditionalFormatting sqref="R159:S159">
    <cfRule type="expression" dxfId="6976" priority="3649">
      <formula>SEARCH("IN CORSO",$M159)&gt;0</formula>
    </cfRule>
    <cfRule type="expression" dxfId="6975" priority="3650">
      <formula>SEARCH("CHIUSO",$M159)&gt;0</formula>
    </cfRule>
    <cfRule type="expression" dxfId="6974" priority="3651">
      <formula>SEARCH("EMESSO",$M159)&gt;0</formula>
    </cfRule>
    <cfRule type="expression" dxfId="6973" priority="3652">
      <formula>SEARCH("RICHIESTO",$M159)&gt;0</formula>
    </cfRule>
    <cfRule type="expression" dxfId="6972" priority="3653">
      <formula>SEARCH("DA CHIUDERE",$M159)&gt;0</formula>
    </cfRule>
    <cfRule type="expression" dxfId="6971" priority="3654">
      <formula>SEARCH("INTERROTTO",$M159)&gt;0</formula>
    </cfRule>
  </conditionalFormatting>
  <conditionalFormatting sqref="M159">
    <cfRule type="expression" dxfId="6970" priority="3643">
      <formula>SEARCH("IN CORSO",$M159)&gt;0</formula>
    </cfRule>
    <cfRule type="expression" dxfId="6969" priority="3644">
      <formula>SEARCH("CHIUSO",$M159)&gt;0</formula>
    </cfRule>
    <cfRule type="expression" dxfId="6968" priority="3645">
      <formula>SEARCH("EMESSO",$M159)&gt;0</formula>
    </cfRule>
    <cfRule type="expression" dxfId="6967" priority="3646">
      <formula>SEARCH("RICHIESTO",$M159)&gt;0</formula>
    </cfRule>
    <cfRule type="expression" dxfId="6966" priority="3647">
      <formula>SEARCH("DA CHIUDERE",$M159)&gt;0</formula>
    </cfRule>
    <cfRule type="expression" dxfId="6965" priority="3648">
      <formula>SEARCH("INTERROTTO",$M159)&gt;0</formula>
    </cfRule>
  </conditionalFormatting>
  <conditionalFormatting sqref="E158:G158 N158:Q158">
    <cfRule type="expression" dxfId="6964" priority="3637">
      <formula>SEARCH("IN CORSO",$M158)&gt;0</formula>
    </cfRule>
    <cfRule type="expression" dxfId="6963" priority="3638">
      <formula>SEARCH("CHIUSO",$M158)&gt;0</formula>
    </cfRule>
    <cfRule type="expression" dxfId="6962" priority="3639">
      <formula>SEARCH("EMESSO",$M158)&gt;0</formula>
    </cfRule>
    <cfRule type="expression" dxfId="6961" priority="3640">
      <formula>SEARCH("RICHIESTO",$M158)&gt;0</formula>
    </cfRule>
    <cfRule type="expression" dxfId="6960" priority="3641">
      <formula>SEARCH("DA CHIUDERE",$M158)&gt;0</formula>
    </cfRule>
    <cfRule type="expression" dxfId="6959" priority="3642">
      <formula>SEARCH("INTERROTTO",$M158)&gt;0</formula>
    </cfRule>
  </conditionalFormatting>
  <conditionalFormatting sqref="R158:S158">
    <cfRule type="expression" dxfId="6958" priority="3631">
      <formula>SEARCH("IN CORSO",$M158)&gt;0</formula>
    </cfRule>
    <cfRule type="expression" dxfId="6957" priority="3632">
      <formula>SEARCH("CHIUSO",$M158)&gt;0</formula>
    </cfRule>
    <cfRule type="expression" dxfId="6956" priority="3633">
      <formula>SEARCH("EMESSO",$M158)&gt;0</formula>
    </cfRule>
    <cfRule type="expression" dxfId="6955" priority="3634">
      <formula>SEARCH("RICHIESTO",$M158)&gt;0</formula>
    </cfRule>
    <cfRule type="expression" dxfId="6954" priority="3635">
      <formula>SEARCH("DA CHIUDERE",$M158)&gt;0</formula>
    </cfRule>
    <cfRule type="expression" dxfId="6953" priority="3636">
      <formula>SEARCH("INTERROTTO",$M158)&gt;0</formula>
    </cfRule>
  </conditionalFormatting>
  <conditionalFormatting sqref="M158">
    <cfRule type="expression" dxfId="6952" priority="3625">
      <formula>SEARCH("IN CORSO",$M158)&gt;0</formula>
    </cfRule>
    <cfRule type="expression" dxfId="6951" priority="3626">
      <formula>SEARCH("CHIUSO",$M158)&gt;0</formula>
    </cfRule>
    <cfRule type="expression" dxfId="6950" priority="3627">
      <formula>SEARCH("EMESSO",$M158)&gt;0</formula>
    </cfRule>
    <cfRule type="expression" dxfId="6949" priority="3628">
      <formula>SEARCH("RICHIESTO",$M158)&gt;0</formula>
    </cfRule>
    <cfRule type="expression" dxfId="6948" priority="3629">
      <formula>SEARCH("DA CHIUDERE",$M158)&gt;0</formula>
    </cfRule>
    <cfRule type="expression" dxfId="6947" priority="3630">
      <formula>SEARCH("INTERROTTO",$M158)&gt;0</formula>
    </cfRule>
  </conditionalFormatting>
  <conditionalFormatting sqref="E157:G157 N157:Q157">
    <cfRule type="expression" dxfId="6946" priority="3619">
      <formula>SEARCH("IN CORSO",$M157)&gt;0</formula>
    </cfRule>
    <cfRule type="expression" dxfId="6945" priority="3620">
      <formula>SEARCH("CHIUSO",$M157)&gt;0</formula>
    </cfRule>
    <cfRule type="expression" dxfId="6944" priority="3621">
      <formula>SEARCH("EMESSO",$M157)&gt;0</formula>
    </cfRule>
    <cfRule type="expression" dxfId="6943" priority="3622">
      <formula>SEARCH("RICHIESTO",$M157)&gt;0</formula>
    </cfRule>
    <cfRule type="expression" dxfId="6942" priority="3623">
      <formula>SEARCH("DA CHIUDERE",$M157)&gt;0</formula>
    </cfRule>
    <cfRule type="expression" dxfId="6941" priority="3624">
      <formula>SEARCH("INTERROTTO",$M157)&gt;0</formula>
    </cfRule>
  </conditionalFormatting>
  <conditionalFormatting sqref="R157:S157">
    <cfRule type="expression" dxfId="6940" priority="3613">
      <formula>SEARCH("IN CORSO",$M157)&gt;0</formula>
    </cfRule>
    <cfRule type="expression" dxfId="6939" priority="3614">
      <formula>SEARCH("CHIUSO",$M157)&gt;0</formula>
    </cfRule>
    <cfRule type="expression" dxfId="6938" priority="3615">
      <formula>SEARCH("EMESSO",$M157)&gt;0</formula>
    </cfRule>
    <cfRule type="expression" dxfId="6937" priority="3616">
      <formula>SEARCH("RICHIESTO",$M157)&gt;0</formula>
    </cfRule>
    <cfRule type="expression" dxfId="6936" priority="3617">
      <formula>SEARCH("DA CHIUDERE",$M157)&gt;0</formula>
    </cfRule>
    <cfRule type="expression" dxfId="6935" priority="3618">
      <formula>SEARCH("INTERROTTO",$M157)&gt;0</formula>
    </cfRule>
  </conditionalFormatting>
  <conditionalFormatting sqref="M157">
    <cfRule type="expression" dxfId="6934" priority="3607">
      <formula>SEARCH("IN CORSO",$M157)&gt;0</formula>
    </cfRule>
    <cfRule type="expression" dxfId="6933" priority="3608">
      <formula>SEARCH("CHIUSO",$M157)&gt;0</formula>
    </cfRule>
    <cfRule type="expression" dxfId="6932" priority="3609">
      <formula>SEARCH("EMESSO",$M157)&gt;0</formula>
    </cfRule>
    <cfRule type="expression" dxfId="6931" priority="3610">
      <formula>SEARCH("RICHIESTO",$M157)&gt;0</formula>
    </cfRule>
    <cfRule type="expression" dxfId="6930" priority="3611">
      <formula>SEARCH("DA CHIUDERE",$M157)&gt;0</formula>
    </cfRule>
    <cfRule type="expression" dxfId="6929" priority="3612">
      <formula>SEARCH("INTERROTTO",$M157)&gt;0</formula>
    </cfRule>
  </conditionalFormatting>
  <conditionalFormatting sqref="E156:G156 N156:Q156">
    <cfRule type="expression" dxfId="6928" priority="3601">
      <formula>SEARCH("IN CORSO",$M156)&gt;0</formula>
    </cfRule>
    <cfRule type="expression" dxfId="6927" priority="3602">
      <formula>SEARCH("CHIUSO",$M156)&gt;0</formula>
    </cfRule>
    <cfRule type="expression" dxfId="6926" priority="3603">
      <formula>SEARCH("EMESSO",$M156)&gt;0</formula>
    </cfRule>
    <cfRule type="expression" dxfId="6925" priority="3604">
      <formula>SEARCH("RICHIESTO",$M156)&gt;0</formula>
    </cfRule>
    <cfRule type="expression" dxfId="6924" priority="3605">
      <formula>SEARCH("DA CHIUDERE",$M156)&gt;0</formula>
    </cfRule>
    <cfRule type="expression" dxfId="6923" priority="3606">
      <formula>SEARCH("INTERROTTO",$M156)&gt;0</formula>
    </cfRule>
  </conditionalFormatting>
  <conditionalFormatting sqref="R156:S156">
    <cfRule type="expression" dxfId="6922" priority="3595">
      <formula>SEARCH("IN CORSO",$M156)&gt;0</formula>
    </cfRule>
    <cfRule type="expression" dxfId="6921" priority="3596">
      <formula>SEARCH("CHIUSO",$M156)&gt;0</formula>
    </cfRule>
    <cfRule type="expression" dxfId="6920" priority="3597">
      <formula>SEARCH("EMESSO",$M156)&gt;0</formula>
    </cfRule>
    <cfRule type="expression" dxfId="6919" priority="3598">
      <formula>SEARCH("RICHIESTO",$M156)&gt;0</formula>
    </cfRule>
    <cfRule type="expression" dxfId="6918" priority="3599">
      <formula>SEARCH("DA CHIUDERE",$M156)&gt;0</formula>
    </cfRule>
    <cfRule type="expression" dxfId="6917" priority="3600">
      <formula>SEARCH("INTERROTTO",$M156)&gt;0</formula>
    </cfRule>
  </conditionalFormatting>
  <conditionalFormatting sqref="M156">
    <cfRule type="expression" dxfId="6916" priority="3589">
      <formula>SEARCH("IN CORSO",$M156)&gt;0</formula>
    </cfRule>
    <cfRule type="expression" dxfId="6915" priority="3590">
      <formula>SEARCH("CHIUSO",$M156)&gt;0</formula>
    </cfRule>
    <cfRule type="expression" dxfId="6914" priority="3591">
      <formula>SEARCH("EMESSO",$M156)&gt;0</formula>
    </cfRule>
    <cfRule type="expression" dxfId="6913" priority="3592">
      <formula>SEARCH("RICHIESTO",$M156)&gt;0</formula>
    </cfRule>
    <cfRule type="expression" dxfId="6912" priority="3593">
      <formula>SEARCH("DA CHIUDERE",$M156)&gt;0</formula>
    </cfRule>
    <cfRule type="expression" dxfId="6911" priority="3594">
      <formula>SEARCH("INTERROTTO",$M156)&gt;0</formula>
    </cfRule>
  </conditionalFormatting>
  <conditionalFormatting sqref="E155:G155 N155:Q155">
    <cfRule type="expression" dxfId="6910" priority="3583">
      <formula>SEARCH("IN CORSO",$M155)&gt;0</formula>
    </cfRule>
    <cfRule type="expression" dxfId="6909" priority="3584">
      <formula>SEARCH("CHIUSO",$M155)&gt;0</formula>
    </cfRule>
    <cfRule type="expression" dxfId="6908" priority="3585">
      <formula>SEARCH("EMESSO",$M155)&gt;0</formula>
    </cfRule>
    <cfRule type="expression" dxfId="6907" priority="3586">
      <formula>SEARCH("RICHIESTO",$M155)&gt;0</formula>
    </cfRule>
    <cfRule type="expression" dxfId="6906" priority="3587">
      <formula>SEARCH("DA CHIUDERE",$M155)&gt;0</formula>
    </cfRule>
    <cfRule type="expression" dxfId="6905" priority="3588">
      <formula>SEARCH("INTERROTTO",$M155)&gt;0</formula>
    </cfRule>
  </conditionalFormatting>
  <conditionalFormatting sqref="R155:S155">
    <cfRule type="expression" dxfId="6904" priority="3577">
      <formula>SEARCH("IN CORSO",$M155)&gt;0</formula>
    </cfRule>
    <cfRule type="expression" dxfId="6903" priority="3578">
      <formula>SEARCH("CHIUSO",$M155)&gt;0</formula>
    </cfRule>
    <cfRule type="expression" dxfId="6902" priority="3579">
      <formula>SEARCH("EMESSO",$M155)&gt;0</formula>
    </cfRule>
    <cfRule type="expression" dxfId="6901" priority="3580">
      <formula>SEARCH("RICHIESTO",$M155)&gt;0</formula>
    </cfRule>
    <cfRule type="expression" dxfId="6900" priority="3581">
      <formula>SEARCH("DA CHIUDERE",$M155)&gt;0</formula>
    </cfRule>
    <cfRule type="expression" dxfId="6899" priority="3582">
      <formula>SEARCH("INTERROTTO",$M155)&gt;0</formula>
    </cfRule>
  </conditionalFormatting>
  <conditionalFormatting sqref="M155">
    <cfRule type="expression" dxfId="6898" priority="3571">
      <formula>SEARCH("IN CORSO",$M155)&gt;0</formula>
    </cfRule>
    <cfRule type="expression" dxfId="6897" priority="3572">
      <formula>SEARCH("CHIUSO",$M155)&gt;0</formula>
    </cfRule>
    <cfRule type="expression" dxfId="6896" priority="3573">
      <formula>SEARCH("EMESSO",$M155)&gt;0</formula>
    </cfRule>
    <cfRule type="expression" dxfId="6895" priority="3574">
      <formula>SEARCH("RICHIESTO",$M155)&gt;0</formula>
    </cfRule>
    <cfRule type="expression" dxfId="6894" priority="3575">
      <formula>SEARCH("DA CHIUDERE",$M155)&gt;0</formula>
    </cfRule>
    <cfRule type="expression" dxfId="6893" priority="3576">
      <formula>SEARCH("INTERROTTO",$M155)&gt;0</formula>
    </cfRule>
  </conditionalFormatting>
  <conditionalFormatting sqref="E154:G154 N154:Q154">
    <cfRule type="expression" dxfId="6892" priority="3565">
      <formula>SEARCH("IN CORSO",$M154)&gt;0</formula>
    </cfRule>
    <cfRule type="expression" dxfId="6891" priority="3566">
      <formula>SEARCH("CHIUSO",$M154)&gt;0</formula>
    </cfRule>
    <cfRule type="expression" dxfId="6890" priority="3567">
      <formula>SEARCH("EMESSO",$M154)&gt;0</formula>
    </cfRule>
    <cfRule type="expression" dxfId="6889" priority="3568">
      <formula>SEARCH("RICHIESTO",$M154)&gt;0</formula>
    </cfRule>
    <cfRule type="expression" dxfId="6888" priority="3569">
      <formula>SEARCH("DA CHIUDERE",$M154)&gt;0</formula>
    </cfRule>
    <cfRule type="expression" dxfId="6887" priority="3570">
      <formula>SEARCH("INTERROTTO",$M154)&gt;0</formula>
    </cfRule>
  </conditionalFormatting>
  <conditionalFormatting sqref="R154:S154">
    <cfRule type="expression" dxfId="6886" priority="3559">
      <formula>SEARCH("IN CORSO",$M154)&gt;0</formula>
    </cfRule>
    <cfRule type="expression" dxfId="6885" priority="3560">
      <formula>SEARCH("CHIUSO",$M154)&gt;0</formula>
    </cfRule>
    <cfRule type="expression" dxfId="6884" priority="3561">
      <formula>SEARCH("EMESSO",$M154)&gt;0</formula>
    </cfRule>
    <cfRule type="expression" dxfId="6883" priority="3562">
      <formula>SEARCH("RICHIESTO",$M154)&gt;0</formula>
    </cfRule>
    <cfRule type="expression" dxfId="6882" priority="3563">
      <formula>SEARCH("DA CHIUDERE",$M154)&gt;0</formula>
    </cfRule>
    <cfRule type="expression" dxfId="6881" priority="3564">
      <formula>SEARCH("INTERROTTO",$M154)&gt;0</formula>
    </cfRule>
  </conditionalFormatting>
  <conditionalFormatting sqref="M154">
    <cfRule type="expression" dxfId="6880" priority="3553">
      <formula>SEARCH("IN CORSO",$M154)&gt;0</formula>
    </cfRule>
    <cfRule type="expression" dxfId="6879" priority="3554">
      <formula>SEARCH("CHIUSO",$M154)&gt;0</formula>
    </cfRule>
    <cfRule type="expression" dxfId="6878" priority="3555">
      <formula>SEARCH("EMESSO",$M154)&gt;0</formula>
    </cfRule>
    <cfRule type="expression" dxfId="6877" priority="3556">
      <formula>SEARCH("RICHIESTO",$M154)&gt;0</formula>
    </cfRule>
    <cfRule type="expression" dxfId="6876" priority="3557">
      <formula>SEARCH("DA CHIUDERE",$M154)&gt;0</formula>
    </cfRule>
    <cfRule type="expression" dxfId="6875" priority="3558">
      <formula>SEARCH("INTERROTTO",$M154)&gt;0</formula>
    </cfRule>
  </conditionalFormatting>
  <conditionalFormatting sqref="E153:G153 N153:Q153">
    <cfRule type="expression" dxfId="6874" priority="3547">
      <formula>SEARCH("IN CORSO",$M153)&gt;0</formula>
    </cfRule>
    <cfRule type="expression" dxfId="6873" priority="3548">
      <formula>SEARCH("CHIUSO",$M153)&gt;0</formula>
    </cfRule>
    <cfRule type="expression" dxfId="6872" priority="3549">
      <formula>SEARCH("EMESSO",$M153)&gt;0</formula>
    </cfRule>
    <cfRule type="expression" dxfId="6871" priority="3550">
      <formula>SEARCH("RICHIESTO",$M153)&gt;0</formula>
    </cfRule>
    <cfRule type="expression" dxfId="6870" priority="3551">
      <formula>SEARCH("DA CHIUDERE",$M153)&gt;0</formula>
    </cfRule>
    <cfRule type="expression" dxfId="6869" priority="3552">
      <formula>SEARCH("INTERROTTO",$M153)&gt;0</formula>
    </cfRule>
  </conditionalFormatting>
  <conditionalFormatting sqref="R153:S153">
    <cfRule type="expression" dxfId="6868" priority="3541">
      <formula>SEARCH("IN CORSO",$M153)&gt;0</formula>
    </cfRule>
    <cfRule type="expression" dxfId="6867" priority="3542">
      <formula>SEARCH("CHIUSO",$M153)&gt;0</formula>
    </cfRule>
    <cfRule type="expression" dxfId="6866" priority="3543">
      <formula>SEARCH("EMESSO",$M153)&gt;0</formula>
    </cfRule>
    <cfRule type="expression" dxfId="6865" priority="3544">
      <formula>SEARCH("RICHIESTO",$M153)&gt;0</formula>
    </cfRule>
    <cfRule type="expression" dxfId="6864" priority="3545">
      <formula>SEARCH("DA CHIUDERE",$M153)&gt;0</formula>
    </cfRule>
    <cfRule type="expression" dxfId="6863" priority="3546">
      <formula>SEARCH("INTERROTTO",$M153)&gt;0</formula>
    </cfRule>
  </conditionalFormatting>
  <conditionalFormatting sqref="M153">
    <cfRule type="expression" dxfId="6862" priority="3535">
      <formula>SEARCH("IN CORSO",$M153)&gt;0</formula>
    </cfRule>
    <cfRule type="expression" dxfId="6861" priority="3536">
      <formula>SEARCH("CHIUSO",$M153)&gt;0</formula>
    </cfRule>
    <cfRule type="expression" dxfId="6860" priority="3537">
      <formula>SEARCH("EMESSO",$M153)&gt;0</formula>
    </cfRule>
    <cfRule type="expression" dxfId="6859" priority="3538">
      <formula>SEARCH("RICHIESTO",$M153)&gt;0</formula>
    </cfRule>
    <cfRule type="expression" dxfId="6858" priority="3539">
      <formula>SEARCH("DA CHIUDERE",$M153)&gt;0</formula>
    </cfRule>
    <cfRule type="expression" dxfId="6857" priority="3540">
      <formula>SEARCH("INTERROTTO",$M153)&gt;0</formula>
    </cfRule>
  </conditionalFormatting>
  <conditionalFormatting sqref="E152:G152 N152:Q152">
    <cfRule type="expression" dxfId="6856" priority="3529">
      <formula>SEARCH("IN CORSO",$M152)&gt;0</formula>
    </cfRule>
    <cfRule type="expression" dxfId="6855" priority="3530">
      <formula>SEARCH("CHIUSO",$M152)&gt;0</formula>
    </cfRule>
    <cfRule type="expression" dxfId="6854" priority="3531">
      <formula>SEARCH("EMESSO",$M152)&gt;0</formula>
    </cfRule>
    <cfRule type="expression" dxfId="6853" priority="3532">
      <formula>SEARCH("RICHIESTO",$M152)&gt;0</formula>
    </cfRule>
    <cfRule type="expression" dxfId="6852" priority="3533">
      <formula>SEARCH("DA CHIUDERE",$M152)&gt;0</formula>
    </cfRule>
    <cfRule type="expression" dxfId="6851" priority="3534">
      <formula>SEARCH("INTERROTTO",$M152)&gt;0</formula>
    </cfRule>
  </conditionalFormatting>
  <conditionalFormatting sqref="R152:S152">
    <cfRule type="expression" dxfId="6850" priority="3523">
      <formula>SEARCH("IN CORSO",$M152)&gt;0</formula>
    </cfRule>
    <cfRule type="expression" dxfId="6849" priority="3524">
      <formula>SEARCH("CHIUSO",$M152)&gt;0</formula>
    </cfRule>
    <cfRule type="expression" dxfId="6848" priority="3525">
      <formula>SEARCH("EMESSO",$M152)&gt;0</formula>
    </cfRule>
    <cfRule type="expression" dxfId="6847" priority="3526">
      <formula>SEARCH("RICHIESTO",$M152)&gt;0</formula>
    </cfRule>
    <cfRule type="expression" dxfId="6846" priority="3527">
      <formula>SEARCH("DA CHIUDERE",$M152)&gt;0</formula>
    </cfRule>
    <cfRule type="expression" dxfId="6845" priority="3528">
      <formula>SEARCH("INTERROTTO",$M152)&gt;0</formula>
    </cfRule>
  </conditionalFormatting>
  <conditionalFormatting sqref="M152">
    <cfRule type="expression" dxfId="6844" priority="3517">
      <formula>SEARCH("IN CORSO",$M152)&gt;0</formula>
    </cfRule>
    <cfRule type="expression" dxfId="6843" priority="3518">
      <formula>SEARCH("CHIUSO",$M152)&gt;0</formula>
    </cfRule>
    <cfRule type="expression" dxfId="6842" priority="3519">
      <formula>SEARCH("EMESSO",$M152)&gt;0</formula>
    </cfRule>
    <cfRule type="expression" dxfId="6841" priority="3520">
      <formula>SEARCH("RICHIESTO",$M152)&gt;0</formula>
    </cfRule>
    <cfRule type="expression" dxfId="6840" priority="3521">
      <formula>SEARCH("DA CHIUDERE",$M152)&gt;0</formula>
    </cfRule>
    <cfRule type="expression" dxfId="6839" priority="3522">
      <formula>SEARCH("INTERROTTO",$M152)&gt;0</formula>
    </cfRule>
  </conditionalFormatting>
  <conditionalFormatting sqref="E151:G151 N151:Q151">
    <cfRule type="expression" dxfId="6838" priority="3511">
      <formula>SEARCH("IN CORSO",$M151)&gt;0</formula>
    </cfRule>
    <cfRule type="expression" dxfId="6837" priority="3512">
      <formula>SEARCH("CHIUSO",$M151)&gt;0</formula>
    </cfRule>
    <cfRule type="expression" dxfId="6836" priority="3513">
      <formula>SEARCH("EMESSO",$M151)&gt;0</formula>
    </cfRule>
    <cfRule type="expression" dxfId="6835" priority="3514">
      <formula>SEARCH("RICHIESTO",$M151)&gt;0</formula>
    </cfRule>
    <cfRule type="expression" dxfId="6834" priority="3515">
      <formula>SEARCH("DA CHIUDERE",$M151)&gt;0</formula>
    </cfRule>
    <cfRule type="expression" dxfId="6833" priority="3516">
      <formula>SEARCH("INTERROTTO",$M151)&gt;0</formula>
    </cfRule>
  </conditionalFormatting>
  <conditionalFormatting sqref="R151:S151">
    <cfRule type="expression" dxfId="6832" priority="3505">
      <formula>SEARCH("IN CORSO",$M151)&gt;0</formula>
    </cfRule>
    <cfRule type="expression" dxfId="6831" priority="3506">
      <formula>SEARCH("CHIUSO",$M151)&gt;0</formula>
    </cfRule>
    <cfRule type="expression" dxfId="6830" priority="3507">
      <formula>SEARCH("EMESSO",$M151)&gt;0</formula>
    </cfRule>
    <cfRule type="expression" dxfId="6829" priority="3508">
      <formula>SEARCH("RICHIESTO",$M151)&gt;0</formula>
    </cfRule>
    <cfRule type="expression" dxfId="6828" priority="3509">
      <formula>SEARCH("DA CHIUDERE",$M151)&gt;0</formula>
    </cfRule>
    <cfRule type="expression" dxfId="6827" priority="3510">
      <formula>SEARCH("INTERROTTO",$M151)&gt;0</formula>
    </cfRule>
  </conditionalFormatting>
  <conditionalFormatting sqref="M151">
    <cfRule type="expression" dxfId="6826" priority="3499">
      <formula>SEARCH("IN CORSO",$M151)&gt;0</formula>
    </cfRule>
    <cfRule type="expression" dxfId="6825" priority="3500">
      <formula>SEARCH("CHIUSO",$M151)&gt;0</formula>
    </cfRule>
    <cfRule type="expression" dxfId="6824" priority="3501">
      <formula>SEARCH("EMESSO",$M151)&gt;0</formula>
    </cfRule>
    <cfRule type="expression" dxfId="6823" priority="3502">
      <formula>SEARCH("RICHIESTO",$M151)&gt;0</formula>
    </cfRule>
    <cfRule type="expression" dxfId="6822" priority="3503">
      <formula>SEARCH("DA CHIUDERE",$M151)&gt;0</formula>
    </cfRule>
    <cfRule type="expression" dxfId="6821" priority="3504">
      <formula>SEARCH("INTERROTTO",$M151)&gt;0</formula>
    </cfRule>
  </conditionalFormatting>
  <conditionalFormatting sqref="E150:G150 N150:Q150">
    <cfRule type="expression" dxfId="6820" priority="3493">
      <formula>SEARCH("IN CORSO",$M150)&gt;0</formula>
    </cfRule>
    <cfRule type="expression" dxfId="6819" priority="3494">
      <formula>SEARCH("CHIUSO",$M150)&gt;0</formula>
    </cfRule>
    <cfRule type="expression" dxfId="6818" priority="3495">
      <formula>SEARCH("EMESSO",$M150)&gt;0</formula>
    </cfRule>
    <cfRule type="expression" dxfId="6817" priority="3496">
      <formula>SEARCH("RICHIESTO",$M150)&gt;0</formula>
    </cfRule>
    <cfRule type="expression" dxfId="6816" priority="3497">
      <formula>SEARCH("DA CHIUDERE",$M150)&gt;0</formula>
    </cfRule>
    <cfRule type="expression" dxfId="6815" priority="3498">
      <formula>SEARCH("INTERROTTO",$M150)&gt;0</formula>
    </cfRule>
  </conditionalFormatting>
  <conditionalFormatting sqref="R150:S150">
    <cfRule type="expression" dxfId="6814" priority="3487">
      <formula>SEARCH("IN CORSO",$M150)&gt;0</formula>
    </cfRule>
    <cfRule type="expression" dxfId="6813" priority="3488">
      <formula>SEARCH("CHIUSO",$M150)&gt;0</formula>
    </cfRule>
    <cfRule type="expression" dxfId="6812" priority="3489">
      <formula>SEARCH("EMESSO",$M150)&gt;0</formula>
    </cfRule>
    <cfRule type="expression" dxfId="6811" priority="3490">
      <formula>SEARCH("RICHIESTO",$M150)&gt;0</formula>
    </cfRule>
    <cfRule type="expression" dxfId="6810" priority="3491">
      <formula>SEARCH("DA CHIUDERE",$M150)&gt;0</formula>
    </cfRule>
    <cfRule type="expression" dxfId="6809" priority="3492">
      <formula>SEARCH("INTERROTTO",$M150)&gt;0</formula>
    </cfRule>
  </conditionalFormatting>
  <conditionalFormatting sqref="M150">
    <cfRule type="expression" dxfId="6808" priority="3481">
      <formula>SEARCH("IN CORSO",$M150)&gt;0</formula>
    </cfRule>
    <cfRule type="expression" dxfId="6807" priority="3482">
      <formula>SEARCH("CHIUSO",$M150)&gt;0</formula>
    </cfRule>
    <cfRule type="expression" dxfId="6806" priority="3483">
      <formula>SEARCH("EMESSO",$M150)&gt;0</formula>
    </cfRule>
    <cfRule type="expression" dxfId="6805" priority="3484">
      <formula>SEARCH("RICHIESTO",$M150)&gt;0</formula>
    </cfRule>
    <cfRule type="expression" dxfId="6804" priority="3485">
      <formula>SEARCH("DA CHIUDERE",$M150)&gt;0</formula>
    </cfRule>
    <cfRule type="expression" dxfId="6803" priority="3486">
      <formula>SEARCH("INTERROTTO",$M150)&gt;0</formula>
    </cfRule>
  </conditionalFormatting>
  <conditionalFormatting sqref="E149:G149 N149:Q149">
    <cfRule type="expression" dxfId="6802" priority="3475">
      <formula>SEARCH("IN CORSO",$M149)&gt;0</formula>
    </cfRule>
    <cfRule type="expression" dxfId="6801" priority="3476">
      <formula>SEARCH("CHIUSO",$M149)&gt;0</formula>
    </cfRule>
    <cfRule type="expression" dxfId="6800" priority="3477">
      <formula>SEARCH("EMESSO",$M149)&gt;0</formula>
    </cfRule>
    <cfRule type="expression" dxfId="6799" priority="3478">
      <formula>SEARCH("RICHIESTO",$M149)&gt;0</formula>
    </cfRule>
    <cfRule type="expression" dxfId="6798" priority="3479">
      <formula>SEARCH("DA CHIUDERE",$M149)&gt;0</formula>
    </cfRule>
    <cfRule type="expression" dxfId="6797" priority="3480">
      <formula>SEARCH("INTERROTTO",$M149)&gt;0</formula>
    </cfRule>
  </conditionalFormatting>
  <conditionalFormatting sqref="R149:S149">
    <cfRule type="expression" dxfId="6796" priority="3469">
      <formula>SEARCH("IN CORSO",$M149)&gt;0</formula>
    </cfRule>
    <cfRule type="expression" dxfId="6795" priority="3470">
      <formula>SEARCH("CHIUSO",$M149)&gt;0</formula>
    </cfRule>
    <cfRule type="expression" dxfId="6794" priority="3471">
      <formula>SEARCH("EMESSO",$M149)&gt;0</formula>
    </cfRule>
    <cfRule type="expression" dxfId="6793" priority="3472">
      <formula>SEARCH("RICHIESTO",$M149)&gt;0</formula>
    </cfRule>
    <cfRule type="expression" dxfId="6792" priority="3473">
      <formula>SEARCH("DA CHIUDERE",$M149)&gt;0</formula>
    </cfRule>
    <cfRule type="expression" dxfId="6791" priority="3474">
      <formula>SEARCH("INTERROTTO",$M149)&gt;0</formula>
    </cfRule>
  </conditionalFormatting>
  <conditionalFormatting sqref="M149">
    <cfRule type="expression" dxfId="6790" priority="3463">
      <formula>SEARCH("IN CORSO",$M149)&gt;0</formula>
    </cfRule>
    <cfRule type="expression" dxfId="6789" priority="3464">
      <formula>SEARCH("CHIUSO",$M149)&gt;0</formula>
    </cfRule>
    <cfRule type="expression" dxfId="6788" priority="3465">
      <formula>SEARCH("EMESSO",$M149)&gt;0</formula>
    </cfRule>
    <cfRule type="expression" dxfId="6787" priority="3466">
      <formula>SEARCH("RICHIESTO",$M149)&gt;0</formula>
    </cfRule>
    <cfRule type="expression" dxfId="6786" priority="3467">
      <formula>SEARCH("DA CHIUDERE",$M149)&gt;0</formula>
    </cfRule>
    <cfRule type="expression" dxfId="6785" priority="3468">
      <formula>SEARCH("INTERROTTO",$M149)&gt;0</formula>
    </cfRule>
  </conditionalFormatting>
  <conditionalFormatting sqref="E148:G148 N148:Q148">
    <cfRule type="expression" dxfId="6784" priority="3457">
      <formula>SEARCH("IN CORSO",$M148)&gt;0</formula>
    </cfRule>
    <cfRule type="expression" dxfId="6783" priority="3458">
      <formula>SEARCH("CHIUSO",$M148)&gt;0</formula>
    </cfRule>
    <cfRule type="expression" dxfId="6782" priority="3459">
      <formula>SEARCH("EMESSO",$M148)&gt;0</formula>
    </cfRule>
    <cfRule type="expression" dxfId="6781" priority="3460">
      <formula>SEARCH("RICHIESTO",$M148)&gt;0</formula>
    </cfRule>
    <cfRule type="expression" dxfId="6780" priority="3461">
      <formula>SEARCH("DA CHIUDERE",$M148)&gt;0</formula>
    </cfRule>
    <cfRule type="expression" dxfId="6779" priority="3462">
      <formula>SEARCH("INTERROTTO",$M148)&gt;0</formula>
    </cfRule>
  </conditionalFormatting>
  <conditionalFormatting sqref="R148:S148">
    <cfRule type="expression" dxfId="6778" priority="3451">
      <formula>SEARCH("IN CORSO",$M148)&gt;0</formula>
    </cfRule>
    <cfRule type="expression" dxfId="6777" priority="3452">
      <formula>SEARCH("CHIUSO",$M148)&gt;0</formula>
    </cfRule>
    <cfRule type="expression" dxfId="6776" priority="3453">
      <formula>SEARCH("EMESSO",$M148)&gt;0</formula>
    </cfRule>
    <cfRule type="expression" dxfId="6775" priority="3454">
      <formula>SEARCH("RICHIESTO",$M148)&gt;0</formula>
    </cfRule>
    <cfRule type="expression" dxfId="6774" priority="3455">
      <formula>SEARCH("DA CHIUDERE",$M148)&gt;0</formula>
    </cfRule>
    <cfRule type="expression" dxfId="6773" priority="3456">
      <formula>SEARCH("INTERROTTO",$M148)&gt;0</formula>
    </cfRule>
  </conditionalFormatting>
  <conditionalFormatting sqref="M148">
    <cfRule type="expression" dxfId="6772" priority="3445">
      <formula>SEARCH("IN CORSO",$M148)&gt;0</formula>
    </cfRule>
    <cfRule type="expression" dxfId="6771" priority="3446">
      <formula>SEARCH("CHIUSO",$M148)&gt;0</formula>
    </cfRule>
    <cfRule type="expression" dxfId="6770" priority="3447">
      <formula>SEARCH("EMESSO",$M148)&gt;0</formula>
    </cfRule>
    <cfRule type="expression" dxfId="6769" priority="3448">
      <formula>SEARCH("RICHIESTO",$M148)&gt;0</formula>
    </cfRule>
    <cfRule type="expression" dxfId="6768" priority="3449">
      <formula>SEARCH("DA CHIUDERE",$M148)&gt;0</formula>
    </cfRule>
    <cfRule type="expression" dxfId="6767" priority="3450">
      <formula>SEARCH("INTERROTTO",$M148)&gt;0</formula>
    </cfRule>
  </conditionalFormatting>
  <conditionalFormatting sqref="E147:G147 N147:Q147">
    <cfRule type="expression" dxfId="6766" priority="3439">
      <formula>SEARCH("IN CORSO",$M147)&gt;0</formula>
    </cfRule>
    <cfRule type="expression" dxfId="6765" priority="3440">
      <formula>SEARCH("CHIUSO",$M147)&gt;0</formula>
    </cfRule>
    <cfRule type="expression" dxfId="6764" priority="3441">
      <formula>SEARCH("EMESSO",$M147)&gt;0</formula>
    </cfRule>
    <cfRule type="expression" dxfId="6763" priority="3442">
      <formula>SEARCH("RICHIESTO",$M147)&gt;0</formula>
    </cfRule>
    <cfRule type="expression" dxfId="6762" priority="3443">
      <formula>SEARCH("DA CHIUDERE",$M147)&gt;0</formula>
    </cfRule>
    <cfRule type="expression" dxfId="6761" priority="3444">
      <formula>SEARCH("INTERROTTO",$M147)&gt;0</formula>
    </cfRule>
  </conditionalFormatting>
  <conditionalFormatting sqref="R147:S147">
    <cfRule type="expression" dxfId="6760" priority="3433">
      <formula>SEARCH("IN CORSO",$M147)&gt;0</formula>
    </cfRule>
    <cfRule type="expression" dxfId="6759" priority="3434">
      <formula>SEARCH("CHIUSO",$M147)&gt;0</formula>
    </cfRule>
    <cfRule type="expression" dxfId="6758" priority="3435">
      <formula>SEARCH("EMESSO",$M147)&gt;0</formula>
    </cfRule>
    <cfRule type="expression" dxfId="6757" priority="3436">
      <formula>SEARCH("RICHIESTO",$M147)&gt;0</formula>
    </cfRule>
    <cfRule type="expression" dxfId="6756" priority="3437">
      <formula>SEARCH("DA CHIUDERE",$M147)&gt;0</formula>
    </cfRule>
    <cfRule type="expression" dxfId="6755" priority="3438">
      <formula>SEARCH("INTERROTTO",$M147)&gt;0</formula>
    </cfRule>
  </conditionalFormatting>
  <conditionalFormatting sqref="M147">
    <cfRule type="expression" dxfId="6754" priority="3427">
      <formula>SEARCH("IN CORSO",$M147)&gt;0</formula>
    </cfRule>
    <cfRule type="expression" dxfId="6753" priority="3428">
      <formula>SEARCH("CHIUSO",$M147)&gt;0</formula>
    </cfRule>
    <cfRule type="expression" dxfId="6752" priority="3429">
      <formula>SEARCH("EMESSO",$M147)&gt;0</formula>
    </cfRule>
    <cfRule type="expression" dxfId="6751" priority="3430">
      <formula>SEARCH("RICHIESTO",$M147)&gt;0</formula>
    </cfRule>
    <cfRule type="expression" dxfId="6750" priority="3431">
      <formula>SEARCH("DA CHIUDERE",$M147)&gt;0</formula>
    </cfRule>
    <cfRule type="expression" dxfId="6749" priority="3432">
      <formula>SEARCH("INTERROTTO",$M147)&gt;0</formula>
    </cfRule>
  </conditionalFormatting>
  <conditionalFormatting sqref="E146:G146 N146:Q146">
    <cfRule type="expression" dxfId="6748" priority="3421">
      <formula>SEARCH("IN CORSO",$M146)&gt;0</formula>
    </cfRule>
    <cfRule type="expression" dxfId="6747" priority="3422">
      <formula>SEARCH("CHIUSO",$M146)&gt;0</formula>
    </cfRule>
    <cfRule type="expression" dxfId="6746" priority="3423">
      <formula>SEARCH("EMESSO",$M146)&gt;0</formula>
    </cfRule>
    <cfRule type="expression" dxfId="6745" priority="3424">
      <formula>SEARCH("RICHIESTO",$M146)&gt;0</formula>
    </cfRule>
    <cfRule type="expression" dxfId="6744" priority="3425">
      <formula>SEARCH("DA CHIUDERE",$M146)&gt;0</formula>
    </cfRule>
    <cfRule type="expression" dxfId="6743" priority="3426">
      <formula>SEARCH("INTERROTTO",$M146)&gt;0</formula>
    </cfRule>
  </conditionalFormatting>
  <conditionalFormatting sqref="R146:S146">
    <cfRule type="expression" dxfId="6742" priority="3415">
      <formula>SEARCH("IN CORSO",$M146)&gt;0</formula>
    </cfRule>
    <cfRule type="expression" dxfId="6741" priority="3416">
      <formula>SEARCH("CHIUSO",$M146)&gt;0</formula>
    </cfRule>
    <cfRule type="expression" dxfId="6740" priority="3417">
      <formula>SEARCH("EMESSO",$M146)&gt;0</formula>
    </cfRule>
    <cfRule type="expression" dxfId="6739" priority="3418">
      <formula>SEARCH("RICHIESTO",$M146)&gt;0</formula>
    </cfRule>
    <cfRule type="expression" dxfId="6738" priority="3419">
      <formula>SEARCH("DA CHIUDERE",$M146)&gt;0</formula>
    </cfRule>
    <cfRule type="expression" dxfId="6737" priority="3420">
      <formula>SEARCH("INTERROTTO",$M146)&gt;0</formula>
    </cfRule>
  </conditionalFormatting>
  <conditionalFormatting sqref="M146">
    <cfRule type="expression" dxfId="6736" priority="3409">
      <formula>SEARCH("IN CORSO",$M146)&gt;0</formula>
    </cfRule>
    <cfRule type="expression" dxfId="6735" priority="3410">
      <formula>SEARCH("CHIUSO",$M146)&gt;0</formula>
    </cfRule>
    <cfRule type="expression" dxfId="6734" priority="3411">
      <formula>SEARCH("EMESSO",$M146)&gt;0</formula>
    </cfRule>
    <cfRule type="expression" dxfId="6733" priority="3412">
      <formula>SEARCH("RICHIESTO",$M146)&gt;0</formula>
    </cfRule>
    <cfRule type="expression" dxfId="6732" priority="3413">
      <formula>SEARCH("DA CHIUDERE",$M146)&gt;0</formula>
    </cfRule>
    <cfRule type="expression" dxfId="6731" priority="3414">
      <formula>SEARCH("INTERROTTO",$M146)&gt;0</formula>
    </cfRule>
  </conditionalFormatting>
  <conditionalFormatting sqref="E145:G145 N145:Q145">
    <cfRule type="expression" dxfId="6730" priority="3403">
      <formula>SEARCH("IN CORSO",$M145)&gt;0</formula>
    </cfRule>
    <cfRule type="expression" dxfId="6729" priority="3404">
      <formula>SEARCH("CHIUSO",$M145)&gt;0</formula>
    </cfRule>
    <cfRule type="expression" dxfId="6728" priority="3405">
      <formula>SEARCH("EMESSO",$M145)&gt;0</formula>
    </cfRule>
    <cfRule type="expression" dxfId="6727" priority="3406">
      <formula>SEARCH("RICHIESTO",$M145)&gt;0</formula>
    </cfRule>
    <cfRule type="expression" dxfId="6726" priority="3407">
      <formula>SEARCH("DA CHIUDERE",$M145)&gt;0</formula>
    </cfRule>
    <cfRule type="expression" dxfId="6725" priority="3408">
      <formula>SEARCH("INTERROTTO",$M145)&gt;0</formula>
    </cfRule>
  </conditionalFormatting>
  <conditionalFormatting sqref="R145:S145">
    <cfRule type="expression" dxfId="6724" priority="3397">
      <formula>SEARCH("IN CORSO",$M145)&gt;0</formula>
    </cfRule>
    <cfRule type="expression" dxfId="6723" priority="3398">
      <formula>SEARCH("CHIUSO",$M145)&gt;0</formula>
    </cfRule>
    <cfRule type="expression" dxfId="6722" priority="3399">
      <formula>SEARCH("EMESSO",$M145)&gt;0</formula>
    </cfRule>
    <cfRule type="expression" dxfId="6721" priority="3400">
      <formula>SEARCH("RICHIESTO",$M145)&gt;0</formula>
    </cfRule>
    <cfRule type="expression" dxfId="6720" priority="3401">
      <formula>SEARCH("DA CHIUDERE",$M145)&gt;0</formula>
    </cfRule>
    <cfRule type="expression" dxfId="6719" priority="3402">
      <formula>SEARCH("INTERROTTO",$M145)&gt;0</formula>
    </cfRule>
  </conditionalFormatting>
  <conditionalFormatting sqref="M145">
    <cfRule type="expression" dxfId="6718" priority="3391">
      <formula>SEARCH("IN CORSO",$M145)&gt;0</formula>
    </cfRule>
    <cfRule type="expression" dxfId="6717" priority="3392">
      <formula>SEARCH("CHIUSO",$M145)&gt;0</formula>
    </cfRule>
    <cfRule type="expression" dxfId="6716" priority="3393">
      <formula>SEARCH("EMESSO",$M145)&gt;0</formula>
    </cfRule>
    <cfRule type="expression" dxfId="6715" priority="3394">
      <formula>SEARCH("RICHIESTO",$M145)&gt;0</formula>
    </cfRule>
    <cfRule type="expression" dxfId="6714" priority="3395">
      <formula>SEARCH("DA CHIUDERE",$M145)&gt;0</formula>
    </cfRule>
    <cfRule type="expression" dxfId="6713" priority="3396">
      <formula>SEARCH("INTERROTTO",$M145)&gt;0</formula>
    </cfRule>
  </conditionalFormatting>
  <conditionalFormatting sqref="E144:G144 N144:Q144">
    <cfRule type="expression" dxfId="6712" priority="3385">
      <formula>SEARCH("IN CORSO",$M144)&gt;0</formula>
    </cfRule>
    <cfRule type="expression" dxfId="6711" priority="3386">
      <formula>SEARCH("CHIUSO",$M144)&gt;0</formula>
    </cfRule>
    <cfRule type="expression" dxfId="6710" priority="3387">
      <formula>SEARCH("EMESSO",$M144)&gt;0</formula>
    </cfRule>
    <cfRule type="expression" dxfId="6709" priority="3388">
      <formula>SEARCH("RICHIESTO",$M144)&gt;0</formula>
    </cfRule>
    <cfRule type="expression" dxfId="6708" priority="3389">
      <formula>SEARCH("DA CHIUDERE",$M144)&gt;0</formula>
    </cfRule>
    <cfRule type="expression" dxfId="6707" priority="3390">
      <formula>SEARCH("INTERROTTO",$M144)&gt;0</formula>
    </cfRule>
  </conditionalFormatting>
  <conditionalFormatting sqref="R144:S144">
    <cfRule type="expression" dxfId="6706" priority="3379">
      <formula>SEARCH("IN CORSO",$M144)&gt;0</formula>
    </cfRule>
    <cfRule type="expression" dxfId="6705" priority="3380">
      <formula>SEARCH("CHIUSO",$M144)&gt;0</formula>
    </cfRule>
    <cfRule type="expression" dxfId="6704" priority="3381">
      <formula>SEARCH("EMESSO",$M144)&gt;0</formula>
    </cfRule>
    <cfRule type="expression" dxfId="6703" priority="3382">
      <formula>SEARCH("RICHIESTO",$M144)&gt;0</formula>
    </cfRule>
    <cfRule type="expression" dxfId="6702" priority="3383">
      <formula>SEARCH("DA CHIUDERE",$M144)&gt;0</formula>
    </cfRule>
    <cfRule type="expression" dxfId="6701" priority="3384">
      <formula>SEARCH("INTERROTTO",$M144)&gt;0</formula>
    </cfRule>
  </conditionalFormatting>
  <conditionalFormatting sqref="M144">
    <cfRule type="expression" dxfId="6700" priority="3373">
      <formula>SEARCH("IN CORSO",$M144)&gt;0</formula>
    </cfRule>
    <cfRule type="expression" dxfId="6699" priority="3374">
      <formula>SEARCH("CHIUSO",$M144)&gt;0</formula>
    </cfRule>
    <cfRule type="expression" dxfId="6698" priority="3375">
      <formula>SEARCH("EMESSO",$M144)&gt;0</formula>
    </cfRule>
    <cfRule type="expression" dxfId="6697" priority="3376">
      <formula>SEARCH("RICHIESTO",$M144)&gt;0</formula>
    </cfRule>
    <cfRule type="expression" dxfId="6696" priority="3377">
      <formula>SEARCH("DA CHIUDERE",$M144)&gt;0</formula>
    </cfRule>
    <cfRule type="expression" dxfId="6695" priority="3378">
      <formula>SEARCH("INTERROTTO",$M144)&gt;0</formula>
    </cfRule>
  </conditionalFormatting>
  <conditionalFormatting sqref="E143:G143 N143:Q143">
    <cfRule type="expression" dxfId="6694" priority="3367">
      <formula>SEARCH("IN CORSO",$M143)&gt;0</formula>
    </cfRule>
    <cfRule type="expression" dxfId="6693" priority="3368">
      <formula>SEARCH("CHIUSO",$M143)&gt;0</formula>
    </cfRule>
    <cfRule type="expression" dxfId="6692" priority="3369">
      <formula>SEARCH("EMESSO",$M143)&gt;0</formula>
    </cfRule>
    <cfRule type="expression" dxfId="6691" priority="3370">
      <formula>SEARCH("RICHIESTO",$M143)&gt;0</formula>
    </cfRule>
    <cfRule type="expression" dxfId="6690" priority="3371">
      <formula>SEARCH("DA CHIUDERE",$M143)&gt;0</formula>
    </cfRule>
    <cfRule type="expression" dxfId="6689" priority="3372">
      <formula>SEARCH("INTERROTTO",$M143)&gt;0</formula>
    </cfRule>
  </conditionalFormatting>
  <conditionalFormatting sqref="R143:S143">
    <cfRule type="expression" dxfId="6688" priority="3361">
      <formula>SEARCH("IN CORSO",$M143)&gt;0</formula>
    </cfRule>
    <cfRule type="expression" dxfId="6687" priority="3362">
      <formula>SEARCH("CHIUSO",$M143)&gt;0</formula>
    </cfRule>
    <cfRule type="expression" dxfId="6686" priority="3363">
      <formula>SEARCH("EMESSO",$M143)&gt;0</formula>
    </cfRule>
    <cfRule type="expression" dxfId="6685" priority="3364">
      <formula>SEARCH("RICHIESTO",$M143)&gt;0</formula>
    </cfRule>
    <cfRule type="expression" dxfId="6684" priority="3365">
      <formula>SEARCH("DA CHIUDERE",$M143)&gt;0</formula>
    </cfRule>
    <cfRule type="expression" dxfId="6683" priority="3366">
      <formula>SEARCH("INTERROTTO",$M143)&gt;0</formula>
    </cfRule>
  </conditionalFormatting>
  <conditionalFormatting sqref="M143">
    <cfRule type="expression" dxfId="6682" priority="3355">
      <formula>SEARCH("IN CORSO",$M143)&gt;0</formula>
    </cfRule>
    <cfRule type="expression" dxfId="6681" priority="3356">
      <formula>SEARCH("CHIUSO",$M143)&gt;0</formula>
    </cfRule>
    <cfRule type="expression" dxfId="6680" priority="3357">
      <formula>SEARCH("EMESSO",$M143)&gt;0</formula>
    </cfRule>
    <cfRule type="expression" dxfId="6679" priority="3358">
      <formula>SEARCH("RICHIESTO",$M143)&gt;0</formula>
    </cfRule>
    <cfRule type="expression" dxfId="6678" priority="3359">
      <formula>SEARCH("DA CHIUDERE",$M143)&gt;0</formula>
    </cfRule>
    <cfRule type="expression" dxfId="6677" priority="3360">
      <formula>SEARCH("INTERROTTO",$M143)&gt;0</formula>
    </cfRule>
  </conditionalFormatting>
  <conditionalFormatting sqref="E142:G142 N142:Q142">
    <cfRule type="expression" dxfId="6676" priority="3349">
      <formula>SEARCH("IN CORSO",$M142)&gt;0</formula>
    </cfRule>
    <cfRule type="expression" dxfId="6675" priority="3350">
      <formula>SEARCH("CHIUSO",$M142)&gt;0</formula>
    </cfRule>
    <cfRule type="expression" dxfId="6674" priority="3351">
      <formula>SEARCH("EMESSO",$M142)&gt;0</formula>
    </cfRule>
    <cfRule type="expression" dxfId="6673" priority="3352">
      <formula>SEARCH("RICHIESTO",$M142)&gt;0</formula>
    </cfRule>
    <cfRule type="expression" dxfId="6672" priority="3353">
      <formula>SEARCH("DA CHIUDERE",$M142)&gt;0</formula>
    </cfRule>
    <cfRule type="expression" dxfId="6671" priority="3354">
      <formula>SEARCH("INTERROTTO",$M142)&gt;0</formula>
    </cfRule>
  </conditionalFormatting>
  <conditionalFormatting sqref="R142:S142">
    <cfRule type="expression" dxfId="6670" priority="3343">
      <formula>SEARCH("IN CORSO",$M142)&gt;0</formula>
    </cfRule>
    <cfRule type="expression" dxfId="6669" priority="3344">
      <formula>SEARCH("CHIUSO",$M142)&gt;0</formula>
    </cfRule>
    <cfRule type="expression" dxfId="6668" priority="3345">
      <formula>SEARCH("EMESSO",$M142)&gt;0</formula>
    </cfRule>
    <cfRule type="expression" dxfId="6667" priority="3346">
      <formula>SEARCH("RICHIESTO",$M142)&gt;0</formula>
    </cfRule>
    <cfRule type="expression" dxfId="6666" priority="3347">
      <formula>SEARCH("DA CHIUDERE",$M142)&gt;0</formula>
    </cfRule>
    <cfRule type="expression" dxfId="6665" priority="3348">
      <formula>SEARCH("INTERROTTO",$M142)&gt;0</formula>
    </cfRule>
  </conditionalFormatting>
  <conditionalFormatting sqref="M142">
    <cfRule type="expression" dxfId="6664" priority="3337">
      <formula>SEARCH("IN CORSO",$M142)&gt;0</formula>
    </cfRule>
    <cfRule type="expression" dxfId="6663" priority="3338">
      <formula>SEARCH("CHIUSO",$M142)&gt;0</formula>
    </cfRule>
    <cfRule type="expression" dxfId="6662" priority="3339">
      <formula>SEARCH("EMESSO",$M142)&gt;0</formula>
    </cfRule>
    <cfRule type="expression" dxfId="6661" priority="3340">
      <formula>SEARCH("RICHIESTO",$M142)&gt;0</formula>
    </cfRule>
    <cfRule type="expression" dxfId="6660" priority="3341">
      <formula>SEARCH("DA CHIUDERE",$M142)&gt;0</formula>
    </cfRule>
    <cfRule type="expression" dxfId="6659" priority="3342">
      <formula>SEARCH("INTERROTTO",$M142)&gt;0</formula>
    </cfRule>
  </conditionalFormatting>
  <conditionalFormatting sqref="E141:G141 N141:Q141">
    <cfRule type="expression" dxfId="6658" priority="3331">
      <formula>SEARCH("IN CORSO",$M141)&gt;0</formula>
    </cfRule>
    <cfRule type="expression" dxfId="6657" priority="3332">
      <formula>SEARCH("CHIUSO",$M141)&gt;0</formula>
    </cfRule>
    <cfRule type="expression" dxfId="6656" priority="3333">
      <formula>SEARCH("EMESSO",$M141)&gt;0</formula>
    </cfRule>
    <cfRule type="expression" dxfId="6655" priority="3334">
      <formula>SEARCH("RICHIESTO",$M141)&gt;0</formula>
    </cfRule>
    <cfRule type="expression" dxfId="6654" priority="3335">
      <formula>SEARCH("DA CHIUDERE",$M141)&gt;0</formula>
    </cfRule>
    <cfRule type="expression" dxfId="6653" priority="3336">
      <formula>SEARCH("INTERROTTO",$M141)&gt;0</formula>
    </cfRule>
  </conditionalFormatting>
  <conditionalFormatting sqref="R141:S141">
    <cfRule type="expression" dxfId="6652" priority="3325">
      <formula>SEARCH("IN CORSO",$M141)&gt;0</formula>
    </cfRule>
    <cfRule type="expression" dxfId="6651" priority="3326">
      <formula>SEARCH("CHIUSO",$M141)&gt;0</formula>
    </cfRule>
    <cfRule type="expression" dxfId="6650" priority="3327">
      <formula>SEARCH("EMESSO",$M141)&gt;0</formula>
    </cfRule>
    <cfRule type="expression" dxfId="6649" priority="3328">
      <formula>SEARCH("RICHIESTO",$M141)&gt;0</formula>
    </cfRule>
    <cfRule type="expression" dxfId="6648" priority="3329">
      <formula>SEARCH("DA CHIUDERE",$M141)&gt;0</formula>
    </cfRule>
    <cfRule type="expression" dxfId="6647" priority="3330">
      <formula>SEARCH("INTERROTTO",$M141)&gt;0</formula>
    </cfRule>
  </conditionalFormatting>
  <conditionalFormatting sqref="M141">
    <cfRule type="expression" dxfId="6646" priority="3319">
      <formula>SEARCH("IN CORSO",$M141)&gt;0</formula>
    </cfRule>
    <cfRule type="expression" dxfId="6645" priority="3320">
      <formula>SEARCH("CHIUSO",$M141)&gt;0</formula>
    </cfRule>
    <cfRule type="expression" dxfId="6644" priority="3321">
      <formula>SEARCH("EMESSO",$M141)&gt;0</formula>
    </cfRule>
    <cfRule type="expression" dxfId="6643" priority="3322">
      <formula>SEARCH("RICHIESTO",$M141)&gt;0</formula>
    </cfRule>
    <cfRule type="expression" dxfId="6642" priority="3323">
      <formula>SEARCH("DA CHIUDERE",$M141)&gt;0</formula>
    </cfRule>
    <cfRule type="expression" dxfId="6641" priority="3324">
      <formula>SEARCH("INTERROTTO",$M141)&gt;0</formula>
    </cfRule>
  </conditionalFormatting>
  <conditionalFormatting sqref="E140:G140 N140:Q140">
    <cfRule type="expression" dxfId="6640" priority="3313">
      <formula>SEARCH("IN CORSO",$M140)&gt;0</formula>
    </cfRule>
    <cfRule type="expression" dxfId="6639" priority="3314">
      <formula>SEARCH("CHIUSO",$M140)&gt;0</formula>
    </cfRule>
    <cfRule type="expression" dxfId="6638" priority="3315">
      <formula>SEARCH("EMESSO",$M140)&gt;0</formula>
    </cfRule>
    <cfRule type="expression" dxfId="6637" priority="3316">
      <formula>SEARCH("RICHIESTO",$M140)&gt;0</formula>
    </cfRule>
    <cfRule type="expression" dxfId="6636" priority="3317">
      <formula>SEARCH("DA CHIUDERE",$M140)&gt;0</formula>
    </cfRule>
    <cfRule type="expression" dxfId="6635" priority="3318">
      <formula>SEARCH("INTERROTTO",$M140)&gt;0</formula>
    </cfRule>
  </conditionalFormatting>
  <conditionalFormatting sqref="R140:S140">
    <cfRule type="expression" dxfId="6634" priority="3307">
      <formula>SEARCH("IN CORSO",$M140)&gt;0</formula>
    </cfRule>
    <cfRule type="expression" dxfId="6633" priority="3308">
      <formula>SEARCH("CHIUSO",$M140)&gt;0</formula>
    </cfRule>
    <cfRule type="expression" dxfId="6632" priority="3309">
      <formula>SEARCH("EMESSO",$M140)&gt;0</formula>
    </cfRule>
    <cfRule type="expression" dxfId="6631" priority="3310">
      <formula>SEARCH("RICHIESTO",$M140)&gt;0</formula>
    </cfRule>
    <cfRule type="expression" dxfId="6630" priority="3311">
      <formula>SEARCH("DA CHIUDERE",$M140)&gt;0</formula>
    </cfRule>
    <cfRule type="expression" dxfId="6629" priority="3312">
      <formula>SEARCH("INTERROTTO",$M140)&gt;0</formula>
    </cfRule>
  </conditionalFormatting>
  <conditionalFormatting sqref="M140">
    <cfRule type="expression" dxfId="6628" priority="3301">
      <formula>SEARCH("IN CORSO",$M140)&gt;0</formula>
    </cfRule>
    <cfRule type="expression" dxfId="6627" priority="3302">
      <formula>SEARCH("CHIUSO",$M140)&gt;0</formula>
    </cfRule>
    <cfRule type="expression" dxfId="6626" priority="3303">
      <formula>SEARCH("EMESSO",$M140)&gt;0</formula>
    </cfRule>
    <cfRule type="expression" dxfId="6625" priority="3304">
      <formula>SEARCH("RICHIESTO",$M140)&gt;0</formula>
    </cfRule>
    <cfRule type="expression" dxfId="6624" priority="3305">
      <formula>SEARCH("DA CHIUDERE",$M140)&gt;0</formula>
    </cfRule>
    <cfRule type="expression" dxfId="6623" priority="3306">
      <formula>SEARCH("INTERROTTO",$M140)&gt;0</formula>
    </cfRule>
  </conditionalFormatting>
  <conditionalFormatting sqref="E139:G139 N139:Q139">
    <cfRule type="expression" dxfId="6622" priority="3295">
      <formula>SEARCH("IN CORSO",$M139)&gt;0</formula>
    </cfRule>
    <cfRule type="expression" dxfId="6621" priority="3296">
      <formula>SEARCH("CHIUSO",$M139)&gt;0</formula>
    </cfRule>
    <cfRule type="expression" dxfId="6620" priority="3297">
      <formula>SEARCH("EMESSO",$M139)&gt;0</formula>
    </cfRule>
    <cfRule type="expression" dxfId="6619" priority="3298">
      <formula>SEARCH("RICHIESTO",$M139)&gt;0</formula>
    </cfRule>
    <cfRule type="expression" dxfId="6618" priority="3299">
      <formula>SEARCH("DA CHIUDERE",$M139)&gt;0</formula>
    </cfRule>
    <cfRule type="expression" dxfId="6617" priority="3300">
      <formula>SEARCH("INTERROTTO",$M139)&gt;0</formula>
    </cfRule>
  </conditionalFormatting>
  <conditionalFormatting sqref="R139:S139">
    <cfRule type="expression" dxfId="6616" priority="3289">
      <formula>SEARCH("IN CORSO",$M139)&gt;0</formula>
    </cfRule>
    <cfRule type="expression" dxfId="6615" priority="3290">
      <formula>SEARCH("CHIUSO",$M139)&gt;0</formula>
    </cfRule>
    <cfRule type="expression" dxfId="6614" priority="3291">
      <formula>SEARCH("EMESSO",$M139)&gt;0</formula>
    </cfRule>
    <cfRule type="expression" dxfId="6613" priority="3292">
      <formula>SEARCH("RICHIESTO",$M139)&gt;0</formula>
    </cfRule>
    <cfRule type="expression" dxfId="6612" priority="3293">
      <formula>SEARCH("DA CHIUDERE",$M139)&gt;0</formula>
    </cfRule>
    <cfRule type="expression" dxfId="6611" priority="3294">
      <formula>SEARCH("INTERROTTO",$M139)&gt;0</formula>
    </cfRule>
  </conditionalFormatting>
  <conditionalFormatting sqref="M139">
    <cfRule type="expression" dxfId="6610" priority="3283">
      <formula>SEARCH("IN CORSO",$M139)&gt;0</formula>
    </cfRule>
    <cfRule type="expression" dxfId="6609" priority="3284">
      <formula>SEARCH("CHIUSO",$M139)&gt;0</formula>
    </cfRule>
    <cfRule type="expression" dxfId="6608" priority="3285">
      <formula>SEARCH("EMESSO",$M139)&gt;0</formula>
    </cfRule>
    <cfRule type="expression" dxfId="6607" priority="3286">
      <formula>SEARCH("RICHIESTO",$M139)&gt;0</formula>
    </cfRule>
    <cfRule type="expression" dxfId="6606" priority="3287">
      <formula>SEARCH("DA CHIUDERE",$M139)&gt;0</formula>
    </cfRule>
    <cfRule type="expression" dxfId="6605" priority="3288">
      <formula>SEARCH("INTERROTTO",$M139)&gt;0</formula>
    </cfRule>
  </conditionalFormatting>
  <conditionalFormatting sqref="E138:G138 N138:Q138">
    <cfRule type="expression" dxfId="6604" priority="3277">
      <formula>SEARCH("IN CORSO",$M138)&gt;0</formula>
    </cfRule>
    <cfRule type="expression" dxfId="6603" priority="3278">
      <formula>SEARCH("CHIUSO",$M138)&gt;0</formula>
    </cfRule>
    <cfRule type="expression" dxfId="6602" priority="3279">
      <formula>SEARCH("EMESSO",$M138)&gt;0</formula>
    </cfRule>
    <cfRule type="expression" dxfId="6601" priority="3280">
      <formula>SEARCH("RICHIESTO",$M138)&gt;0</formula>
    </cfRule>
    <cfRule type="expression" dxfId="6600" priority="3281">
      <formula>SEARCH("DA CHIUDERE",$M138)&gt;0</formula>
    </cfRule>
    <cfRule type="expression" dxfId="6599" priority="3282">
      <formula>SEARCH("INTERROTTO",$M138)&gt;0</formula>
    </cfRule>
  </conditionalFormatting>
  <conditionalFormatting sqref="R138:S138">
    <cfRule type="expression" dxfId="6598" priority="3271">
      <formula>SEARCH("IN CORSO",$M138)&gt;0</formula>
    </cfRule>
    <cfRule type="expression" dxfId="6597" priority="3272">
      <formula>SEARCH("CHIUSO",$M138)&gt;0</formula>
    </cfRule>
    <cfRule type="expression" dxfId="6596" priority="3273">
      <formula>SEARCH("EMESSO",$M138)&gt;0</formula>
    </cfRule>
    <cfRule type="expression" dxfId="6595" priority="3274">
      <formula>SEARCH("RICHIESTO",$M138)&gt;0</formula>
    </cfRule>
    <cfRule type="expression" dxfId="6594" priority="3275">
      <formula>SEARCH("DA CHIUDERE",$M138)&gt;0</formula>
    </cfRule>
    <cfRule type="expression" dxfId="6593" priority="3276">
      <formula>SEARCH("INTERROTTO",$M138)&gt;0</formula>
    </cfRule>
  </conditionalFormatting>
  <conditionalFormatting sqref="M138">
    <cfRule type="expression" dxfId="6592" priority="3265">
      <formula>SEARCH("IN CORSO",$M138)&gt;0</formula>
    </cfRule>
    <cfRule type="expression" dxfId="6591" priority="3266">
      <formula>SEARCH("CHIUSO",$M138)&gt;0</formula>
    </cfRule>
    <cfRule type="expression" dxfId="6590" priority="3267">
      <formula>SEARCH("EMESSO",$M138)&gt;0</formula>
    </cfRule>
    <cfRule type="expression" dxfId="6589" priority="3268">
      <formula>SEARCH("RICHIESTO",$M138)&gt;0</formula>
    </cfRule>
    <cfRule type="expression" dxfId="6588" priority="3269">
      <formula>SEARCH("DA CHIUDERE",$M138)&gt;0</formula>
    </cfRule>
    <cfRule type="expression" dxfId="6587" priority="3270">
      <formula>SEARCH("INTERROTTO",$M138)&gt;0</formula>
    </cfRule>
  </conditionalFormatting>
  <conditionalFormatting sqref="E137:G137 N137:Q137">
    <cfRule type="expression" dxfId="6586" priority="3259">
      <formula>SEARCH("IN CORSO",$M137)&gt;0</formula>
    </cfRule>
    <cfRule type="expression" dxfId="6585" priority="3260">
      <formula>SEARCH("CHIUSO",$M137)&gt;0</formula>
    </cfRule>
    <cfRule type="expression" dxfId="6584" priority="3261">
      <formula>SEARCH("EMESSO",$M137)&gt;0</formula>
    </cfRule>
    <cfRule type="expression" dxfId="6583" priority="3262">
      <formula>SEARCH("RICHIESTO",$M137)&gt;0</formula>
    </cfRule>
    <cfRule type="expression" dxfId="6582" priority="3263">
      <formula>SEARCH("DA CHIUDERE",$M137)&gt;0</formula>
    </cfRule>
    <cfRule type="expression" dxfId="6581" priority="3264">
      <formula>SEARCH("INTERROTTO",$M137)&gt;0</formula>
    </cfRule>
  </conditionalFormatting>
  <conditionalFormatting sqref="R137:S137">
    <cfRule type="expression" dxfId="6580" priority="3253">
      <formula>SEARCH("IN CORSO",$M137)&gt;0</formula>
    </cfRule>
    <cfRule type="expression" dxfId="6579" priority="3254">
      <formula>SEARCH("CHIUSO",$M137)&gt;0</formula>
    </cfRule>
    <cfRule type="expression" dxfId="6578" priority="3255">
      <formula>SEARCH("EMESSO",$M137)&gt;0</formula>
    </cfRule>
    <cfRule type="expression" dxfId="6577" priority="3256">
      <formula>SEARCH("RICHIESTO",$M137)&gt;0</formula>
    </cfRule>
    <cfRule type="expression" dxfId="6576" priority="3257">
      <formula>SEARCH("DA CHIUDERE",$M137)&gt;0</formula>
    </cfRule>
    <cfRule type="expression" dxfId="6575" priority="3258">
      <formula>SEARCH("INTERROTTO",$M137)&gt;0</formula>
    </cfRule>
  </conditionalFormatting>
  <conditionalFormatting sqref="M137">
    <cfRule type="expression" dxfId="6574" priority="3247">
      <formula>SEARCH("IN CORSO",$M137)&gt;0</formula>
    </cfRule>
    <cfRule type="expression" dxfId="6573" priority="3248">
      <formula>SEARCH("CHIUSO",$M137)&gt;0</formula>
    </cfRule>
    <cfRule type="expression" dxfId="6572" priority="3249">
      <formula>SEARCH("EMESSO",$M137)&gt;0</formula>
    </cfRule>
    <cfRule type="expression" dxfId="6571" priority="3250">
      <formula>SEARCH("RICHIESTO",$M137)&gt;0</formula>
    </cfRule>
    <cfRule type="expression" dxfId="6570" priority="3251">
      <formula>SEARCH("DA CHIUDERE",$M137)&gt;0</formula>
    </cfRule>
    <cfRule type="expression" dxfId="6569" priority="3252">
      <formula>SEARCH("INTERROTTO",$M137)&gt;0</formula>
    </cfRule>
  </conditionalFormatting>
  <conditionalFormatting sqref="E136:G136 N136:Q136">
    <cfRule type="expression" dxfId="6568" priority="3241">
      <formula>SEARCH("IN CORSO",$M136)&gt;0</formula>
    </cfRule>
    <cfRule type="expression" dxfId="6567" priority="3242">
      <formula>SEARCH("CHIUSO",$M136)&gt;0</formula>
    </cfRule>
    <cfRule type="expression" dxfId="6566" priority="3243">
      <formula>SEARCH("EMESSO",$M136)&gt;0</formula>
    </cfRule>
    <cfRule type="expression" dxfId="6565" priority="3244">
      <formula>SEARCH("RICHIESTO",$M136)&gt;0</formula>
    </cfRule>
    <cfRule type="expression" dxfId="6564" priority="3245">
      <formula>SEARCH("DA CHIUDERE",$M136)&gt;0</formula>
    </cfRule>
    <cfRule type="expression" dxfId="6563" priority="3246">
      <formula>SEARCH("INTERROTTO",$M136)&gt;0</formula>
    </cfRule>
  </conditionalFormatting>
  <conditionalFormatting sqref="R136:S136">
    <cfRule type="expression" dxfId="6562" priority="3235">
      <formula>SEARCH("IN CORSO",$M136)&gt;0</formula>
    </cfRule>
    <cfRule type="expression" dxfId="6561" priority="3236">
      <formula>SEARCH("CHIUSO",$M136)&gt;0</formula>
    </cfRule>
    <cfRule type="expression" dxfId="6560" priority="3237">
      <formula>SEARCH("EMESSO",$M136)&gt;0</formula>
    </cfRule>
    <cfRule type="expression" dxfId="6559" priority="3238">
      <formula>SEARCH("RICHIESTO",$M136)&gt;0</formula>
    </cfRule>
    <cfRule type="expression" dxfId="6558" priority="3239">
      <formula>SEARCH("DA CHIUDERE",$M136)&gt;0</formula>
    </cfRule>
    <cfRule type="expression" dxfId="6557" priority="3240">
      <formula>SEARCH("INTERROTTO",$M136)&gt;0</formula>
    </cfRule>
  </conditionalFormatting>
  <conditionalFormatting sqref="M136">
    <cfRule type="expression" dxfId="6556" priority="3229">
      <formula>SEARCH("IN CORSO",$M136)&gt;0</formula>
    </cfRule>
    <cfRule type="expression" dxfId="6555" priority="3230">
      <formula>SEARCH("CHIUSO",$M136)&gt;0</formula>
    </cfRule>
    <cfRule type="expression" dxfId="6554" priority="3231">
      <formula>SEARCH("EMESSO",$M136)&gt;0</formula>
    </cfRule>
    <cfRule type="expression" dxfId="6553" priority="3232">
      <formula>SEARCH("RICHIESTO",$M136)&gt;0</formula>
    </cfRule>
    <cfRule type="expression" dxfId="6552" priority="3233">
      <formula>SEARCH("DA CHIUDERE",$M136)&gt;0</formula>
    </cfRule>
    <cfRule type="expression" dxfId="6551" priority="3234">
      <formula>SEARCH("INTERROTTO",$M136)&gt;0</formula>
    </cfRule>
  </conditionalFormatting>
  <conditionalFormatting sqref="E135:G135 N135:Q135">
    <cfRule type="expression" dxfId="6550" priority="3223">
      <formula>SEARCH("IN CORSO",$M135)&gt;0</formula>
    </cfRule>
    <cfRule type="expression" dxfId="6549" priority="3224">
      <formula>SEARCH("CHIUSO",$M135)&gt;0</formula>
    </cfRule>
    <cfRule type="expression" dxfId="6548" priority="3225">
      <formula>SEARCH("EMESSO",$M135)&gt;0</formula>
    </cfRule>
    <cfRule type="expression" dxfId="6547" priority="3226">
      <formula>SEARCH("RICHIESTO",$M135)&gt;0</formula>
    </cfRule>
    <cfRule type="expression" dxfId="6546" priority="3227">
      <formula>SEARCH("DA CHIUDERE",$M135)&gt;0</formula>
    </cfRule>
    <cfRule type="expression" dxfId="6545" priority="3228">
      <formula>SEARCH("INTERROTTO",$M135)&gt;0</formula>
    </cfRule>
  </conditionalFormatting>
  <conditionalFormatting sqref="R135:S135">
    <cfRule type="expression" dxfId="6544" priority="3217">
      <formula>SEARCH("IN CORSO",$M135)&gt;0</formula>
    </cfRule>
    <cfRule type="expression" dxfId="6543" priority="3218">
      <formula>SEARCH("CHIUSO",$M135)&gt;0</formula>
    </cfRule>
    <cfRule type="expression" dxfId="6542" priority="3219">
      <formula>SEARCH("EMESSO",$M135)&gt;0</formula>
    </cfRule>
    <cfRule type="expression" dxfId="6541" priority="3220">
      <formula>SEARCH("RICHIESTO",$M135)&gt;0</formula>
    </cfRule>
    <cfRule type="expression" dxfId="6540" priority="3221">
      <formula>SEARCH("DA CHIUDERE",$M135)&gt;0</formula>
    </cfRule>
    <cfRule type="expression" dxfId="6539" priority="3222">
      <formula>SEARCH("INTERROTTO",$M135)&gt;0</formula>
    </cfRule>
  </conditionalFormatting>
  <conditionalFormatting sqref="M135">
    <cfRule type="expression" dxfId="6538" priority="3211">
      <formula>SEARCH("IN CORSO",$M135)&gt;0</formula>
    </cfRule>
    <cfRule type="expression" dxfId="6537" priority="3212">
      <formula>SEARCH("CHIUSO",$M135)&gt;0</formula>
    </cfRule>
    <cfRule type="expression" dxfId="6536" priority="3213">
      <formula>SEARCH("EMESSO",$M135)&gt;0</formula>
    </cfRule>
    <cfRule type="expression" dxfId="6535" priority="3214">
      <formula>SEARCH("RICHIESTO",$M135)&gt;0</formula>
    </cfRule>
    <cfRule type="expression" dxfId="6534" priority="3215">
      <formula>SEARCH("DA CHIUDERE",$M135)&gt;0</formula>
    </cfRule>
    <cfRule type="expression" dxfId="6533" priority="3216">
      <formula>SEARCH("INTERROTTO",$M135)&gt;0</formula>
    </cfRule>
  </conditionalFormatting>
  <conditionalFormatting sqref="E134:G134 N134:Q134">
    <cfRule type="expression" dxfId="6532" priority="3205">
      <formula>SEARCH("IN CORSO",$M134)&gt;0</formula>
    </cfRule>
    <cfRule type="expression" dxfId="6531" priority="3206">
      <formula>SEARCH("CHIUSO",$M134)&gt;0</formula>
    </cfRule>
    <cfRule type="expression" dxfId="6530" priority="3207">
      <formula>SEARCH("EMESSO",$M134)&gt;0</formula>
    </cfRule>
    <cfRule type="expression" dxfId="6529" priority="3208">
      <formula>SEARCH("RICHIESTO",$M134)&gt;0</formula>
    </cfRule>
    <cfRule type="expression" dxfId="6528" priority="3209">
      <formula>SEARCH("DA CHIUDERE",$M134)&gt;0</formula>
    </cfRule>
    <cfRule type="expression" dxfId="6527" priority="3210">
      <formula>SEARCH("INTERROTTO",$M134)&gt;0</formula>
    </cfRule>
  </conditionalFormatting>
  <conditionalFormatting sqref="R134:S134">
    <cfRule type="expression" dxfId="6526" priority="3199">
      <formula>SEARCH("IN CORSO",$M134)&gt;0</formula>
    </cfRule>
    <cfRule type="expression" dxfId="6525" priority="3200">
      <formula>SEARCH("CHIUSO",$M134)&gt;0</formula>
    </cfRule>
    <cfRule type="expression" dxfId="6524" priority="3201">
      <formula>SEARCH("EMESSO",$M134)&gt;0</formula>
    </cfRule>
    <cfRule type="expression" dxfId="6523" priority="3202">
      <formula>SEARCH("RICHIESTO",$M134)&gt;0</formula>
    </cfRule>
    <cfRule type="expression" dxfId="6522" priority="3203">
      <formula>SEARCH("DA CHIUDERE",$M134)&gt;0</formula>
    </cfRule>
    <cfRule type="expression" dxfId="6521" priority="3204">
      <formula>SEARCH("INTERROTTO",$M134)&gt;0</formula>
    </cfRule>
  </conditionalFormatting>
  <conditionalFormatting sqref="M134">
    <cfRule type="expression" dxfId="6520" priority="3193">
      <formula>SEARCH("IN CORSO",$M134)&gt;0</formula>
    </cfRule>
    <cfRule type="expression" dxfId="6519" priority="3194">
      <formula>SEARCH("CHIUSO",$M134)&gt;0</formula>
    </cfRule>
    <cfRule type="expression" dxfId="6518" priority="3195">
      <formula>SEARCH("EMESSO",$M134)&gt;0</formula>
    </cfRule>
    <cfRule type="expression" dxfId="6517" priority="3196">
      <formula>SEARCH("RICHIESTO",$M134)&gt;0</formula>
    </cfRule>
    <cfRule type="expression" dxfId="6516" priority="3197">
      <formula>SEARCH("DA CHIUDERE",$M134)&gt;0</formula>
    </cfRule>
    <cfRule type="expression" dxfId="6515" priority="3198">
      <formula>SEARCH("INTERROTTO",$M134)&gt;0</formula>
    </cfRule>
  </conditionalFormatting>
  <conditionalFormatting sqref="E133:G133 N133:Q133">
    <cfRule type="expression" dxfId="6514" priority="3187">
      <formula>SEARCH("IN CORSO",$M133)&gt;0</formula>
    </cfRule>
    <cfRule type="expression" dxfId="6513" priority="3188">
      <formula>SEARCH("CHIUSO",$M133)&gt;0</formula>
    </cfRule>
    <cfRule type="expression" dxfId="6512" priority="3189">
      <formula>SEARCH("EMESSO",$M133)&gt;0</formula>
    </cfRule>
    <cfRule type="expression" dxfId="6511" priority="3190">
      <formula>SEARCH("RICHIESTO",$M133)&gt;0</formula>
    </cfRule>
    <cfRule type="expression" dxfId="6510" priority="3191">
      <formula>SEARCH("DA CHIUDERE",$M133)&gt;0</formula>
    </cfRule>
    <cfRule type="expression" dxfId="6509" priority="3192">
      <formula>SEARCH("INTERROTTO",$M133)&gt;0</formula>
    </cfRule>
  </conditionalFormatting>
  <conditionalFormatting sqref="R133:S133">
    <cfRule type="expression" dxfId="6508" priority="3181">
      <formula>SEARCH("IN CORSO",$M133)&gt;0</formula>
    </cfRule>
    <cfRule type="expression" dxfId="6507" priority="3182">
      <formula>SEARCH("CHIUSO",$M133)&gt;0</formula>
    </cfRule>
    <cfRule type="expression" dxfId="6506" priority="3183">
      <formula>SEARCH("EMESSO",$M133)&gt;0</formula>
    </cfRule>
    <cfRule type="expression" dxfId="6505" priority="3184">
      <formula>SEARCH("RICHIESTO",$M133)&gt;0</formula>
    </cfRule>
    <cfRule type="expression" dxfId="6504" priority="3185">
      <formula>SEARCH("DA CHIUDERE",$M133)&gt;0</formula>
    </cfRule>
    <cfRule type="expression" dxfId="6503" priority="3186">
      <formula>SEARCH("INTERROTTO",$M133)&gt;0</formula>
    </cfRule>
  </conditionalFormatting>
  <conditionalFormatting sqref="M133">
    <cfRule type="expression" dxfId="6502" priority="3175">
      <formula>SEARCH("IN CORSO",$M133)&gt;0</formula>
    </cfRule>
    <cfRule type="expression" dxfId="6501" priority="3176">
      <formula>SEARCH("CHIUSO",$M133)&gt;0</formula>
    </cfRule>
    <cfRule type="expression" dxfId="6500" priority="3177">
      <formula>SEARCH("EMESSO",$M133)&gt;0</formula>
    </cfRule>
    <cfRule type="expression" dxfId="6499" priority="3178">
      <formula>SEARCH("RICHIESTO",$M133)&gt;0</formula>
    </cfRule>
    <cfRule type="expression" dxfId="6498" priority="3179">
      <formula>SEARCH("DA CHIUDERE",$M133)&gt;0</formula>
    </cfRule>
    <cfRule type="expression" dxfId="6497" priority="3180">
      <formula>SEARCH("INTERROTTO",$M133)&gt;0</formula>
    </cfRule>
  </conditionalFormatting>
  <conditionalFormatting sqref="E132:G132 N132:Q132">
    <cfRule type="expression" dxfId="6496" priority="3169">
      <formula>SEARCH("IN CORSO",$M132)&gt;0</formula>
    </cfRule>
    <cfRule type="expression" dxfId="6495" priority="3170">
      <formula>SEARCH("CHIUSO",$M132)&gt;0</formula>
    </cfRule>
    <cfRule type="expression" dxfId="6494" priority="3171">
      <formula>SEARCH("EMESSO",$M132)&gt;0</formula>
    </cfRule>
    <cfRule type="expression" dxfId="6493" priority="3172">
      <formula>SEARCH("RICHIESTO",$M132)&gt;0</formula>
    </cfRule>
    <cfRule type="expression" dxfId="6492" priority="3173">
      <formula>SEARCH("DA CHIUDERE",$M132)&gt;0</formula>
    </cfRule>
    <cfRule type="expression" dxfId="6491" priority="3174">
      <formula>SEARCH("INTERROTTO",$M132)&gt;0</formula>
    </cfRule>
  </conditionalFormatting>
  <conditionalFormatting sqref="R132:S132">
    <cfRule type="expression" dxfId="6490" priority="3163">
      <formula>SEARCH("IN CORSO",$M132)&gt;0</formula>
    </cfRule>
    <cfRule type="expression" dxfId="6489" priority="3164">
      <formula>SEARCH("CHIUSO",$M132)&gt;0</formula>
    </cfRule>
    <cfRule type="expression" dxfId="6488" priority="3165">
      <formula>SEARCH("EMESSO",$M132)&gt;0</formula>
    </cfRule>
    <cfRule type="expression" dxfId="6487" priority="3166">
      <formula>SEARCH("RICHIESTO",$M132)&gt;0</formula>
    </cfRule>
    <cfRule type="expression" dxfId="6486" priority="3167">
      <formula>SEARCH("DA CHIUDERE",$M132)&gt;0</formula>
    </cfRule>
    <cfRule type="expression" dxfId="6485" priority="3168">
      <formula>SEARCH("INTERROTTO",$M132)&gt;0</formula>
    </cfRule>
  </conditionalFormatting>
  <conditionalFormatting sqref="M132">
    <cfRule type="expression" dxfId="6484" priority="3157">
      <formula>SEARCH("IN CORSO",$M132)&gt;0</formula>
    </cfRule>
    <cfRule type="expression" dxfId="6483" priority="3158">
      <formula>SEARCH("CHIUSO",$M132)&gt;0</formula>
    </cfRule>
    <cfRule type="expression" dxfId="6482" priority="3159">
      <formula>SEARCH("EMESSO",$M132)&gt;0</formula>
    </cfRule>
    <cfRule type="expression" dxfId="6481" priority="3160">
      <formula>SEARCH("RICHIESTO",$M132)&gt;0</formula>
    </cfRule>
    <cfRule type="expression" dxfId="6480" priority="3161">
      <formula>SEARCH("DA CHIUDERE",$M132)&gt;0</formula>
    </cfRule>
    <cfRule type="expression" dxfId="6479" priority="3162">
      <formula>SEARCH("INTERROTTO",$M132)&gt;0</formula>
    </cfRule>
  </conditionalFormatting>
  <conditionalFormatting sqref="E131:G131 N131:Q131">
    <cfRule type="expression" dxfId="6478" priority="3151">
      <formula>SEARCH("IN CORSO",$M131)&gt;0</formula>
    </cfRule>
    <cfRule type="expression" dxfId="6477" priority="3152">
      <formula>SEARCH("CHIUSO",$M131)&gt;0</formula>
    </cfRule>
    <cfRule type="expression" dxfId="6476" priority="3153">
      <formula>SEARCH("EMESSO",$M131)&gt;0</formula>
    </cfRule>
    <cfRule type="expression" dxfId="6475" priority="3154">
      <formula>SEARCH("RICHIESTO",$M131)&gt;0</formula>
    </cfRule>
    <cfRule type="expression" dxfId="6474" priority="3155">
      <formula>SEARCH("DA CHIUDERE",$M131)&gt;0</formula>
    </cfRule>
    <cfRule type="expression" dxfId="6473" priority="3156">
      <formula>SEARCH("INTERROTTO",$M131)&gt;0</formula>
    </cfRule>
  </conditionalFormatting>
  <conditionalFormatting sqref="R131:S131">
    <cfRule type="expression" dxfId="6472" priority="3145">
      <formula>SEARCH("IN CORSO",$M131)&gt;0</formula>
    </cfRule>
    <cfRule type="expression" dxfId="6471" priority="3146">
      <formula>SEARCH("CHIUSO",$M131)&gt;0</formula>
    </cfRule>
    <cfRule type="expression" dxfId="6470" priority="3147">
      <formula>SEARCH("EMESSO",$M131)&gt;0</formula>
    </cfRule>
    <cfRule type="expression" dxfId="6469" priority="3148">
      <formula>SEARCH("RICHIESTO",$M131)&gt;0</formula>
    </cfRule>
    <cfRule type="expression" dxfId="6468" priority="3149">
      <formula>SEARCH("DA CHIUDERE",$M131)&gt;0</formula>
    </cfRule>
    <cfRule type="expression" dxfId="6467" priority="3150">
      <formula>SEARCH("INTERROTTO",$M131)&gt;0</formula>
    </cfRule>
  </conditionalFormatting>
  <conditionalFormatting sqref="M131">
    <cfRule type="expression" dxfId="6466" priority="3139">
      <formula>SEARCH("IN CORSO",$M131)&gt;0</formula>
    </cfRule>
    <cfRule type="expression" dxfId="6465" priority="3140">
      <formula>SEARCH("CHIUSO",$M131)&gt;0</formula>
    </cfRule>
    <cfRule type="expression" dxfId="6464" priority="3141">
      <formula>SEARCH("EMESSO",$M131)&gt;0</formula>
    </cfRule>
    <cfRule type="expression" dxfId="6463" priority="3142">
      <formula>SEARCH("RICHIESTO",$M131)&gt;0</formula>
    </cfRule>
    <cfRule type="expression" dxfId="6462" priority="3143">
      <formula>SEARCH("DA CHIUDERE",$M131)&gt;0</formula>
    </cfRule>
    <cfRule type="expression" dxfId="6461" priority="3144">
      <formula>SEARCH("INTERROTTO",$M131)&gt;0</formula>
    </cfRule>
  </conditionalFormatting>
  <conditionalFormatting sqref="E130:G130 N130:Q130">
    <cfRule type="expression" dxfId="6460" priority="3133">
      <formula>SEARCH("IN CORSO",$M130)&gt;0</formula>
    </cfRule>
    <cfRule type="expression" dxfId="6459" priority="3134">
      <formula>SEARCH("CHIUSO",$M130)&gt;0</formula>
    </cfRule>
    <cfRule type="expression" dxfId="6458" priority="3135">
      <formula>SEARCH("EMESSO",$M130)&gt;0</formula>
    </cfRule>
    <cfRule type="expression" dxfId="6457" priority="3136">
      <formula>SEARCH("RICHIESTO",$M130)&gt;0</formula>
    </cfRule>
    <cfRule type="expression" dxfId="6456" priority="3137">
      <formula>SEARCH("DA CHIUDERE",$M130)&gt;0</formula>
    </cfRule>
    <cfRule type="expression" dxfId="6455" priority="3138">
      <formula>SEARCH("INTERROTTO",$M130)&gt;0</formula>
    </cfRule>
  </conditionalFormatting>
  <conditionalFormatting sqref="R130:S130">
    <cfRule type="expression" dxfId="6454" priority="3127">
      <formula>SEARCH("IN CORSO",$M130)&gt;0</formula>
    </cfRule>
    <cfRule type="expression" dxfId="6453" priority="3128">
      <formula>SEARCH("CHIUSO",$M130)&gt;0</formula>
    </cfRule>
    <cfRule type="expression" dxfId="6452" priority="3129">
      <formula>SEARCH("EMESSO",$M130)&gt;0</formula>
    </cfRule>
    <cfRule type="expression" dxfId="6451" priority="3130">
      <formula>SEARCH("RICHIESTO",$M130)&gt;0</formula>
    </cfRule>
    <cfRule type="expression" dxfId="6450" priority="3131">
      <formula>SEARCH("DA CHIUDERE",$M130)&gt;0</formula>
    </cfRule>
    <cfRule type="expression" dxfId="6449" priority="3132">
      <formula>SEARCH("INTERROTTO",$M130)&gt;0</formula>
    </cfRule>
  </conditionalFormatting>
  <conditionalFormatting sqref="M130">
    <cfRule type="expression" dxfId="6448" priority="3121">
      <formula>SEARCH("IN CORSO",$M130)&gt;0</formula>
    </cfRule>
    <cfRule type="expression" dxfId="6447" priority="3122">
      <formula>SEARCH("CHIUSO",$M130)&gt;0</formula>
    </cfRule>
    <cfRule type="expression" dxfId="6446" priority="3123">
      <formula>SEARCH("EMESSO",$M130)&gt;0</formula>
    </cfRule>
    <cfRule type="expression" dxfId="6445" priority="3124">
      <formula>SEARCH("RICHIESTO",$M130)&gt;0</formula>
    </cfRule>
    <cfRule type="expression" dxfId="6444" priority="3125">
      <formula>SEARCH("DA CHIUDERE",$M130)&gt;0</formula>
    </cfRule>
    <cfRule type="expression" dxfId="6443" priority="3126">
      <formula>SEARCH("INTERROTTO",$M130)&gt;0</formula>
    </cfRule>
  </conditionalFormatting>
  <conditionalFormatting sqref="E129:G129 N129:Q129">
    <cfRule type="expression" dxfId="6442" priority="3115">
      <formula>SEARCH("IN CORSO",$M129)&gt;0</formula>
    </cfRule>
    <cfRule type="expression" dxfId="6441" priority="3116">
      <formula>SEARCH("CHIUSO",$M129)&gt;0</formula>
    </cfRule>
    <cfRule type="expression" dxfId="6440" priority="3117">
      <formula>SEARCH("EMESSO",$M129)&gt;0</formula>
    </cfRule>
    <cfRule type="expression" dxfId="6439" priority="3118">
      <formula>SEARCH("RICHIESTO",$M129)&gt;0</formula>
    </cfRule>
    <cfRule type="expression" dxfId="6438" priority="3119">
      <formula>SEARCH("DA CHIUDERE",$M129)&gt;0</formula>
    </cfRule>
    <cfRule type="expression" dxfId="6437" priority="3120">
      <formula>SEARCH("INTERROTTO",$M129)&gt;0</formula>
    </cfRule>
  </conditionalFormatting>
  <conditionalFormatting sqref="R129:S129">
    <cfRule type="expression" dxfId="6436" priority="3109">
      <formula>SEARCH("IN CORSO",$M129)&gt;0</formula>
    </cfRule>
    <cfRule type="expression" dxfId="6435" priority="3110">
      <formula>SEARCH("CHIUSO",$M129)&gt;0</formula>
    </cfRule>
    <cfRule type="expression" dxfId="6434" priority="3111">
      <formula>SEARCH("EMESSO",$M129)&gt;0</formula>
    </cfRule>
    <cfRule type="expression" dxfId="6433" priority="3112">
      <formula>SEARCH("RICHIESTO",$M129)&gt;0</formula>
    </cfRule>
    <cfRule type="expression" dxfId="6432" priority="3113">
      <formula>SEARCH("DA CHIUDERE",$M129)&gt;0</formula>
    </cfRule>
    <cfRule type="expression" dxfId="6431" priority="3114">
      <formula>SEARCH("INTERROTTO",$M129)&gt;0</formula>
    </cfRule>
  </conditionalFormatting>
  <conditionalFormatting sqref="M129">
    <cfRule type="expression" dxfId="6430" priority="3103">
      <formula>SEARCH("IN CORSO",$M129)&gt;0</formula>
    </cfRule>
    <cfRule type="expression" dxfId="6429" priority="3104">
      <formula>SEARCH("CHIUSO",$M129)&gt;0</formula>
    </cfRule>
    <cfRule type="expression" dxfId="6428" priority="3105">
      <formula>SEARCH("EMESSO",$M129)&gt;0</formula>
    </cfRule>
    <cfRule type="expression" dxfId="6427" priority="3106">
      <formula>SEARCH("RICHIESTO",$M129)&gt;0</formula>
    </cfRule>
    <cfRule type="expression" dxfId="6426" priority="3107">
      <formula>SEARCH("DA CHIUDERE",$M129)&gt;0</formula>
    </cfRule>
    <cfRule type="expression" dxfId="6425" priority="3108">
      <formula>SEARCH("INTERROTTO",$M129)&gt;0</formula>
    </cfRule>
  </conditionalFormatting>
  <conditionalFormatting sqref="E128:G128 N128:Q128">
    <cfRule type="expression" dxfId="6424" priority="3097">
      <formula>SEARCH("IN CORSO",$M128)&gt;0</formula>
    </cfRule>
    <cfRule type="expression" dxfId="6423" priority="3098">
      <formula>SEARCH("CHIUSO",$M128)&gt;0</formula>
    </cfRule>
    <cfRule type="expression" dxfId="6422" priority="3099">
      <formula>SEARCH("EMESSO",$M128)&gt;0</formula>
    </cfRule>
    <cfRule type="expression" dxfId="6421" priority="3100">
      <formula>SEARCH("RICHIESTO",$M128)&gt;0</formula>
    </cfRule>
    <cfRule type="expression" dxfId="6420" priority="3101">
      <formula>SEARCH("DA CHIUDERE",$M128)&gt;0</formula>
    </cfRule>
    <cfRule type="expression" dxfId="6419" priority="3102">
      <formula>SEARCH("INTERROTTO",$M128)&gt;0</formula>
    </cfRule>
  </conditionalFormatting>
  <conditionalFormatting sqref="R128:S128">
    <cfRule type="expression" dxfId="6418" priority="3091">
      <formula>SEARCH("IN CORSO",$M128)&gt;0</formula>
    </cfRule>
    <cfRule type="expression" dxfId="6417" priority="3092">
      <formula>SEARCH("CHIUSO",$M128)&gt;0</formula>
    </cfRule>
    <cfRule type="expression" dxfId="6416" priority="3093">
      <formula>SEARCH("EMESSO",$M128)&gt;0</formula>
    </cfRule>
    <cfRule type="expression" dxfId="6415" priority="3094">
      <formula>SEARCH("RICHIESTO",$M128)&gt;0</formula>
    </cfRule>
    <cfRule type="expression" dxfId="6414" priority="3095">
      <formula>SEARCH("DA CHIUDERE",$M128)&gt;0</formula>
    </cfRule>
    <cfRule type="expression" dxfId="6413" priority="3096">
      <formula>SEARCH("INTERROTTO",$M128)&gt;0</formula>
    </cfRule>
  </conditionalFormatting>
  <conditionalFormatting sqref="M128">
    <cfRule type="expression" dxfId="6412" priority="3085">
      <formula>SEARCH("IN CORSO",$M128)&gt;0</formula>
    </cfRule>
    <cfRule type="expression" dxfId="6411" priority="3086">
      <formula>SEARCH("CHIUSO",$M128)&gt;0</formula>
    </cfRule>
    <cfRule type="expression" dxfId="6410" priority="3087">
      <formula>SEARCH("EMESSO",$M128)&gt;0</formula>
    </cfRule>
    <cfRule type="expression" dxfId="6409" priority="3088">
      <formula>SEARCH("RICHIESTO",$M128)&gt;0</formula>
    </cfRule>
    <cfRule type="expression" dxfId="6408" priority="3089">
      <formula>SEARCH("DA CHIUDERE",$M128)&gt;0</formula>
    </cfRule>
    <cfRule type="expression" dxfId="6407" priority="3090">
      <formula>SEARCH("INTERROTTO",$M128)&gt;0</formula>
    </cfRule>
  </conditionalFormatting>
  <conditionalFormatting sqref="E127:G127 N127:Q127">
    <cfRule type="expression" dxfId="6406" priority="3079">
      <formula>SEARCH("IN CORSO",$M127)&gt;0</formula>
    </cfRule>
    <cfRule type="expression" dxfId="6405" priority="3080">
      <formula>SEARCH("CHIUSO",$M127)&gt;0</formula>
    </cfRule>
    <cfRule type="expression" dxfId="6404" priority="3081">
      <formula>SEARCH("EMESSO",$M127)&gt;0</formula>
    </cfRule>
    <cfRule type="expression" dxfId="6403" priority="3082">
      <formula>SEARCH("RICHIESTO",$M127)&gt;0</formula>
    </cfRule>
    <cfRule type="expression" dxfId="6402" priority="3083">
      <formula>SEARCH("DA CHIUDERE",$M127)&gt;0</formula>
    </cfRule>
    <cfRule type="expression" dxfId="6401" priority="3084">
      <formula>SEARCH("INTERROTTO",$M127)&gt;0</formula>
    </cfRule>
  </conditionalFormatting>
  <conditionalFormatting sqref="R127:S127">
    <cfRule type="expression" dxfId="6400" priority="3073">
      <formula>SEARCH("IN CORSO",$M127)&gt;0</formula>
    </cfRule>
    <cfRule type="expression" dxfId="6399" priority="3074">
      <formula>SEARCH("CHIUSO",$M127)&gt;0</formula>
    </cfRule>
    <cfRule type="expression" dxfId="6398" priority="3075">
      <formula>SEARCH("EMESSO",$M127)&gt;0</formula>
    </cfRule>
    <cfRule type="expression" dxfId="6397" priority="3076">
      <formula>SEARCH("RICHIESTO",$M127)&gt;0</formula>
    </cfRule>
    <cfRule type="expression" dxfId="6396" priority="3077">
      <formula>SEARCH("DA CHIUDERE",$M127)&gt;0</formula>
    </cfRule>
    <cfRule type="expression" dxfId="6395" priority="3078">
      <formula>SEARCH("INTERROTTO",$M127)&gt;0</formula>
    </cfRule>
  </conditionalFormatting>
  <conditionalFormatting sqref="M127">
    <cfRule type="expression" dxfId="6394" priority="3067">
      <formula>SEARCH("IN CORSO",$M127)&gt;0</formula>
    </cfRule>
    <cfRule type="expression" dxfId="6393" priority="3068">
      <formula>SEARCH("CHIUSO",$M127)&gt;0</formula>
    </cfRule>
    <cfRule type="expression" dxfId="6392" priority="3069">
      <formula>SEARCH("EMESSO",$M127)&gt;0</formula>
    </cfRule>
    <cfRule type="expression" dxfId="6391" priority="3070">
      <formula>SEARCH("RICHIESTO",$M127)&gt;0</formula>
    </cfRule>
    <cfRule type="expression" dxfId="6390" priority="3071">
      <formula>SEARCH("DA CHIUDERE",$M127)&gt;0</formula>
    </cfRule>
    <cfRule type="expression" dxfId="6389" priority="3072">
      <formula>SEARCH("INTERROTTO",$M127)&gt;0</formula>
    </cfRule>
  </conditionalFormatting>
  <conditionalFormatting sqref="E126:G126 N126:Q126">
    <cfRule type="expression" dxfId="6388" priority="3061">
      <formula>SEARCH("IN CORSO",$M126)&gt;0</formula>
    </cfRule>
    <cfRule type="expression" dxfId="6387" priority="3062">
      <formula>SEARCH("CHIUSO",$M126)&gt;0</formula>
    </cfRule>
    <cfRule type="expression" dxfId="6386" priority="3063">
      <formula>SEARCH("EMESSO",$M126)&gt;0</formula>
    </cfRule>
    <cfRule type="expression" dxfId="6385" priority="3064">
      <formula>SEARCH("RICHIESTO",$M126)&gt;0</formula>
    </cfRule>
    <cfRule type="expression" dxfId="6384" priority="3065">
      <formula>SEARCH("DA CHIUDERE",$M126)&gt;0</formula>
    </cfRule>
    <cfRule type="expression" dxfId="6383" priority="3066">
      <formula>SEARCH("INTERROTTO",$M126)&gt;0</formula>
    </cfRule>
  </conditionalFormatting>
  <conditionalFormatting sqref="R126:S126">
    <cfRule type="expression" dxfId="6382" priority="3055">
      <formula>SEARCH("IN CORSO",$M126)&gt;0</formula>
    </cfRule>
    <cfRule type="expression" dxfId="6381" priority="3056">
      <formula>SEARCH("CHIUSO",$M126)&gt;0</formula>
    </cfRule>
    <cfRule type="expression" dxfId="6380" priority="3057">
      <formula>SEARCH("EMESSO",$M126)&gt;0</formula>
    </cfRule>
    <cfRule type="expression" dxfId="6379" priority="3058">
      <formula>SEARCH("RICHIESTO",$M126)&gt;0</formula>
    </cfRule>
    <cfRule type="expression" dxfId="6378" priority="3059">
      <formula>SEARCH("DA CHIUDERE",$M126)&gt;0</formula>
    </cfRule>
    <cfRule type="expression" dxfId="6377" priority="3060">
      <formula>SEARCH("INTERROTTO",$M126)&gt;0</formula>
    </cfRule>
  </conditionalFormatting>
  <conditionalFormatting sqref="M126">
    <cfRule type="expression" dxfId="6376" priority="3049">
      <formula>SEARCH("IN CORSO",$M126)&gt;0</formula>
    </cfRule>
    <cfRule type="expression" dxfId="6375" priority="3050">
      <formula>SEARCH("CHIUSO",$M126)&gt;0</formula>
    </cfRule>
    <cfRule type="expression" dxfId="6374" priority="3051">
      <formula>SEARCH("EMESSO",$M126)&gt;0</formula>
    </cfRule>
    <cfRule type="expression" dxfId="6373" priority="3052">
      <formula>SEARCH("RICHIESTO",$M126)&gt;0</formula>
    </cfRule>
    <cfRule type="expression" dxfId="6372" priority="3053">
      <formula>SEARCH("DA CHIUDERE",$M126)&gt;0</formula>
    </cfRule>
    <cfRule type="expression" dxfId="6371" priority="3054">
      <formula>SEARCH("INTERROTTO",$M126)&gt;0</formula>
    </cfRule>
  </conditionalFormatting>
  <conditionalFormatting sqref="E125:G125 N125:Q125">
    <cfRule type="expression" dxfId="6370" priority="3043">
      <formula>SEARCH("IN CORSO",$M125)&gt;0</formula>
    </cfRule>
    <cfRule type="expression" dxfId="6369" priority="3044">
      <formula>SEARCH("CHIUSO",$M125)&gt;0</formula>
    </cfRule>
    <cfRule type="expression" dxfId="6368" priority="3045">
      <formula>SEARCH("EMESSO",$M125)&gt;0</formula>
    </cfRule>
    <cfRule type="expression" dxfId="6367" priority="3046">
      <formula>SEARCH("RICHIESTO",$M125)&gt;0</formula>
    </cfRule>
    <cfRule type="expression" dxfId="6366" priority="3047">
      <formula>SEARCH("DA CHIUDERE",$M125)&gt;0</formula>
    </cfRule>
    <cfRule type="expression" dxfId="6365" priority="3048">
      <formula>SEARCH("INTERROTTO",$M125)&gt;0</formula>
    </cfRule>
  </conditionalFormatting>
  <conditionalFormatting sqref="R125:S125">
    <cfRule type="expression" dxfId="6364" priority="3037">
      <formula>SEARCH("IN CORSO",$M125)&gt;0</formula>
    </cfRule>
    <cfRule type="expression" dxfId="6363" priority="3038">
      <formula>SEARCH("CHIUSO",$M125)&gt;0</formula>
    </cfRule>
    <cfRule type="expression" dxfId="6362" priority="3039">
      <formula>SEARCH("EMESSO",$M125)&gt;0</formula>
    </cfRule>
    <cfRule type="expression" dxfId="6361" priority="3040">
      <formula>SEARCH("RICHIESTO",$M125)&gt;0</formula>
    </cfRule>
    <cfRule type="expression" dxfId="6360" priority="3041">
      <formula>SEARCH("DA CHIUDERE",$M125)&gt;0</formula>
    </cfRule>
    <cfRule type="expression" dxfId="6359" priority="3042">
      <formula>SEARCH("INTERROTTO",$M125)&gt;0</formula>
    </cfRule>
  </conditionalFormatting>
  <conditionalFormatting sqref="M125">
    <cfRule type="expression" dxfId="6358" priority="3031">
      <formula>SEARCH("IN CORSO",$M125)&gt;0</formula>
    </cfRule>
    <cfRule type="expression" dxfId="6357" priority="3032">
      <formula>SEARCH("CHIUSO",$M125)&gt;0</formula>
    </cfRule>
    <cfRule type="expression" dxfId="6356" priority="3033">
      <formula>SEARCH("EMESSO",$M125)&gt;0</formula>
    </cfRule>
    <cfRule type="expression" dxfId="6355" priority="3034">
      <formula>SEARCH("RICHIESTO",$M125)&gt;0</formula>
    </cfRule>
    <cfRule type="expression" dxfId="6354" priority="3035">
      <formula>SEARCH("DA CHIUDERE",$M125)&gt;0</formula>
    </cfRule>
    <cfRule type="expression" dxfId="6353" priority="3036">
      <formula>SEARCH("INTERROTTO",$M125)&gt;0</formula>
    </cfRule>
  </conditionalFormatting>
  <conditionalFormatting sqref="E124:G124 N124:Q124">
    <cfRule type="expression" dxfId="6352" priority="3025">
      <formula>SEARCH("IN CORSO",$M124)&gt;0</formula>
    </cfRule>
    <cfRule type="expression" dxfId="6351" priority="3026">
      <formula>SEARCH("CHIUSO",$M124)&gt;0</formula>
    </cfRule>
    <cfRule type="expression" dxfId="6350" priority="3027">
      <formula>SEARCH("EMESSO",$M124)&gt;0</formula>
    </cfRule>
    <cfRule type="expression" dxfId="6349" priority="3028">
      <formula>SEARCH("RICHIESTO",$M124)&gt;0</formula>
    </cfRule>
    <cfRule type="expression" dxfId="6348" priority="3029">
      <formula>SEARCH("DA CHIUDERE",$M124)&gt;0</formula>
    </cfRule>
    <cfRule type="expression" dxfId="6347" priority="3030">
      <formula>SEARCH("INTERROTTO",$M124)&gt;0</formula>
    </cfRule>
  </conditionalFormatting>
  <conditionalFormatting sqref="R124:S124">
    <cfRule type="expression" dxfId="6346" priority="3019">
      <formula>SEARCH("IN CORSO",$M124)&gt;0</formula>
    </cfRule>
    <cfRule type="expression" dxfId="6345" priority="3020">
      <formula>SEARCH("CHIUSO",$M124)&gt;0</formula>
    </cfRule>
    <cfRule type="expression" dxfId="6344" priority="3021">
      <formula>SEARCH("EMESSO",$M124)&gt;0</formula>
    </cfRule>
    <cfRule type="expression" dxfId="6343" priority="3022">
      <formula>SEARCH("RICHIESTO",$M124)&gt;0</formula>
    </cfRule>
    <cfRule type="expression" dxfId="6342" priority="3023">
      <formula>SEARCH("DA CHIUDERE",$M124)&gt;0</formula>
    </cfRule>
    <cfRule type="expression" dxfId="6341" priority="3024">
      <formula>SEARCH("INTERROTTO",$M124)&gt;0</formula>
    </cfRule>
  </conditionalFormatting>
  <conditionalFormatting sqref="M124">
    <cfRule type="expression" dxfId="6340" priority="3013">
      <formula>SEARCH("IN CORSO",$M124)&gt;0</formula>
    </cfRule>
    <cfRule type="expression" dxfId="6339" priority="3014">
      <formula>SEARCH("CHIUSO",$M124)&gt;0</formula>
    </cfRule>
    <cfRule type="expression" dxfId="6338" priority="3015">
      <formula>SEARCH("EMESSO",$M124)&gt;0</formula>
    </cfRule>
    <cfRule type="expression" dxfId="6337" priority="3016">
      <formula>SEARCH("RICHIESTO",$M124)&gt;0</formula>
    </cfRule>
    <cfRule type="expression" dxfId="6336" priority="3017">
      <formula>SEARCH("DA CHIUDERE",$M124)&gt;0</formula>
    </cfRule>
    <cfRule type="expression" dxfId="6335" priority="3018">
      <formula>SEARCH("INTERROTTO",$M124)&gt;0</formula>
    </cfRule>
  </conditionalFormatting>
  <conditionalFormatting sqref="E123:G123 N123:Q123">
    <cfRule type="expression" dxfId="6334" priority="3007">
      <formula>SEARCH("IN CORSO",$M123)&gt;0</formula>
    </cfRule>
    <cfRule type="expression" dxfId="6333" priority="3008">
      <formula>SEARCH("CHIUSO",$M123)&gt;0</formula>
    </cfRule>
    <cfRule type="expression" dxfId="6332" priority="3009">
      <formula>SEARCH("EMESSO",$M123)&gt;0</formula>
    </cfRule>
    <cfRule type="expression" dxfId="6331" priority="3010">
      <formula>SEARCH("RICHIESTO",$M123)&gt;0</formula>
    </cfRule>
    <cfRule type="expression" dxfId="6330" priority="3011">
      <formula>SEARCH("DA CHIUDERE",$M123)&gt;0</formula>
    </cfRule>
    <cfRule type="expression" dxfId="6329" priority="3012">
      <formula>SEARCH("INTERROTTO",$M123)&gt;0</formula>
    </cfRule>
  </conditionalFormatting>
  <conditionalFormatting sqref="R123:S123">
    <cfRule type="expression" dxfId="6328" priority="3001">
      <formula>SEARCH("IN CORSO",$M123)&gt;0</formula>
    </cfRule>
    <cfRule type="expression" dxfId="6327" priority="3002">
      <formula>SEARCH("CHIUSO",$M123)&gt;0</formula>
    </cfRule>
    <cfRule type="expression" dxfId="6326" priority="3003">
      <formula>SEARCH("EMESSO",$M123)&gt;0</formula>
    </cfRule>
    <cfRule type="expression" dxfId="6325" priority="3004">
      <formula>SEARCH("RICHIESTO",$M123)&gt;0</formula>
    </cfRule>
    <cfRule type="expression" dxfId="6324" priority="3005">
      <formula>SEARCH("DA CHIUDERE",$M123)&gt;0</formula>
    </cfRule>
    <cfRule type="expression" dxfId="6323" priority="3006">
      <formula>SEARCH("INTERROTTO",$M123)&gt;0</formula>
    </cfRule>
  </conditionalFormatting>
  <conditionalFormatting sqref="M123">
    <cfRule type="expression" dxfId="6322" priority="2995">
      <formula>SEARCH("IN CORSO",$M123)&gt;0</formula>
    </cfRule>
    <cfRule type="expression" dxfId="6321" priority="2996">
      <formula>SEARCH("CHIUSO",$M123)&gt;0</formula>
    </cfRule>
    <cfRule type="expression" dxfId="6320" priority="2997">
      <formula>SEARCH("EMESSO",$M123)&gt;0</formula>
    </cfRule>
    <cfRule type="expression" dxfId="6319" priority="2998">
      <formula>SEARCH("RICHIESTO",$M123)&gt;0</formula>
    </cfRule>
    <cfRule type="expression" dxfId="6318" priority="2999">
      <formula>SEARCH("DA CHIUDERE",$M123)&gt;0</formula>
    </cfRule>
    <cfRule type="expression" dxfId="6317" priority="3000">
      <formula>SEARCH("INTERROTTO",$M123)&gt;0</formula>
    </cfRule>
  </conditionalFormatting>
  <conditionalFormatting sqref="E122:G122 N122:Q122">
    <cfRule type="expression" dxfId="6316" priority="2989">
      <formula>SEARCH("IN CORSO",$M122)&gt;0</formula>
    </cfRule>
    <cfRule type="expression" dxfId="6315" priority="2990">
      <formula>SEARCH("CHIUSO",$M122)&gt;0</formula>
    </cfRule>
    <cfRule type="expression" dxfId="6314" priority="2991">
      <formula>SEARCH("EMESSO",$M122)&gt;0</formula>
    </cfRule>
    <cfRule type="expression" dxfId="6313" priority="2992">
      <formula>SEARCH("RICHIESTO",$M122)&gt;0</formula>
    </cfRule>
    <cfRule type="expression" dxfId="6312" priority="2993">
      <formula>SEARCH("DA CHIUDERE",$M122)&gt;0</formula>
    </cfRule>
    <cfRule type="expression" dxfId="6311" priority="2994">
      <formula>SEARCH("INTERROTTO",$M122)&gt;0</formula>
    </cfRule>
  </conditionalFormatting>
  <conditionalFormatting sqref="R122:S122">
    <cfRule type="expression" dxfId="6310" priority="2983">
      <formula>SEARCH("IN CORSO",$M122)&gt;0</formula>
    </cfRule>
    <cfRule type="expression" dxfId="6309" priority="2984">
      <formula>SEARCH("CHIUSO",$M122)&gt;0</formula>
    </cfRule>
    <cfRule type="expression" dxfId="6308" priority="2985">
      <formula>SEARCH("EMESSO",$M122)&gt;0</formula>
    </cfRule>
    <cfRule type="expression" dxfId="6307" priority="2986">
      <formula>SEARCH("RICHIESTO",$M122)&gt;0</formula>
    </cfRule>
    <cfRule type="expression" dxfId="6306" priority="2987">
      <formula>SEARCH("DA CHIUDERE",$M122)&gt;0</formula>
    </cfRule>
    <cfRule type="expression" dxfId="6305" priority="2988">
      <formula>SEARCH("INTERROTTO",$M122)&gt;0</formula>
    </cfRule>
  </conditionalFormatting>
  <conditionalFormatting sqref="M122">
    <cfRule type="expression" dxfId="6304" priority="2977">
      <formula>SEARCH("IN CORSO",$M122)&gt;0</formula>
    </cfRule>
    <cfRule type="expression" dxfId="6303" priority="2978">
      <formula>SEARCH("CHIUSO",$M122)&gt;0</formula>
    </cfRule>
    <cfRule type="expression" dxfId="6302" priority="2979">
      <formula>SEARCH("EMESSO",$M122)&gt;0</formula>
    </cfRule>
    <cfRule type="expression" dxfId="6301" priority="2980">
      <formula>SEARCH("RICHIESTO",$M122)&gt;0</formula>
    </cfRule>
    <cfRule type="expression" dxfId="6300" priority="2981">
      <formula>SEARCH("DA CHIUDERE",$M122)&gt;0</formula>
    </cfRule>
    <cfRule type="expression" dxfId="6299" priority="2982">
      <formula>SEARCH("INTERROTTO",$M122)&gt;0</formula>
    </cfRule>
  </conditionalFormatting>
  <conditionalFormatting sqref="E121:G121 N121:Q121">
    <cfRule type="expression" dxfId="6298" priority="2971">
      <formula>SEARCH("IN CORSO",$M121)&gt;0</formula>
    </cfRule>
    <cfRule type="expression" dxfId="6297" priority="2972">
      <formula>SEARCH("CHIUSO",$M121)&gt;0</formula>
    </cfRule>
    <cfRule type="expression" dxfId="6296" priority="2973">
      <formula>SEARCH("EMESSO",$M121)&gt;0</formula>
    </cfRule>
    <cfRule type="expression" dxfId="6295" priority="2974">
      <formula>SEARCH("RICHIESTO",$M121)&gt;0</formula>
    </cfRule>
    <cfRule type="expression" dxfId="6294" priority="2975">
      <formula>SEARCH("DA CHIUDERE",$M121)&gt;0</formula>
    </cfRule>
    <cfRule type="expression" dxfId="6293" priority="2976">
      <formula>SEARCH("INTERROTTO",$M121)&gt;0</formula>
    </cfRule>
  </conditionalFormatting>
  <conditionalFormatting sqref="R121:S121">
    <cfRule type="expression" dxfId="6292" priority="2965">
      <formula>SEARCH("IN CORSO",$M121)&gt;0</formula>
    </cfRule>
    <cfRule type="expression" dxfId="6291" priority="2966">
      <formula>SEARCH("CHIUSO",$M121)&gt;0</formula>
    </cfRule>
    <cfRule type="expression" dxfId="6290" priority="2967">
      <formula>SEARCH("EMESSO",$M121)&gt;0</formula>
    </cfRule>
    <cfRule type="expression" dxfId="6289" priority="2968">
      <formula>SEARCH("RICHIESTO",$M121)&gt;0</formula>
    </cfRule>
    <cfRule type="expression" dxfId="6288" priority="2969">
      <formula>SEARCH("DA CHIUDERE",$M121)&gt;0</formula>
    </cfRule>
    <cfRule type="expression" dxfId="6287" priority="2970">
      <formula>SEARCH("INTERROTTO",$M121)&gt;0</formula>
    </cfRule>
  </conditionalFormatting>
  <conditionalFormatting sqref="M121">
    <cfRule type="expression" dxfId="6286" priority="2959">
      <formula>SEARCH("IN CORSO",$M121)&gt;0</formula>
    </cfRule>
    <cfRule type="expression" dxfId="6285" priority="2960">
      <formula>SEARCH("CHIUSO",$M121)&gt;0</formula>
    </cfRule>
    <cfRule type="expression" dxfId="6284" priority="2961">
      <formula>SEARCH("EMESSO",$M121)&gt;0</formula>
    </cfRule>
    <cfRule type="expression" dxfId="6283" priority="2962">
      <formula>SEARCH("RICHIESTO",$M121)&gt;0</formula>
    </cfRule>
    <cfRule type="expression" dxfId="6282" priority="2963">
      <formula>SEARCH("DA CHIUDERE",$M121)&gt;0</formula>
    </cfRule>
    <cfRule type="expression" dxfId="6281" priority="2964">
      <formula>SEARCH("INTERROTTO",$M121)&gt;0</formula>
    </cfRule>
  </conditionalFormatting>
  <conditionalFormatting sqref="E120:G120 N120:Q120">
    <cfRule type="expression" dxfId="6280" priority="2953">
      <formula>SEARCH("IN CORSO",$M120)&gt;0</formula>
    </cfRule>
    <cfRule type="expression" dxfId="6279" priority="2954">
      <formula>SEARCH("CHIUSO",$M120)&gt;0</formula>
    </cfRule>
    <cfRule type="expression" dxfId="6278" priority="2955">
      <formula>SEARCH("EMESSO",$M120)&gt;0</formula>
    </cfRule>
    <cfRule type="expression" dxfId="6277" priority="2956">
      <formula>SEARCH("RICHIESTO",$M120)&gt;0</formula>
    </cfRule>
    <cfRule type="expression" dxfId="6276" priority="2957">
      <formula>SEARCH("DA CHIUDERE",$M120)&gt;0</formula>
    </cfRule>
    <cfRule type="expression" dxfId="6275" priority="2958">
      <formula>SEARCH("INTERROTTO",$M120)&gt;0</formula>
    </cfRule>
  </conditionalFormatting>
  <conditionalFormatting sqref="R120:S120">
    <cfRule type="expression" dxfId="6274" priority="2947">
      <formula>SEARCH("IN CORSO",$M120)&gt;0</formula>
    </cfRule>
    <cfRule type="expression" dxfId="6273" priority="2948">
      <formula>SEARCH("CHIUSO",$M120)&gt;0</formula>
    </cfRule>
    <cfRule type="expression" dxfId="6272" priority="2949">
      <formula>SEARCH("EMESSO",$M120)&gt;0</formula>
    </cfRule>
    <cfRule type="expression" dxfId="6271" priority="2950">
      <formula>SEARCH("RICHIESTO",$M120)&gt;0</formula>
    </cfRule>
    <cfRule type="expression" dxfId="6270" priority="2951">
      <formula>SEARCH("DA CHIUDERE",$M120)&gt;0</formula>
    </cfRule>
    <cfRule type="expression" dxfId="6269" priority="2952">
      <formula>SEARCH("INTERROTTO",$M120)&gt;0</formula>
    </cfRule>
  </conditionalFormatting>
  <conditionalFormatting sqref="M120">
    <cfRule type="expression" dxfId="6268" priority="2941">
      <formula>SEARCH("IN CORSO",$M120)&gt;0</formula>
    </cfRule>
    <cfRule type="expression" dxfId="6267" priority="2942">
      <formula>SEARCH("CHIUSO",$M120)&gt;0</formula>
    </cfRule>
    <cfRule type="expression" dxfId="6266" priority="2943">
      <formula>SEARCH("EMESSO",$M120)&gt;0</formula>
    </cfRule>
    <cfRule type="expression" dxfId="6265" priority="2944">
      <formula>SEARCH("RICHIESTO",$M120)&gt;0</formula>
    </cfRule>
    <cfRule type="expression" dxfId="6264" priority="2945">
      <formula>SEARCH("DA CHIUDERE",$M120)&gt;0</formula>
    </cfRule>
    <cfRule type="expression" dxfId="6263" priority="2946">
      <formula>SEARCH("INTERROTTO",$M120)&gt;0</formula>
    </cfRule>
  </conditionalFormatting>
  <conditionalFormatting sqref="E119:G119 N119:Q119">
    <cfRule type="expression" dxfId="6262" priority="2935">
      <formula>SEARCH("IN CORSO",$M119)&gt;0</formula>
    </cfRule>
    <cfRule type="expression" dxfId="6261" priority="2936">
      <formula>SEARCH("CHIUSO",$M119)&gt;0</formula>
    </cfRule>
    <cfRule type="expression" dxfId="6260" priority="2937">
      <formula>SEARCH("EMESSO",$M119)&gt;0</formula>
    </cfRule>
    <cfRule type="expression" dxfId="6259" priority="2938">
      <formula>SEARCH("RICHIESTO",$M119)&gt;0</formula>
    </cfRule>
    <cfRule type="expression" dxfId="6258" priority="2939">
      <formula>SEARCH("DA CHIUDERE",$M119)&gt;0</formula>
    </cfRule>
    <cfRule type="expression" dxfId="6257" priority="2940">
      <formula>SEARCH("INTERROTTO",$M119)&gt;0</formula>
    </cfRule>
  </conditionalFormatting>
  <conditionalFormatting sqref="R119:S119">
    <cfRule type="expression" dxfId="6256" priority="2929">
      <formula>SEARCH("IN CORSO",$M119)&gt;0</formula>
    </cfRule>
    <cfRule type="expression" dxfId="6255" priority="2930">
      <formula>SEARCH("CHIUSO",$M119)&gt;0</formula>
    </cfRule>
    <cfRule type="expression" dxfId="6254" priority="2931">
      <formula>SEARCH("EMESSO",$M119)&gt;0</formula>
    </cfRule>
    <cfRule type="expression" dxfId="6253" priority="2932">
      <formula>SEARCH("RICHIESTO",$M119)&gt;0</formula>
    </cfRule>
    <cfRule type="expression" dxfId="6252" priority="2933">
      <formula>SEARCH("DA CHIUDERE",$M119)&gt;0</formula>
    </cfRule>
    <cfRule type="expression" dxfId="6251" priority="2934">
      <formula>SEARCH("INTERROTTO",$M119)&gt;0</formula>
    </cfRule>
  </conditionalFormatting>
  <conditionalFormatting sqref="M119">
    <cfRule type="expression" dxfId="6250" priority="2923">
      <formula>SEARCH("IN CORSO",$M119)&gt;0</formula>
    </cfRule>
    <cfRule type="expression" dxfId="6249" priority="2924">
      <formula>SEARCH("CHIUSO",$M119)&gt;0</formula>
    </cfRule>
    <cfRule type="expression" dxfId="6248" priority="2925">
      <formula>SEARCH("EMESSO",$M119)&gt;0</formula>
    </cfRule>
    <cfRule type="expression" dxfId="6247" priority="2926">
      <formula>SEARCH("RICHIESTO",$M119)&gt;0</formula>
    </cfRule>
    <cfRule type="expression" dxfId="6246" priority="2927">
      <formula>SEARCH("DA CHIUDERE",$M119)&gt;0</formula>
    </cfRule>
    <cfRule type="expression" dxfId="6245" priority="2928">
      <formula>SEARCH("INTERROTTO",$M119)&gt;0</formula>
    </cfRule>
  </conditionalFormatting>
  <conditionalFormatting sqref="E118:G118 N118:Q118">
    <cfRule type="expression" dxfId="6244" priority="2917">
      <formula>SEARCH("IN CORSO",$M118)&gt;0</formula>
    </cfRule>
    <cfRule type="expression" dxfId="6243" priority="2918">
      <formula>SEARCH("CHIUSO",$M118)&gt;0</formula>
    </cfRule>
    <cfRule type="expression" dxfId="6242" priority="2919">
      <formula>SEARCH("EMESSO",$M118)&gt;0</formula>
    </cfRule>
    <cfRule type="expression" dxfId="6241" priority="2920">
      <formula>SEARCH("RICHIESTO",$M118)&gt;0</formula>
    </cfRule>
    <cfRule type="expression" dxfId="6240" priority="2921">
      <formula>SEARCH("DA CHIUDERE",$M118)&gt;0</formula>
    </cfRule>
    <cfRule type="expression" dxfId="6239" priority="2922">
      <formula>SEARCH("INTERROTTO",$M118)&gt;0</formula>
    </cfRule>
  </conditionalFormatting>
  <conditionalFormatting sqref="R118:S118">
    <cfRule type="expression" dxfId="6238" priority="2911">
      <formula>SEARCH("IN CORSO",$M118)&gt;0</formula>
    </cfRule>
    <cfRule type="expression" dxfId="6237" priority="2912">
      <formula>SEARCH("CHIUSO",$M118)&gt;0</formula>
    </cfRule>
    <cfRule type="expression" dxfId="6236" priority="2913">
      <formula>SEARCH("EMESSO",$M118)&gt;0</formula>
    </cfRule>
    <cfRule type="expression" dxfId="6235" priority="2914">
      <formula>SEARCH("RICHIESTO",$M118)&gt;0</formula>
    </cfRule>
    <cfRule type="expression" dxfId="6234" priority="2915">
      <formula>SEARCH("DA CHIUDERE",$M118)&gt;0</formula>
    </cfRule>
    <cfRule type="expression" dxfId="6233" priority="2916">
      <formula>SEARCH("INTERROTTO",$M118)&gt;0</formula>
    </cfRule>
  </conditionalFormatting>
  <conditionalFormatting sqref="M118">
    <cfRule type="expression" dxfId="6232" priority="2905">
      <formula>SEARCH("IN CORSO",$M118)&gt;0</formula>
    </cfRule>
    <cfRule type="expression" dxfId="6231" priority="2906">
      <formula>SEARCH("CHIUSO",$M118)&gt;0</formula>
    </cfRule>
    <cfRule type="expression" dxfId="6230" priority="2907">
      <formula>SEARCH("EMESSO",$M118)&gt;0</formula>
    </cfRule>
    <cfRule type="expression" dxfId="6229" priority="2908">
      <formula>SEARCH("RICHIESTO",$M118)&gt;0</formula>
    </cfRule>
    <cfRule type="expression" dxfId="6228" priority="2909">
      <formula>SEARCH("DA CHIUDERE",$M118)&gt;0</formula>
    </cfRule>
    <cfRule type="expression" dxfId="6227" priority="2910">
      <formula>SEARCH("INTERROTTO",$M118)&gt;0</formula>
    </cfRule>
  </conditionalFormatting>
  <conditionalFormatting sqref="E117:G117 N117:Q117">
    <cfRule type="expression" dxfId="6226" priority="2899">
      <formula>SEARCH("IN CORSO",$M117)&gt;0</formula>
    </cfRule>
    <cfRule type="expression" dxfId="6225" priority="2900">
      <formula>SEARCH("CHIUSO",$M117)&gt;0</formula>
    </cfRule>
    <cfRule type="expression" dxfId="6224" priority="2901">
      <formula>SEARCH("EMESSO",$M117)&gt;0</formula>
    </cfRule>
    <cfRule type="expression" dxfId="6223" priority="2902">
      <formula>SEARCH("RICHIESTO",$M117)&gt;0</formula>
    </cfRule>
    <cfRule type="expression" dxfId="6222" priority="2903">
      <formula>SEARCH("DA CHIUDERE",$M117)&gt;0</formula>
    </cfRule>
    <cfRule type="expression" dxfId="6221" priority="2904">
      <formula>SEARCH("INTERROTTO",$M117)&gt;0</formula>
    </cfRule>
  </conditionalFormatting>
  <conditionalFormatting sqref="R117:S117">
    <cfRule type="expression" dxfId="6220" priority="2893">
      <formula>SEARCH("IN CORSO",$M117)&gt;0</formula>
    </cfRule>
    <cfRule type="expression" dxfId="6219" priority="2894">
      <formula>SEARCH("CHIUSO",$M117)&gt;0</formula>
    </cfRule>
    <cfRule type="expression" dxfId="6218" priority="2895">
      <formula>SEARCH("EMESSO",$M117)&gt;0</formula>
    </cfRule>
    <cfRule type="expression" dxfId="6217" priority="2896">
      <formula>SEARCH("RICHIESTO",$M117)&gt;0</formula>
    </cfRule>
    <cfRule type="expression" dxfId="6216" priority="2897">
      <formula>SEARCH("DA CHIUDERE",$M117)&gt;0</formula>
    </cfRule>
    <cfRule type="expression" dxfId="6215" priority="2898">
      <formula>SEARCH("INTERROTTO",$M117)&gt;0</formula>
    </cfRule>
  </conditionalFormatting>
  <conditionalFormatting sqref="M117">
    <cfRule type="expression" dxfId="6214" priority="2887">
      <formula>SEARCH("IN CORSO",$M117)&gt;0</formula>
    </cfRule>
    <cfRule type="expression" dxfId="6213" priority="2888">
      <formula>SEARCH("CHIUSO",$M117)&gt;0</formula>
    </cfRule>
    <cfRule type="expression" dxfId="6212" priority="2889">
      <formula>SEARCH("EMESSO",$M117)&gt;0</formula>
    </cfRule>
    <cfRule type="expression" dxfId="6211" priority="2890">
      <formula>SEARCH("RICHIESTO",$M117)&gt;0</formula>
    </cfRule>
    <cfRule type="expression" dxfId="6210" priority="2891">
      <formula>SEARCH("DA CHIUDERE",$M117)&gt;0</formula>
    </cfRule>
    <cfRule type="expression" dxfId="6209" priority="2892">
      <formula>SEARCH("INTERROTTO",$M117)&gt;0</formula>
    </cfRule>
  </conditionalFormatting>
  <conditionalFormatting sqref="E116:G116 N116:Q116">
    <cfRule type="expression" dxfId="6208" priority="2881">
      <formula>SEARCH("IN CORSO",$M116)&gt;0</formula>
    </cfRule>
    <cfRule type="expression" dxfId="6207" priority="2882">
      <formula>SEARCH("CHIUSO",$M116)&gt;0</formula>
    </cfRule>
    <cfRule type="expression" dxfId="6206" priority="2883">
      <formula>SEARCH("EMESSO",$M116)&gt;0</formula>
    </cfRule>
    <cfRule type="expression" dxfId="6205" priority="2884">
      <formula>SEARCH("RICHIESTO",$M116)&gt;0</formula>
    </cfRule>
    <cfRule type="expression" dxfId="6204" priority="2885">
      <formula>SEARCH("DA CHIUDERE",$M116)&gt;0</formula>
    </cfRule>
    <cfRule type="expression" dxfId="6203" priority="2886">
      <formula>SEARCH("INTERROTTO",$M116)&gt;0</formula>
    </cfRule>
  </conditionalFormatting>
  <conditionalFormatting sqref="R116:S116">
    <cfRule type="expression" dxfId="6202" priority="2875">
      <formula>SEARCH("IN CORSO",$M116)&gt;0</formula>
    </cfRule>
    <cfRule type="expression" dxfId="6201" priority="2876">
      <formula>SEARCH("CHIUSO",$M116)&gt;0</formula>
    </cfRule>
    <cfRule type="expression" dxfId="6200" priority="2877">
      <formula>SEARCH("EMESSO",$M116)&gt;0</formula>
    </cfRule>
    <cfRule type="expression" dxfId="6199" priority="2878">
      <formula>SEARCH("RICHIESTO",$M116)&gt;0</formula>
    </cfRule>
    <cfRule type="expression" dxfId="6198" priority="2879">
      <formula>SEARCH("DA CHIUDERE",$M116)&gt;0</formula>
    </cfRule>
    <cfRule type="expression" dxfId="6197" priority="2880">
      <formula>SEARCH("INTERROTTO",$M116)&gt;0</formula>
    </cfRule>
  </conditionalFormatting>
  <conditionalFormatting sqref="M116">
    <cfRule type="expression" dxfId="6196" priority="2869">
      <formula>SEARCH("IN CORSO",$M116)&gt;0</formula>
    </cfRule>
    <cfRule type="expression" dxfId="6195" priority="2870">
      <formula>SEARCH("CHIUSO",$M116)&gt;0</formula>
    </cfRule>
    <cfRule type="expression" dxfId="6194" priority="2871">
      <formula>SEARCH("EMESSO",$M116)&gt;0</formula>
    </cfRule>
    <cfRule type="expression" dxfId="6193" priority="2872">
      <formula>SEARCH("RICHIESTO",$M116)&gt;0</formula>
    </cfRule>
    <cfRule type="expression" dxfId="6192" priority="2873">
      <formula>SEARCH("DA CHIUDERE",$M116)&gt;0</formula>
    </cfRule>
    <cfRule type="expression" dxfId="6191" priority="2874">
      <formula>SEARCH("INTERROTTO",$M116)&gt;0</formula>
    </cfRule>
  </conditionalFormatting>
  <conditionalFormatting sqref="E115:G115 N115:Q115">
    <cfRule type="expression" dxfId="6190" priority="2863">
      <formula>SEARCH("IN CORSO",$M115)&gt;0</formula>
    </cfRule>
    <cfRule type="expression" dxfId="6189" priority="2864">
      <formula>SEARCH("CHIUSO",$M115)&gt;0</formula>
    </cfRule>
    <cfRule type="expression" dxfId="6188" priority="2865">
      <formula>SEARCH("EMESSO",$M115)&gt;0</formula>
    </cfRule>
    <cfRule type="expression" dxfId="6187" priority="2866">
      <formula>SEARCH("RICHIESTO",$M115)&gt;0</formula>
    </cfRule>
    <cfRule type="expression" dxfId="6186" priority="2867">
      <formula>SEARCH("DA CHIUDERE",$M115)&gt;0</formula>
    </cfRule>
    <cfRule type="expression" dxfId="6185" priority="2868">
      <formula>SEARCH("INTERROTTO",$M115)&gt;0</formula>
    </cfRule>
  </conditionalFormatting>
  <conditionalFormatting sqref="R115:S115">
    <cfRule type="expression" dxfId="6184" priority="2857">
      <formula>SEARCH("IN CORSO",$M115)&gt;0</formula>
    </cfRule>
    <cfRule type="expression" dxfId="6183" priority="2858">
      <formula>SEARCH("CHIUSO",$M115)&gt;0</formula>
    </cfRule>
    <cfRule type="expression" dxfId="6182" priority="2859">
      <formula>SEARCH("EMESSO",$M115)&gt;0</formula>
    </cfRule>
    <cfRule type="expression" dxfId="6181" priority="2860">
      <formula>SEARCH("RICHIESTO",$M115)&gt;0</formula>
    </cfRule>
    <cfRule type="expression" dxfId="6180" priority="2861">
      <formula>SEARCH("DA CHIUDERE",$M115)&gt;0</formula>
    </cfRule>
    <cfRule type="expression" dxfId="6179" priority="2862">
      <formula>SEARCH("INTERROTTO",$M115)&gt;0</formula>
    </cfRule>
  </conditionalFormatting>
  <conditionalFormatting sqref="M115">
    <cfRule type="expression" dxfId="6178" priority="2851">
      <formula>SEARCH("IN CORSO",$M115)&gt;0</formula>
    </cfRule>
    <cfRule type="expression" dxfId="6177" priority="2852">
      <formula>SEARCH("CHIUSO",$M115)&gt;0</formula>
    </cfRule>
    <cfRule type="expression" dxfId="6176" priority="2853">
      <formula>SEARCH("EMESSO",$M115)&gt;0</formula>
    </cfRule>
    <cfRule type="expression" dxfId="6175" priority="2854">
      <formula>SEARCH("RICHIESTO",$M115)&gt;0</formula>
    </cfRule>
    <cfRule type="expression" dxfId="6174" priority="2855">
      <formula>SEARCH("DA CHIUDERE",$M115)&gt;0</formula>
    </cfRule>
    <cfRule type="expression" dxfId="6173" priority="2856">
      <formula>SEARCH("INTERROTTO",$M115)&gt;0</formula>
    </cfRule>
  </conditionalFormatting>
  <conditionalFormatting sqref="E114:G114 N114:Q114">
    <cfRule type="expression" dxfId="6172" priority="2845">
      <formula>SEARCH("IN CORSO",$M114)&gt;0</formula>
    </cfRule>
    <cfRule type="expression" dxfId="6171" priority="2846">
      <formula>SEARCH("CHIUSO",$M114)&gt;0</formula>
    </cfRule>
    <cfRule type="expression" dxfId="6170" priority="2847">
      <formula>SEARCH("EMESSO",$M114)&gt;0</formula>
    </cfRule>
    <cfRule type="expression" dxfId="6169" priority="2848">
      <formula>SEARCH("RICHIESTO",$M114)&gt;0</formula>
    </cfRule>
    <cfRule type="expression" dxfId="6168" priority="2849">
      <formula>SEARCH("DA CHIUDERE",$M114)&gt;0</formula>
    </cfRule>
    <cfRule type="expression" dxfId="6167" priority="2850">
      <formula>SEARCH("INTERROTTO",$M114)&gt;0</formula>
    </cfRule>
  </conditionalFormatting>
  <conditionalFormatting sqref="R114:S114">
    <cfRule type="expression" dxfId="6166" priority="2839">
      <formula>SEARCH("IN CORSO",$M114)&gt;0</formula>
    </cfRule>
    <cfRule type="expression" dxfId="6165" priority="2840">
      <formula>SEARCH("CHIUSO",$M114)&gt;0</formula>
    </cfRule>
    <cfRule type="expression" dxfId="6164" priority="2841">
      <formula>SEARCH("EMESSO",$M114)&gt;0</formula>
    </cfRule>
    <cfRule type="expression" dxfId="6163" priority="2842">
      <formula>SEARCH("RICHIESTO",$M114)&gt;0</formula>
    </cfRule>
    <cfRule type="expression" dxfId="6162" priority="2843">
      <formula>SEARCH("DA CHIUDERE",$M114)&gt;0</formula>
    </cfRule>
    <cfRule type="expression" dxfId="6161" priority="2844">
      <formula>SEARCH("INTERROTTO",$M114)&gt;0</formula>
    </cfRule>
  </conditionalFormatting>
  <conditionalFormatting sqref="M114">
    <cfRule type="expression" dxfId="6160" priority="2833">
      <formula>SEARCH("IN CORSO",$M114)&gt;0</formula>
    </cfRule>
    <cfRule type="expression" dxfId="6159" priority="2834">
      <formula>SEARCH("CHIUSO",$M114)&gt;0</formula>
    </cfRule>
    <cfRule type="expression" dxfId="6158" priority="2835">
      <formula>SEARCH("EMESSO",$M114)&gt;0</formula>
    </cfRule>
    <cfRule type="expression" dxfId="6157" priority="2836">
      <formula>SEARCH("RICHIESTO",$M114)&gt;0</formula>
    </cfRule>
    <cfRule type="expression" dxfId="6156" priority="2837">
      <formula>SEARCH("DA CHIUDERE",$M114)&gt;0</formula>
    </cfRule>
    <cfRule type="expression" dxfId="6155" priority="2838">
      <formula>SEARCH("INTERROTTO",$M114)&gt;0</formula>
    </cfRule>
  </conditionalFormatting>
  <conditionalFormatting sqref="E113:G113 N113:Q113">
    <cfRule type="expression" dxfId="6154" priority="2827">
      <formula>SEARCH("IN CORSO",$M113)&gt;0</formula>
    </cfRule>
    <cfRule type="expression" dxfId="6153" priority="2828">
      <formula>SEARCH("CHIUSO",$M113)&gt;0</formula>
    </cfRule>
    <cfRule type="expression" dxfId="6152" priority="2829">
      <formula>SEARCH("EMESSO",$M113)&gt;0</formula>
    </cfRule>
    <cfRule type="expression" dxfId="6151" priority="2830">
      <formula>SEARCH("RICHIESTO",$M113)&gt;0</formula>
    </cfRule>
    <cfRule type="expression" dxfId="6150" priority="2831">
      <formula>SEARCH("DA CHIUDERE",$M113)&gt;0</formula>
    </cfRule>
    <cfRule type="expression" dxfId="6149" priority="2832">
      <formula>SEARCH("INTERROTTO",$M113)&gt;0</formula>
    </cfRule>
  </conditionalFormatting>
  <conditionalFormatting sqref="R113:S113">
    <cfRule type="expression" dxfId="6148" priority="2821">
      <formula>SEARCH("IN CORSO",$M113)&gt;0</formula>
    </cfRule>
    <cfRule type="expression" dxfId="6147" priority="2822">
      <formula>SEARCH("CHIUSO",$M113)&gt;0</formula>
    </cfRule>
    <cfRule type="expression" dxfId="6146" priority="2823">
      <formula>SEARCH("EMESSO",$M113)&gt;0</formula>
    </cfRule>
    <cfRule type="expression" dxfId="6145" priority="2824">
      <formula>SEARCH("RICHIESTO",$M113)&gt;0</formula>
    </cfRule>
    <cfRule type="expression" dxfId="6144" priority="2825">
      <formula>SEARCH("DA CHIUDERE",$M113)&gt;0</formula>
    </cfRule>
    <cfRule type="expression" dxfId="6143" priority="2826">
      <formula>SEARCH("INTERROTTO",$M113)&gt;0</formula>
    </cfRule>
  </conditionalFormatting>
  <conditionalFormatting sqref="M113">
    <cfRule type="expression" dxfId="6142" priority="2815">
      <formula>SEARCH("IN CORSO",$M113)&gt;0</formula>
    </cfRule>
    <cfRule type="expression" dxfId="6141" priority="2816">
      <formula>SEARCH("CHIUSO",$M113)&gt;0</formula>
    </cfRule>
    <cfRule type="expression" dxfId="6140" priority="2817">
      <formula>SEARCH("EMESSO",$M113)&gt;0</formula>
    </cfRule>
    <cfRule type="expression" dxfId="6139" priority="2818">
      <formula>SEARCH("RICHIESTO",$M113)&gt;0</formula>
    </cfRule>
    <cfRule type="expression" dxfId="6138" priority="2819">
      <formula>SEARCH("DA CHIUDERE",$M113)&gt;0</formula>
    </cfRule>
    <cfRule type="expression" dxfId="6137" priority="2820">
      <formula>SEARCH("INTERROTTO",$M113)&gt;0</formula>
    </cfRule>
  </conditionalFormatting>
  <conditionalFormatting sqref="E112:G112 N112:Q112">
    <cfRule type="expression" dxfId="6136" priority="2809">
      <formula>SEARCH("IN CORSO",$M112)&gt;0</formula>
    </cfRule>
    <cfRule type="expression" dxfId="6135" priority="2810">
      <formula>SEARCH("CHIUSO",$M112)&gt;0</formula>
    </cfRule>
    <cfRule type="expression" dxfId="6134" priority="2811">
      <formula>SEARCH("EMESSO",$M112)&gt;0</formula>
    </cfRule>
    <cfRule type="expression" dxfId="6133" priority="2812">
      <formula>SEARCH("RICHIESTO",$M112)&gt;0</formula>
    </cfRule>
    <cfRule type="expression" dxfId="6132" priority="2813">
      <formula>SEARCH("DA CHIUDERE",$M112)&gt;0</formula>
    </cfRule>
    <cfRule type="expression" dxfId="6131" priority="2814">
      <formula>SEARCH("INTERROTTO",$M112)&gt;0</formula>
    </cfRule>
  </conditionalFormatting>
  <conditionalFormatting sqref="R112:S112">
    <cfRule type="expression" dxfId="6130" priority="2803">
      <formula>SEARCH("IN CORSO",$M112)&gt;0</formula>
    </cfRule>
    <cfRule type="expression" dxfId="6129" priority="2804">
      <formula>SEARCH("CHIUSO",$M112)&gt;0</formula>
    </cfRule>
    <cfRule type="expression" dxfId="6128" priority="2805">
      <formula>SEARCH("EMESSO",$M112)&gt;0</formula>
    </cfRule>
    <cfRule type="expression" dxfId="6127" priority="2806">
      <formula>SEARCH("RICHIESTO",$M112)&gt;0</formula>
    </cfRule>
    <cfRule type="expression" dxfId="6126" priority="2807">
      <formula>SEARCH("DA CHIUDERE",$M112)&gt;0</formula>
    </cfRule>
    <cfRule type="expression" dxfId="6125" priority="2808">
      <formula>SEARCH("INTERROTTO",$M112)&gt;0</formula>
    </cfRule>
  </conditionalFormatting>
  <conditionalFormatting sqref="M112">
    <cfRule type="expression" dxfId="6124" priority="2797">
      <formula>SEARCH("IN CORSO",$M112)&gt;0</formula>
    </cfRule>
    <cfRule type="expression" dxfId="6123" priority="2798">
      <formula>SEARCH("CHIUSO",$M112)&gt;0</formula>
    </cfRule>
    <cfRule type="expression" dxfId="6122" priority="2799">
      <formula>SEARCH("EMESSO",$M112)&gt;0</formula>
    </cfRule>
    <cfRule type="expression" dxfId="6121" priority="2800">
      <formula>SEARCH("RICHIESTO",$M112)&gt;0</formula>
    </cfRule>
    <cfRule type="expression" dxfId="6120" priority="2801">
      <formula>SEARCH("DA CHIUDERE",$M112)&gt;0</formula>
    </cfRule>
    <cfRule type="expression" dxfId="6119" priority="2802">
      <formula>SEARCH("INTERROTTO",$M112)&gt;0</formula>
    </cfRule>
  </conditionalFormatting>
  <conditionalFormatting sqref="E111:G111 N111:Q111">
    <cfRule type="expression" dxfId="6118" priority="2791">
      <formula>SEARCH("IN CORSO",$M111)&gt;0</formula>
    </cfRule>
    <cfRule type="expression" dxfId="6117" priority="2792">
      <formula>SEARCH("CHIUSO",$M111)&gt;0</formula>
    </cfRule>
    <cfRule type="expression" dxfId="6116" priority="2793">
      <formula>SEARCH("EMESSO",$M111)&gt;0</formula>
    </cfRule>
    <cfRule type="expression" dxfId="6115" priority="2794">
      <formula>SEARCH("RICHIESTO",$M111)&gt;0</formula>
    </cfRule>
    <cfRule type="expression" dxfId="6114" priority="2795">
      <formula>SEARCH("DA CHIUDERE",$M111)&gt;0</formula>
    </cfRule>
    <cfRule type="expression" dxfId="6113" priority="2796">
      <formula>SEARCH("INTERROTTO",$M111)&gt;0</formula>
    </cfRule>
  </conditionalFormatting>
  <conditionalFormatting sqref="R111:S111">
    <cfRule type="expression" dxfId="6112" priority="2785">
      <formula>SEARCH("IN CORSO",$M111)&gt;0</formula>
    </cfRule>
    <cfRule type="expression" dxfId="6111" priority="2786">
      <formula>SEARCH("CHIUSO",$M111)&gt;0</formula>
    </cfRule>
    <cfRule type="expression" dxfId="6110" priority="2787">
      <formula>SEARCH("EMESSO",$M111)&gt;0</formula>
    </cfRule>
    <cfRule type="expression" dxfId="6109" priority="2788">
      <formula>SEARCH("RICHIESTO",$M111)&gt;0</formula>
    </cfRule>
    <cfRule type="expression" dxfId="6108" priority="2789">
      <formula>SEARCH("DA CHIUDERE",$M111)&gt;0</formula>
    </cfRule>
    <cfRule type="expression" dxfId="6107" priority="2790">
      <formula>SEARCH("INTERROTTO",$M111)&gt;0</formula>
    </cfRule>
  </conditionalFormatting>
  <conditionalFormatting sqref="M111">
    <cfRule type="expression" dxfId="6106" priority="2779">
      <formula>SEARCH("IN CORSO",$M111)&gt;0</formula>
    </cfRule>
    <cfRule type="expression" dxfId="6105" priority="2780">
      <formula>SEARCH("CHIUSO",$M111)&gt;0</formula>
    </cfRule>
    <cfRule type="expression" dxfId="6104" priority="2781">
      <formula>SEARCH("EMESSO",$M111)&gt;0</formula>
    </cfRule>
    <cfRule type="expression" dxfId="6103" priority="2782">
      <formula>SEARCH("RICHIESTO",$M111)&gt;0</formula>
    </cfRule>
    <cfRule type="expression" dxfId="6102" priority="2783">
      <formula>SEARCH("DA CHIUDERE",$M111)&gt;0</formula>
    </cfRule>
    <cfRule type="expression" dxfId="6101" priority="2784">
      <formula>SEARCH("INTERROTTO",$M111)&gt;0</formula>
    </cfRule>
  </conditionalFormatting>
  <conditionalFormatting sqref="E110:G110 N110:Q110">
    <cfRule type="expression" dxfId="6100" priority="2773">
      <formula>SEARCH("IN CORSO",$M110)&gt;0</formula>
    </cfRule>
    <cfRule type="expression" dxfId="6099" priority="2774">
      <formula>SEARCH("CHIUSO",$M110)&gt;0</formula>
    </cfRule>
    <cfRule type="expression" dxfId="6098" priority="2775">
      <formula>SEARCH("EMESSO",$M110)&gt;0</formula>
    </cfRule>
    <cfRule type="expression" dxfId="6097" priority="2776">
      <formula>SEARCH("RICHIESTO",$M110)&gt;0</formula>
    </cfRule>
    <cfRule type="expression" dxfId="6096" priority="2777">
      <formula>SEARCH("DA CHIUDERE",$M110)&gt;0</formula>
    </cfRule>
    <cfRule type="expression" dxfId="6095" priority="2778">
      <formula>SEARCH("INTERROTTO",$M110)&gt;0</formula>
    </cfRule>
  </conditionalFormatting>
  <conditionalFormatting sqref="R10:S10">
    <cfRule type="expression" dxfId="6094" priority="121">
      <formula>SEARCH("IN CORSO",$M10)&gt;0</formula>
    </cfRule>
    <cfRule type="expression" dxfId="6093" priority="122">
      <formula>SEARCH("CHIUSO",$M10)&gt;0</formula>
    </cfRule>
    <cfRule type="expression" dxfId="6092" priority="123">
      <formula>SEARCH("EMESSO",$M10)&gt;0</formula>
    </cfRule>
    <cfRule type="expression" dxfId="6091" priority="124">
      <formula>SEARCH("RICHIESTO",$M10)&gt;0</formula>
    </cfRule>
    <cfRule type="expression" dxfId="6090" priority="125">
      <formula>SEARCH("DA CHIUDERE",$M10)&gt;0</formula>
    </cfRule>
    <cfRule type="expression" dxfId="6089" priority="126">
      <formula>SEARCH("INTERROTTO",$M10)&gt;0</formula>
    </cfRule>
  </conditionalFormatting>
  <conditionalFormatting sqref="M10">
    <cfRule type="expression" dxfId="6088" priority="115">
      <formula>SEARCH("IN CORSO",$M10)&gt;0</formula>
    </cfRule>
    <cfRule type="expression" dxfId="6087" priority="116">
      <formula>SEARCH("CHIUSO",$M10)&gt;0</formula>
    </cfRule>
    <cfRule type="expression" dxfId="6086" priority="117">
      <formula>SEARCH("EMESSO",$M10)&gt;0</formula>
    </cfRule>
    <cfRule type="expression" dxfId="6085" priority="118">
      <formula>SEARCH("RICHIESTO",$M10)&gt;0</formula>
    </cfRule>
    <cfRule type="expression" dxfId="6084" priority="119">
      <formula>SEARCH("DA CHIUDERE",$M10)&gt;0</formula>
    </cfRule>
    <cfRule type="expression" dxfId="6083" priority="120">
      <formula>SEARCH("INTERROTTO",$M10)&gt;0</formula>
    </cfRule>
  </conditionalFormatting>
  <conditionalFormatting sqref="E9:G9 N9:Q9">
    <cfRule type="expression" dxfId="6082" priority="103">
      <formula>SEARCH("IN CORSO",$M9)&gt;0</formula>
    </cfRule>
    <cfRule type="expression" dxfId="6081" priority="104">
      <formula>SEARCH("CHIUSO",$M9)&gt;0</formula>
    </cfRule>
    <cfRule type="expression" dxfId="6080" priority="105">
      <formula>SEARCH("EMESSO",$M9)&gt;0</formula>
    </cfRule>
    <cfRule type="expression" dxfId="6079" priority="106">
      <formula>SEARCH("RICHIESTO",$M9)&gt;0</formula>
    </cfRule>
    <cfRule type="expression" dxfId="6078" priority="107">
      <formula>SEARCH("DA CHIUDERE",$M9)&gt;0</formula>
    </cfRule>
    <cfRule type="expression" dxfId="6077" priority="108">
      <formula>SEARCH("INTERROTTO",$M9)&gt;0</formula>
    </cfRule>
  </conditionalFormatting>
  <conditionalFormatting sqref="R9:S9">
    <cfRule type="expression" dxfId="6076" priority="97">
      <formula>SEARCH("IN CORSO",$M9)&gt;0</formula>
    </cfRule>
    <cfRule type="expression" dxfId="6075" priority="98">
      <formula>SEARCH("CHIUSO",$M9)&gt;0</formula>
    </cfRule>
    <cfRule type="expression" dxfId="6074" priority="99">
      <formula>SEARCH("EMESSO",$M9)&gt;0</formula>
    </cfRule>
    <cfRule type="expression" dxfId="6073" priority="100">
      <formula>SEARCH("RICHIESTO",$M9)&gt;0</formula>
    </cfRule>
    <cfRule type="expression" dxfId="6072" priority="101">
      <formula>SEARCH("DA CHIUDERE",$M9)&gt;0</formula>
    </cfRule>
    <cfRule type="expression" dxfId="6071" priority="102">
      <formula>SEARCH("INTERROTTO",$M9)&gt;0</formula>
    </cfRule>
  </conditionalFormatting>
  <conditionalFormatting sqref="M9">
    <cfRule type="expression" dxfId="6070" priority="91">
      <formula>SEARCH("IN CORSO",$M9)&gt;0</formula>
    </cfRule>
    <cfRule type="expression" dxfId="6069" priority="92">
      <formula>SEARCH("CHIUSO",$M9)&gt;0</formula>
    </cfRule>
    <cfRule type="expression" dxfId="6068" priority="93">
      <formula>SEARCH("EMESSO",$M9)&gt;0</formula>
    </cfRule>
    <cfRule type="expression" dxfId="6067" priority="94">
      <formula>SEARCH("RICHIESTO",$M9)&gt;0</formula>
    </cfRule>
    <cfRule type="expression" dxfId="6066" priority="95">
      <formula>SEARCH("DA CHIUDERE",$M9)&gt;0</formula>
    </cfRule>
    <cfRule type="expression" dxfId="6065" priority="96">
      <formula>SEARCH("INTERROTTO",$M9)&gt;0</formula>
    </cfRule>
  </conditionalFormatting>
  <conditionalFormatting sqref="M105:S109 M22:Q22 M23:S95">
    <cfRule type="expression" dxfId="6064" priority="2473">
      <formula>SEARCH("IN CORSO",$M22)&gt;0</formula>
    </cfRule>
    <cfRule type="expression" dxfId="6063" priority="2474">
      <formula>SEARCH("CHIUSO",$M22)&gt;0</formula>
    </cfRule>
    <cfRule type="expression" dxfId="6062" priority="2475">
      <formula>SEARCH("EMESSO",$M22)&gt;0</formula>
    </cfRule>
    <cfRule type="expression" dxfId="6061" priority="2476">
      <formula>SEARCH("RICHIESTO",$M22)&gt;0</formula>
    </cfRule>
    <cfRule type="expression" dxfId="6060" priority="2477">
      <formula>SEARCH("DA CHIUDERE",$M22)&gt;0</formula>
    </cfRule>
    <cfRule type="expression" dxfId="6059" priority="2478">
      <formula>SEARCH("INTERROTTO",$M22)&gt;0</formula>
    </cfRule>
  </conditionalFormatting>
  <conditionalFormatting sqref="M96 M103">
    <cfRule type="expression" dxfId="6058" priority="2455">
      <formula>SEARCH("IN CORSO",$M96)&gt;0</formula>
    </cfRule>
    <cfRule type="expression" dxfId="6057" priority="2456">
      <formula>SEARCH("CHIUSO",$M96)&gt;0</formula>
    </cfRule>
    <cfRule type="expression" dxfId="6056" priority="2457">
      <formula>SEARCH("EMESSO",$M96)&gt;0</formula>
    </cfRule>
    <cfRule type="expression" dxfId="6055" priority="2458">
      <formula>SEARCH("RICHIESTO",$M96)&gt;0</formula>
    </cfRule>
    <cfRule type="expression" dxfId="6054" priority="2459">
      <formula>SEARCH("DA CHIUDERE",$M96)&gt;0</formula>
    </cfRule>
    <cfRule type="expression" dxfId="6053" priority="2460">
      <formula>SEARCH("INTERROTTO",$M96)&gt;0</formula>
    </cfRule>
  </conditionalFormatting>
  <conditionalFormatting sqref="M104">
    <cfRule type="expression" dxfId="6052" priority="2407">
      <formula>SEARCH("IN CORSO",$M104)&gt;0</formula>
    </cfRule>
    <cfRule type="expression" dxfId="6051" priority="2408">
      <formula>SEARCH("CHIUSO",$M104)&gt;0</formula>
    </cfRule>
    <cfRule type="expression" dxfId="6050" priority="2409">
      <formula>SEARCH("EMESSO",$M104)&gt;0</formula>
    </cfRule>
    <cfRule type="expression" dxfId="6049" priority="2410">
      <formula>SEARCH("RICHIESTO",$M104)&gt;0</formula>
    </cfRule>
    <cfRule type="expression" dxfId="6048" priority="2411">
      <formula>SEARCH("DA CHIUDERE",$M104)&gt;0</formula>
    </cfRule>
    <cfRule type="expression" dxfId="6047" priority="2412">
      <formula>SEARCH("INTERROTTO",$M104)&gt;0</formula>
    </cfRule>
  </conditionalFormatting>
  <conditionalFormatting sqref="N96:S96 N103:S104 M97:S102">
    <cfRule type="expression" dxfId="6046" priority="2479">
      <formula>SEARCH("IN CORSO",$M96)&gt;0</formula>
    </cfRule>
    <cfRule type="expression" dxfId="6045" priority="2480">
      <formula>SEARCH("CHIUSO",$M96)&gt;0</formula>
    </cfRule>
    <cfRule type="expression" dxfId="6044" priority="2481">
      <formula>SEARCH("EMESSO",$M96)&gt;0</formula>
    </cfRule>
    <cfRule type="expression" dxfId="6043" priority="2482">
      <formula>SEARCH("RICHIESTO",$M96)&gt;0</formula>
    </cfRule>
    <cfRule type="expression" dxfId="6042" priority="2483">
      <formula>SEARCH("DA CHIUDERE",$M96)&gt;0</formula>
    </cfRule>
    <cfRule type="expression" dxfId="6041" priority="2484">
      <formula>SEARCH("INTERROTTO",$M96)&gt;0</formula>
    </cfRule>
  </conditionalFormatting>
  <conditionalFormatting sqref="R22:S22">
    <cfRule type="expression" dxfId="6040" priority="109">
      <formula>SEARCH("IN CORSO",$M22)&gt;0</formula>
    </cfRule>
    <cfRule type="expression" dxfId="6039" priority="110">
      <formula>SEARCH("CHIUSO",$M22)&gt;0</formula>
    </cfRule>
    <cfRule type="expression" dxfId="6038" priority="111">
      <formula>SEARCH("EMESSO",$M22)&gt;0</formula>
    </cfRule>
    <cfRule type="expression" dxfId="6037" priority="112">
      <formula>SEARCH("RICHIESTO",$M22)&gt;0</formula>
    </cfRule>
    <cfRule type="expression" dxfId="6036" priority="113">
      <formula>SEARCH("DA CHIUDERE",$M22)&gt;0</formula>
    </cfRule>
    <cfRule type="expression" dxfId="6035" priority="114">
      <formula>SEARCH("INTERROTTO",$M22)&gt;0</formula>
    </cfRule>
  </conditionalFormatting>
  <conditionalFormatting sqref="E5:G5 N5:Q5">
    <cfRule type="expression" dxfId="6034" priority="31">
      <formula>SEARCH("IN CORSO",$M5)&gt;0</formula>
    </cfRule>
    <cfRule type="expression" dxfId="6033" priority="32">
      <formula>SEARCH("CHIUSO",$M5)&gt;0</formula>
    </cfRule>
    <cfRule type="expression" dxfId="6032" priority="33">
      <formula>SEARCH("EMESSO",$M5)&gt;0</formula>
    </cfRule>
    <cfRule type="expression" dxfId="6031" priority="34">
      <formula>SEARCH("RICHIESTO",$M5)&gt;0</formula>
    </cfRule>
    <cfRule type="expression" dxfId="6030" priority="35">
      <formula>SEARCH("DA CHIUDERE",$M5)&gt;0</formula>
    </cfRule>
    <cfRule type="expression" dxfId="6029" priority="36">
      <formula>SEARCH("INTERROTTO",$M5)&gt;0</formula>
    </cfRule>
  </conditionalFormatting>
  <conditionalFormatting sqref="M5">
    <cfRule type="expression" dxfId="6028" priority="25">
      <formula>SEARCH("IN CORSO",$M5)&gt;0</formula>
    </cfRule>
    <cfRule type="expression" dxfId="6027" priority="26">
      <formula>SEARCH("CHIUSO",$M5)&gt;0</formula>
    </cfRule>
    <cfRule type="expression" dxfId="6026" priority="27">
      <formula>SEARCH("EMESSO",$M5)&gt;0</formula>
    </cfRule>
    <cfRule type="expression" dxfId="6025" priority="28">
      <formula>SEARCH("RICHIESTO",$M5)&gt;0</formula>
    </cfRule>
    <cfRule type="expression" dxfId="6024" priority="29">
      <formula>SEARCH("DA CHIUDERE",$M5)&gt;0</formula>
    </cfRule>
    <cfRule type="expression" dxfId="6023" priority="30">
      <formula>SEARCH("INTERROTTO",$M5)&gt;0</formula>
    </cfRule>
  </conditionalFormatting>
  <conditionalFormatting sqref="R5:S5">
    <cfRule type="expression" dxfId="6022" priority="19">
      <formula>SEARCH("IN CORSO",$M5)&gt;0</formula>
    </cfRule>
    <cfRule type="expression" dxfId="6021" priority="20">
      <formula>SEARCH("CHIUSO",$M5)&gt;0</formula>
    </cfRule>
    <cfRule type="expression" dxfId="6020" priority="21">
      <formula>SEARCH("EMESSO",$M5)&gt;0</formula>
    </cfRule>
    <cfRule type="expression" dxfId="6019" priority="22">
      <formula>SEARCH("RICHIESTO",$M5)&gt;0</formula>
    </cfRule>
    <cfRule type="expression" dxfId="6018" priority="23">
      <formula>SEARCH("DA CHIUDERE",$M5)&gt;0</formula>
    </cfRule>
    <cfRule type="expression" dxfId="6017" priority="24">
      <formula>SEARCH("INTERROTTO",$M5)&gt;0</formula>
    </cfRule>
  </conditionalFormatting>
  <conditionalFormatting sqref="E4:G4 N4:Q4">
    <cfRule type="expression" dxfId="6016" priority="13">
      <formula>SEARCH("IN CORSO",$M4)&gt;0</formula>
    </cfRule>
    <cfRule type="expression" dxfId="6015" priority="14">
      <formula>SEARCH("CHIUSO",$M4)&gt;0</formula>
    </cfRule>
    <cfRule type="expression" dxfId="6014" priority="15">
      <formula>SEARCH("EMESSO",$M4)&gt;0</formula>
    </cfRule>
    <cfRule type="expression" dxfId="6013" priority="16">
      <formula>SEARCH("RICHIESTO",$M4)&gt;0</formula>
    </cfRule>
    <cfRule type="expression" dxfId="6012" priority="17">
      <formula>SEARCH("DA CHIUDERE",$M4)&gt;0</formula>
    </cfRule>
    <cfRule type="expression" dxfId="6011" priority="18">
      <formula>SEARCH("INTERROTTO",$M4)&gt;0</formula>
    </cfRule>
  </conditionalFormatting>
  <conditionalFormatting sqref="M4">
    <cfRule type="expression" dxfId="6010" priority="7">
      <formula>SEARCH("IN CORSO",$M4)&gt;0</formula>
    </cfRule>
    <cfRule type="expression" dxfId="6009" priority="8">
      <formula>SEARCH("CHIUSO",$M4)&gt;0</formula>
    </cfRule>
    <cfRule type="expression" dxfId="6008" priority="9">
      <formula>SEARCH("EMESSO",$M4)&gt;0</formula>
    </cfRule>
    <cfRule type="expression" dxfId="6007" priority="10">
      <formula>SEARCH("RICHIESTO",$M4)&gt;0</formula>
    </cfRule>
    <cfRule type="expression" dxfId="6006" priority="11">
      <formula>SEARCH("DA CHIUDERE",$M4)&gt;0</formula>
    </cfRule>
    <cfRule type="expression" dxfId="6005" priority="12">
      <formula>SEARCH("INTERROTTO",$M4)&gt;0</formula>
    </cfRule>
  </conditionalFormatting>
  <conditionalFormatting sqref="R4:S4">
    <cfRule type="expression" dxfId="6004" priority="1">
      <formula>SEARCH("IN CORSO",$M4)&gt;0</formula>
    </cfRule>
    <cfRule type="expression" dxfId="6003" priority="2">
      <formula>SEARCH("CHIUSO",$M4)&gt;0</formula>
    </cfRule>
    <cfRule type="expression" dxfId="6002" priority="3">
      <formula>SEARCH("EMESSO",$M4)&gt;0</formula>
    </cfRule>
    <cfRule type="expression" dxfId="6001" priority="4">
      <formula>SEARCH("RICHIESTO",$M4)&gt;0</formula>
    </cfRule>
    <cfRule type="expression" dxfId="6000" priority="5">
      <formula>SEARCH("DA CHIUDERE",$M4)&gt;0</formula>
    </cfRule>
    <cfRule type="expression" dxfId="5999" priority="6">
      <formula>SEARCH("INTERROTTO",$M4)&gt;0</formula>
    </cfRule>
  </conditionalFormatting>
  <dataValidations count="1">
    <dataValidation type="list" allowBlank="1" showInputMessage="1" showErrorMessage="1" sqref="M4:M301" xr:uid="{4A0108B7-475E-48F7-A867-495EECA679BF}">
      <formula1>"RICHIESTO,EMESSO,IN CORSO,INTERROTTO,DA CHIUDERE,SCADUTO,CHIUSO,"</formula1>
    </dataValidation>
  </dataValidations>
  <pageMargins left="0" right="0" top="0" bottom="0" header="0" footer="0"/>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772" r:id="rId4" name="Button 652">
              <controlPr defaultSize="0" print="0" autoFill="0" autoPict="0" macro="[0]!AggiungiRiga">
                <anchor moveWithCells="1" sizeWithCells="1">
                  <from>
                    <xdr:col>0</xdr:col>
                    <xdr:colOff>9525</xdr:colOff>
                    <xdr:row>0</xdr:row>
                    <xdr:rowOff>1047750</xdr:rowOff>
                  </from>
                  <to>
                    <xdr:col>3</xdr:col>
                    <xdr:colOff>466725</xdr:colOff>
                    <xdr:row>0</xdr:row>
                    <xdr:rowOff>1314450</xdr:rowOff>
                  </to>
                </anchor>
              </controlPr>
            </control>
          </mc:Choice>
        </mc:AlternateContent>
        <mc:AlternateContent xmlns:mc="http://schemas.openxmlformats.org/markup-compatibility/2006">
          <mc:Choice Requires="x14">
            <control shapeId="95793" r:id="rId5" name="Button 3633">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95794" r:id="rId6" name="Button 3634">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95795" r:id="rId7" name="Button 3635">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95796" r:id="rId8" name="Button 3636">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95797" r:id="rId9" name="Button 3637">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96100" r:id="rId10" name="Button 3940">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96101" r:id="rId11" name="Button 3941">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96102" r:id="rId12" name="Button 3942">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96103" r:id="rId13" name="Button 3943">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96104" r:id="rId14" name="Button 3944">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96105" r:id="rId15" name="Button 3945">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controls>
    </mc:Choice>
  </mc:AlternateContent>
  <tableParts count="1">
    <tablePart r:id="rId1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2">
    <tabColor theme="3"/>
  </sheetPr>
  <dimension ref="A1:V198"/>
  <sheetViews>
    <sheetView topLeftCell="E4" zoomScale="85" zoomScaleNormal="85" workbookViewId="0">
      <selection activeCell="A4" sqref="A4:U198"/>
    </sheetView>
  </sheetViews>
  <sheetFormatPr defaultColWidth="8.5" defaultRowHeight="15" x14ac:dyDescent="0.25"/>
  <cols>
    <col min="1" max="1" width="3.125" style="3" customWidth="1"/>
    <col min="2" max="2" width="3.125" style="1" customWidth="1"/>
    <col min="3" max="3" width="3.125" style="4" customWidth="1"/>
    <col min="4" max="4" width="8.875" style="5" bestFit="1" customWidth="1"/>
    <col min="5" max="5" width="9" style="5" customWidth="1"/>
    <col min="6" max="6" width="7.5" style="5" customWidth="1"/>
    <col min="7" max="7" width="70.625" style="5" customWidth="1"/>
    <col min="8" max="9" width="9.125" style="5" customWidth="1"/>
    <col min="10" max="11" width="9.125" style="4" customWidth="1"/>
    <col min="12" max="12" width="9.125" style="6" customWidth="1"/>
    <col min="13" max="13" width="13.75" style="6" customWidth="1"/>
    <col min="14" max="14" width="6.375" style="7" customWidth="1"/>
    <col min="15" max="15" width="6.375" style="28" customWidth="1"/>
    <col min="16" max="16" width="6.375" style="7" customWidth="1"/>
    <col min="17" max="17" width="55.625" style="7" customWidth="1"/>
    <col min="18" max="18" width="13.625" style="7" bestFit="1" customWidth="1"/>
    <col min="19" max="19" width="13.125" style="7" customWidth="1"/>
    <col min="20" max="20" width="3.125" style="7" customWidth="1"/>
    <col min="21" max="21" width="8.5" style="7"/>
    <col min="22" max="22" width="19.25" style="7" bestFit="1" customWidth="1"/>
    <col min="23" max="16384" width="8.5" style="7"/>
  </cols>
  <sheetData>
    <row r="1" spans="1:22" ht="128.1" customHeight="1" x14ac:dyDescent="0.35">
      <c r="A1" s="193"/>
      <c r="B1" s="193"/>
      <c r="C1" s="193"/>
      <c r="D1" s="193"/>
      <c r="G1" s="10"/>
      <c r="L1" s="19"/>
      <c r="M1" s="39" t="s">
        <v>55</v>
      </c>
      <c r="Q1" s="39" t="s">
        <v>56</v>
      </c>
    </row>
    <row r="2" spans="1:22" ht="21" x14ac:dyDescent="0.35">
      <c r="A2" s="7"/>
      <c r="B2" s="7"/>
      <c r="C2" s="7"/>
      <c r="D2" s="7"/>
      <c r="E2" s="17" t="s">
        <v>13</v>
      </c>
      <c r="F2" s="10">
        <f>'Inserimento dati'!B5</f>
        <v>2025</v>
      </c>
      <c r="G2" s="38" t="str">
        <f ca="1">"REDATTO IL " &amp; TEXT(INDIRECT("'Inserimento dati'!B3"), "gg/mm/aaaa")</f>
        <v>REDATTO IL 25/10/2025</v>
      </c>
      <c r="H2" s="11">
        <f ca="1">INDIRECT("'Inserimento dati'!B1")</f>
        <v>45957</v>
      </c>
      <c r="I2" s="11">
        <f ca="1">H2 + 1</f>
        <v>45958</v>
      </c>
      <c r="J2" s="11">
        <f ca="1">I2 + 1</f>
        <v>45959</v>
      </c>
      <c r="K2" s="11">
        <f ca="1">J2 + 1</f>
        <v>45960</v>
      </c>
      <c r="L2" s="11">
        <f ca="1">K2 + 1</f>
        <v>45961</v>
      </c>
      <c r="M2" s="19"/>
      <c r="N2" s="194" t="s">
        <v>50</v>
      </c>
      <c r="O2" s="194"/>
      <c r="P2" s="194"/>
      <c r="Q2" s="21"/>
    </row>
    <row r="3" spans="1:22" s="13" customFormat="1" ht="38.25" x14ac:dyDescent="0.2">
      <c r="A3" s="114" t="s">
        <v>53</v>
      </c>
      <c r="B3" s="115" t="s">
        <v>54</v>
      </c>
      <c r="C3" s="122" t="s">
        <v>32</v>
      </c>
      <c r="D3" s="119" t="s">
        <v>0</v>
      </c>
      <c r="E3" s="119" t="s">
        <v>1</v>
      </c>
      <c r="F3" s="119" t="s">
        <v>2</v>
      </c>
      <c r="G3" s="119" t="s">
        <v>16</v>
      </c>
      <c r="H3" s="117" t="s">
        <v>3</v>
      </c>
      <c r="I3" s="117" t="s">
        <v>4</v>
      </c>
      <c r="J3" s="117" t="s">
        <v>5</v>
      </c>
      <c r="K3" s="117" t="s">
        <v>6</v>
      </c>
      <c r="L3" s="117" t="s">
        <v>7</v>
      </c>
      <c r="M3" s="117" t="s">
        <v>18</v>
      </c>
      <c r="N3" s="117" t="s">
        <v>39</v>
      </c>
      <c r="O3" s="117" t="s">
        <v>40</v>
      </c>
      <c r="P3" s="117" t="s">
        <v>41</v>
      </c>
      <c r="Q3" s="117" t="s">
        <v>14</v>
      </c>
      <c r="R3" s="118" t="s">
        <v>15</v>
      </c>
      <c r="S3" s="117" t="s">
        <v>17</v>
      </c>
      <c r="T3" s="123" t="s">
        <v>33</v>
      </c>
      <c r="U3" s="124" t="s">
        <v>61</v>
      </c>
      <c r="V3" s="13" t="s">
        <v>141</v>
      </c>
    </row>
    <row r="4" spans="1:22" s="13" customFormat="1" ht="30" x14ac:dyDescent="0.2">
      <c r="A4" s="84"/>
      <c r="B4" s="84"/>
      <c r="C4" s="84" t="str">
        <f>IF(OR(Tabella1[[#This Row],[LUN]]="X",Tabella1[[#This Row],[MAR]]="X",Tabella1[[#This Row],[MER]]="X",Tabella1[[#This Row],[GIO]]="X",Tabella1[[#This Row],[VEN]]="X",),"X","")</f>
        <v>X</v>
      </c>
      <c r="D4" s="85" t="s">
        <v>147</v>
      </c>
      <c r="E4" s="81" t="s">
        <v>982</v>
      </c>
      <c r="F4" s="81">
        <v>1000</v>
      </c>
      <c r="G4" s="81" t="s">
        <v>983</v>
      </c>
      <c r="H4" s="83"/>
      <c r="I4" s="83"/>
      <c r="J4" s="83"/>
      <c r="K4" s="83"/>
      <c r="L4" s="83" t="s">
        <v>8</v>
      </c>
      <c r="M4" s="142" t="s">
        <v>52</v>
      </c>
      <c r="N4" s="82"/>
      <c r="O4" s="103"/>
      <c r="P4" s="82"/>
      <c r="Q4" s="81" t="s">
        <v>984</v>
      </c>
      <c r="R4" s="82">
        <v>45952</v>
      </c>
      <c r="S4" s="82" t="s">
        <v>20</v>
      </c>
      <c r="T4" s="132" t="str">
        <f ca="1">IF(AND('Inserimento dati'!$B$3=$H$2, Tabella1[[#This Row],[LUN]]="X"), "X",IF(AND('Inserimento dati'!$B$3=$I$2, Tabella1[[#This Row],[MAR]]="X"), "X", IF(AND('Inserimento dati'!$B$3=$J$2, Tabella1[[#This Row],[MER]]="X"), "X",IF(AND('Inserimento dati'!$B$3=$K$2, Tabella1[[#This Row],[GIO]]="X"), "X", IF(AND('Inserimento dati'!$B$3=$L$2, Tabella1[[#This Row],[VEN]]="X"), "X","")))))</f>
        <v/>
      </c>
      <c r="U4" s="133" t="str">
        <f ca="1">IFERROR(MID(G4,_xlfn.AGGREGATE(15,6,(ROW(INDIRECT("1:"&amp;LEN(G4)-7)))/(ISNUMBER(--MID(G4,ROW(INDIRECT("1:"&amp;LEN(G4)-7)),8))),1),8),"")</f>
        <v/>
      </c>
      <c r="V4" s="109">
        <v>45955.433807870373</v>
      </c>
    </row>
    <row r="5" spans="1:22" s="13" customFormat="1" ht="23.25" x14ac:dyDescent="0.2">
      <c r="A5" s="84"/>
      <c r="B5" s="84"/>
      <c r="C5" s="84" t="str">
        <f>IF(OR(Tabella1[[#This Row],[LUN]]="X",Tabella1[[#This Row],[MAR]]="X",Tabella1[[#This Row],[MER]]="X",Tabella1[[#This Row],[GIO]]="X",Tabella1[[#This Row],[VEN]]="X",),"X","")</f>
        <v>X</v>
      </c>
      <c r="D5" s="85" t="s">
        <v>147</v>
      </c>
      <c r="E5" s="81" t="s">
        <v>985</v>
      </c>
      <c r="F5" s="81">
        <v>600</v>
      </c>
      <c r="G5" s="81" t="s">
        <v>986</v>
      </c>
      <c r="H5" s="83"/>
      <c r="I5" s="83"/>
      <c r="J5" s="83" t="s">
        <v>8</v>
      </c>
      <c r="K5" s="83" t="s">
        <v>8</v>
      </c>
      <c r="L5" s="83" t="s">
        <v>8</v>
      </c>
      <c r="M5" s="142" t="s">
        <v>52</v>
      </c>
      <c r="N5" s="82"/>
      <c r="O5" s="103"/>
      <c r="P5" s="82"/>
      <c r="Q5" s="81" t="s">
        <v>987</v>
      </c>
      <c r="R5" s="82">
        <v>45951</v>
      </c>
      <c r="S5" s="82" t="s">
        <v>20</v>
      </c>
      <c r="T5" s="132" t="str">
        <f ca="1">IF(AND('Inserimento dati'!$B$3=$H$2, Tabella1[[#This Row],[LUN]]="X"), "X",IF(AND('Inserimento dati'!$B$3=$I$2, Tabella1[[#This Row],[MAR]]="X"), "X", IF(AND('Inserimento dati'!$B$3=$J$2, Tabella1[[#This Row],[MER]]="X"), "X",IF(AND('Inserimento dati'!$B$3=$K$2, Tabella1[[#This Row],[GIO]]="X"), "X", IF(AND('Inserimento dati'!$B$3=$L$2, Tabella1[[#This Row],[VEN]]="X"), "X","")))))</f>
        <v/>
      </c>
      <c r="U5" s="133"/>
      <c r="V5" s="109">
        <v>45954.588159722225</v>
      </c>
    </row>
    <row r="6" spans="1:22" s="13" customFormat="1" ht="30" x14ac:dyDescent="0.2">
      <c r="A6" s="84"/>
      <c r="B6" s="84"/>
      <c r="C6" s="84" t="str">
        <f>IF(OR(Tabella1[[#This Row],[LUN]]="X",Tabella1[[#This Row],[MAR]]="X",Tabella1[[#This Row],[MER]]="X",Tabella1[[#This Row],[GIO]]="X",Tabella1[[#This Row],[VEN]]="X",),"X","")</f>
        <v>X</v>
      </c>
      <c r="D6" s="85" t="s">
        <v>147</v>
      </c>
      <c r="E6" s="81" t="s">
        <v>988</v>
      </c>
      <c r="F6" s="81">
        <v>600</v>
      </c>
      <c r="G6" s="81" t="s">
        <v>989</v>
      </c>
      <c r="H6" s="83"/>
      <c r="I6" s="83"/>
      <c r="J6" s="83" t="s">
        <v>8</v>
      </c>
      <c r="K6" s="83" t="s">
        <v>8</v>
      </c>
      <c r="L6" s="83" t="s">
        <v>8</v>
      </c>
      <c r="M6" s="142" t="s">
        <v>52</v>
      </c>
      <c r="N6" s="82"/>
      <c r="O6" s="103"/>
      <c r="P6" s="82"/>
      <c r="Q6" s="81" t="s">
        <v>990</v>
      </c>
      <c r="R6" s="82">
        <v>45951</v>
      </c>
      <c r="S6" s="82" t="s">
        <v>20</v>
      </c>
      <c r="T6" s="132" t="str">
        <f ca="1">IF(AND('Inserimento dati'!$B$3=$H$2, Tabella1[[#This Row],[LUN]]="X"), "X",IF(AND('Inserimento dati'!$B$3=$I$2, Tabella1[[#This Row],[MAR]]="X"), "X", IF(AND('Inserimento dati'!$B$3=$J$2, Tabella1[[#This Row],[MER]]="X"), "X",IF(AND('Inserimento dati'!$B$3=$K$2, Tabella1[[#This Row],[GIO]]="X"), "X", IF(AND('Inserimento dati'!$B$3=$L$2, Tabella1[[#This Row],[VEN]]="X"), "X","")))))</f>
        <v/>
      </c>
      <c r="U6" s="133"/>
      <c r="V6" s="109">
        <v>45953.576064814813</v>
      </c>
    </row>
    <row r="7" spans="1:22" s="13" customFormat="1" ht="30" x14ac:dyDescent="0.2">
      <c r="A7" s="84"/>
      <c r="B7" s="84"/>
      <c r="C7" s="84" t="str">
        <f>IF(OR(Tabella1[[#This Row],[LUN]]="X",Tabella1[[#This Row],[MAR]]="X",Tabella1[[#This Row],[MER]]="X",Tabella1[[#This Row],[GIO]]="X",Tabella1[[#This Row],[VEN]]="X",),"X","")</f>
        <v/>
      </c>
      <c r="D7" s="85" t="s">
        <v>147</v>
      </c>
      <c r="E7" s="81" t="s">
        <v>991</v>
      </c>
      <c r="F7" s="81">
        <v>600</v>
      </c>
      <c r="G7" s="81" t="s">
        <v>992</v>
      </c>
      <c r="H7" s="83"/>
      <c r="I7" s="83"/>
      <c r="J7" s="83"/>
      <c r="K7" s="83"/>
      <c r="L7" s="83"/>
      <c r="M7" s="142" t="s">
        <v>52</v>
      </c>
      <c r="N7" s="82"/>
      <c r="O7" s="103"/>
      <c r="P7" s="82"/>
      <c r="Q7" s="81" t="s">
        <v>993</v>
      </c>
      <c r="R7" s="82">
        <v>45937</v>
      </c>
      <c r="S7" s="82" t="s">
        <v>20</v>
      </c>
      <c r="T7" s="132" t="str">
        <f ca="1">IF(AND('Inserimento dati'!$B$3=$H$2, Tabella1[[#This Row],[LUN]]="X"), "X",IF(AND('Inserimento dati'!$B$3=$I$2, Tabella1[[#This Row],[MAR]]="X"), "X", IF(AND('Inserimento dati'!$B$3=$J$2, Tabella1[[#This Row],[MER]]="X"), "X",IF(AND('Inserimento dati'!$B$3=$K$2, Tabella1[[#This Row],[GIO]]="X"), "X", IF(AND('Inserimento dati'!$B$3=$L$2, Tabella1[[#This Row],[VEN]]="X"), "X","")))))</f>
        <v/>
      </c>
      <c r="U7" s="126"/>
      <c r="V7" s="109">
        <v>45952.776747685188</v>
      </c>
    </row>
    <row r="8" spans="1:22" s="13" customFormat="1" ht="30" x14ac:dyDescent="0.2">
      <c r="A8" s="84"/>
      <c r="B8" s="84"/>
      <c r="C8" s="84" t="str">
        <f>IF(OR(Tabella1[[#This Row],[LUN]]="X",Tabella1[[#This Row],[MAR]]="X",Tabella1[[#This Row],[MER]]="X",Tabella1[[#This Row],[GIO]]="X",Tabella1[[#This Row],[VEN]]="X",),"X","")</f>
        <v/>
      </c>
      <c r="D8" s="85" t="s">
        <v>147</v>
      </c>
      <c r="E8" s="81" t="s">
        <v>994</v>
      </c>
      <c r="F8" s="81">
        <v>500</v>
      </c>
      <c r="G8" s="81" t="s">
        <v>995</v>
      </c>
      <c r="H8" s="83"/>
      <c r="I8" s="83"/>
      <c r="J8" s="83"/>
      <c r="K8" s="83"/>
      <c r="L8" s="83"/>
      <c r="M8" s="142" t="s">
        <v>52</v>
      </c>
      <c r="N8" s="82"/>
      <c r="O8" s="103"/>
      <c r="P8" s="82"/>
      <c r="Q8" s="81" t="s">
        <v>996</v>
      </c>
      <c r="R8" s="82">
        <v>45840</v>
      </c>
      <c r="S8" s="82" t="s">
        <v>11</v>
      </c>
      <c r="T8" s="132" t="str">
        <f ca="1">IF(AND('Inserimento dati'!$B$3=$H$2, Tabella1[[#This Row],[LUN]]="X"), "X",IF(AND('Inserimento dati'!$B$3=$I$2, Tabella1[[#This Row],[MAR]]="X"), "X", IF(AND('Inserimento dati'!$B$3=$J$2, Tabella1[[#This Row],[MER]]="X"), "X",IF(AND('Inserimento dati'!$B$3=$K$2, Tabella1[[#This Row],[GIO]]="X"), "X", IF(AND('Inserimento dati'!$B$3=$L$2, Tabella1[[#This Row],[VEN]]="X"), "X","")))))</f>
        <v/>
      </c>
      <c r="U8" s="143" t="str">
        <f ca="1">IFERROR(MID(G8,_xlfn.AGGREGATE(15,6,(ROW(INDIRECT("1:"&amp;LEN(G8)-7)))/(ISNUMBER(--MID(G8,ROW(INDIRECT("1:"&amp;LEN(G8)-7)),8))),1),8),"")</f>
        <v/>
      </c>
      <c r="V8" s="109">
        <v>45946.542453703703</v>
      </c>
    </row>
    <row r="9" spans="1:22" s="13" customFormat="1" ht="30" x14ac:dyDescent="0.2">
      <c r="A9" s="84"/>
      <c r="B9" s="84"/>
      <c r="C9" s="84" t="str">
        <f>IF(OR(Tabella1[[#This Row],[LUN]]="X",Tabella1[[#This Row],[MAR]]="X",Tabella1[[#This Row],[MER]]="X",Tabella1[[#This Row],[GIO]]="X",Tabella1[[#This Row],[VEN]]="X",),"X","")</f>
        <v/>
      </c>
      <c r="D9" s="85" t="s">
        <v>147</v>
      </c>
      <c r="E9" s="81" t="s">
        <v>997</v>
      </c>
      <c r="F9" s="81">
        <v>600</v>
      </c>
      <c r="G9" s="81" t="s">
        <v>998</v>
      </c>
      <c r="H9" s="83"/>
      <c r="I9" s="83"/>
      <c r="J9" s="83"/>
      <c r="K9" s="83"/>
      <c r="L9" s="83"/>
      <c r="M9" s="142" t="s">
        <v>52</v>
      </c>
      <c r="N9" s="82"/>
      <c r="O9" s="103"/>
      <c r="P9" s="82"/>
      <c r="Q9" s="81" t="s">
        <v>999</v>
      </c>
      <c r="R9" s="82">
        <v>45881</v>
      </c>
      <c r="S9" s="82" t="s">
        <v>1000</v>
      </c>
      <c r="T9" s="132" t="str">
        <f ca="1">IF(AND('Inserimento dati'!$B$3=$H$2, Tabella1[[#This Row],[LUN]]="X"), "X",IF(AND('Inserimento dati'!$B$3=$I$2, Tabella1[[#This Row],[MAR]]="X"), "X", IF(AND('Inserimento dati'!$B$3=$J$2, Tabella1[[#This Row],[MER]]="X"), "X",IF(AND('Inserimento dati'!$B$3=$K$2, Tabella1[[#This Row],[GIO]]="X"), "X", IF(AND('Inserimento dati'!$B$3=$L$2, Tabella1[[#This Row],[VEN]]="X"), "X","")))))</f>
        <v/>
      </c>
      <c r="U9" s="126"/>
      <c r="V9" s="109">
        <v>45940.569953703707</v>
      </c>
    </row>
    <row r="10" spans="1:22" s="13" customFormat="1" ht="30" x14ac:dyDescent="0.2">
      <c r="A10" s="84"/>
      <c r="B10" s="84"/>
      <c r="C10" s="84" t="str">
        <f>IF(OR(Tabella1[[#This Row],[LUN]]="X",Tabella1[[#This Row],[MAR]]="X",Tabella1[[#This Row],[MER]]="X",Tabella1[[#This Row],[GIO]]="X",Tabella1[[#This Row],[VEN]]="X",),"X","")</f>
        <v/>
      </c>
      <c r="D10" s="85" t="s">
        <v>147</v>
      </c>
      <c r="E10" s="81" t="s">
        <v>1001</v>
      </c>
      <c r="F10" s="81">
        <v>600</v>
      </c>
      <c r="G10" s="81" t="s">
        <v>1002</v>
      </c>
      <c r="H10" s="83"/>
      <c r="I10" s="83"/>
      <c r="J10" s="83"/>
      <c r="K10" s="83"/>
      <c r="L10" s="83"/>
      <c r="M10" s="142" t="s">
        <v>52</v>
      </c>
      <c r="N10" s="82"/>
      <c r="O10" s="103"/>
      <c r="P10" s="82"/>
      <c r="Q10" s="81" t="s">
        <v>999</v>
      </c>
      <c r="R10" s="82">
        <v>45881</v>
      </c>
      <c r="S10" s="82" t="s">
        <v>1000</v>
      </c>
      <c r="T10" s="132" t="str">
        <f ca="1">IF(AND('Inserimento dati'!$B$3=$H$2, Tabella1[[#This Row],[LUN]]="X"), "X",IF(AND('Inserimento dati'!$B$3=$I$2, Tabella1[[#This Row],[MAR]]="X"), "X", IF(AND('Inserimento dati'!$B$3=$J$2, Tabella1[[#This Row],[MER]]="X"), "X",IF(AND('Inserimento dati'!$B$3=$K$2, Tabella1[[#This Row],[GIO]]="X"), "X", IF(AND('Inserimento dati'!$B$3=$L$2, Tabella1[[#This Row],[VEN]]="X"), "X","")))))</f>
        <v/>
      </c>
      <c r="U10" s="126"/>
      <c r="V10" s="109">
        <v>45938.549768518518</v>
      </c>
    </row>
    <row r="11" spans="1:22" s="13" customFormat="1" ht="23.25" x14ac:dyDescent="0.2">
      <c r="A11" s="84"/>
      <c r="B11" s="84"/>
      <c r="C11" s="84" t="str">
        <f>IF(OR(Tabella1[[#This Row],[LUN]]="X",Tabella1[[#This Row],[MAR]]="X",Tabella1[[#This Row],[MER]]="X",Tabella1[[#This Row],[GIO]]="X",Tabella1[[#This Row],[VEN]]="X",),"X","")</f>
        <v/>
      </c>
      <c r="D11" s="85" t="s">
        <v>147</v>
      </c>
      <c r="E11" s="81" t="s">
        <v>1003</v>
      </c>
      <c r="F11" s="81">
        <v>1000</v>
      </c>
      <c r="G11" s="81" t="s">
        <v>1004</v>
      </c>
      <c r="H11" s="83"/>
      <c r="I11" s="83"/>
      <c r="J11" s="83"/>
      <c r="K11" s="83"/>
      <c r="L11" s="83"/>
      <c r="M11" s="142" t="s">
        <v>52</v>
      </c>
      <c r="N11" s="82"/>
      <c r="O11" s="103"/>
      <c r="P11" s="82"/>
      <c r="Q11" s="81" t="s">
        <v>725</v>
      </c>
      <c r="R11" s="82">
        <v>45845</v>
      </c>
      <c r="S11" s="82" t="s">
        <v>38</v>
      </c>
      <c r="T11" s="132" t="str">
        <f ca="1">IF(AND('Inserimento dati'!$B$3=$H$2, Tabella1[[#This Row],[LUN]]="X"), "X",IF(AND('Inserimento dati'!$B$3=$I$2, Tabella1[[#This Row],[MAR]]="X"), "X", IF(AND('Inserimento dati'!$B$3=$J$2, Tabella1[[#This Row],[MER]]="X"), "X",IF(AND('Inserimento dati'!$B$3=$K$2, Tabella1[[#This Row],[GIO]]="X"), "X", IF(AND('Inserimento dati'!$B$3=$L$2, Tabella1[[#This Row],[VEN]]="X"), "X","")))))</f>
        <v/>
      </c>
      <c r="U11" s="143"/>
      <c r="V11" s="109">
        <v>45938.298391203702</v>
      </c>
    </row>
    <row r="12" spans="1:22" s="13" customFormat="1" ht="30" x14ac:dyDescent="0.2">
      <c r="A12" s="84"/>
      <c r="B12" s="84" t="str">
        <f t="shared" ref="B12:B43" si="0">IF(OR(A12="x",A12="X"),"",IF(ISBLANK(A12),"X",""))</f>
        <v>X</v>
      </c>
      <c r="C12" s="84" t="str">
        <f>IF(OR(Tabella1[[#This Row],[LUN]]="X",Tabella1[[#This Row],[MAR]]="X",Tabella1[[#This Row],[MER]]="X",Tabella1[[#This Row],[GIO]]="X",Tabella1[[#This Row],[VEN]]="X",),"X","")</f>
        <v/>
      </c>
      <c r="D12" s="85" t="s">
        <v>147</v>
      </c>
      <c r="E12" s="81" t="s">
        <v>1005</v>
      </c>
      <c r="F12" s="81">
        <v>600</v>
      </c>
      <c r="G12" s="81" t="s">
        <v>1006</v>
      </c>
      <c r="H12" s="83"/>
      <c r="I12" s="83"/>
      <c r="J12" s="83"/>
      <c r="K12" s="83"/>
      <c r="L12" s="83"/>
      <c r="M12" s="142" t="s">
        <v>52</v>
      </c>
      <c r="N12" s="82"/>
      <c r="O12" s="103"/>
      <c r="P12" s="82"/>
      <c r="Q12" s="81" t="s">
        <v>725</v>
      </c>
      <c r="R12" s="82">
        <v>45821</v>
      </c>
      <c r="S12" s="82" t="s">
        <v>38</v>
      </c>
      <c r="T12" s="132" t="str">
        <f ca="1">IF(AND('Inserimento dati'!$B$3=$H$2, Tabella1[[#This Row],[LUN]]="X"), "X",IF(AND('Inserimento dati'!$B$3=$I$2, Tabella1[[#This Row],[MAR]]="X"), "X", IF(AND('Inserimento dati'!$B$3=$J$2, Tabella1[[#This Row],[MER]]="X"), "X",IF(AND('Inserimento dati'!$B$3=$K$2, Tabella1[[#This Row],[GIO]]="X"), "X", IF(AND('Inserimento dati'!$B$3=$L$2, Tabella1[[#This Row],[VEN]]="X"), "X","")))))</f>
        <v/>
      </c>
      <c r="U12" s="144" t="str">
        <f t="shared" ref="U12:U43" ca="1" si="1">IFERROR(MID(G12,_xlfn.AGGREGATE(15,6,(ROW(INDIRECT("1:"&amp;LEN(G12)-7)))/(ISNUMBER(--MID(G12,ROW(INDIRECT("1:"&amp;LEN(G12)-7)),8))),1),8),"")</f>
        <v/>
      </c>
      <c r="V12" s="109">
        <v>45936.960324074076</v>
      </c>
    </row>
    <row r="13" spans="1:22" s="13" customFormat="1" ht="30" x14ac:dyDescent="0.2">
      <c r="A13" s="84"/>
      <c r="B13" s="84" t="str">
        <f t="shared" si="0"/>
        <v>X</v>
      </c>
      <c r="C13" s="84" t="str">
        <f>IF(OR(Tabella1[[#This Row],[LUN]]="X",Tabella1[[#This Row],[MAR]]="X",Tabella1[[#This Row],[MER]]="X",Tabella1[[#This Row],[GIO]]="X",Tabella1[[#This Row],[VEN]]="X",),"X","")</f>
        <v/>
      </c>
      <c r="D13" s="85" t="s">
        <v>147</v>
      </c>
      <c r="E13" s="81" t="s">
        <v>1007</v>
      </c>
      <c r="F13" s="81">
        <v>500</v>
      </c>
      <c r="G13" s="81" t="s">
        <v>1008</v>
      </c>
      <c r="H13" s="83"/>
      <c r="I13" s="83"/>
      <c r="J13" s="83"/>
      <c r="K13" s="83"/>
      <c r="L13" s="83"/>
      <c r="M13" s="142" t="s">
        <v>52</v>
      </c>
      <c r="N13" s="82"/>
      <c r="O13" s="103"/>
      <c r="P13" s="82"/>
      <c r="Q13" s="81" t="s">
        <v>1009</v>
      </c>
      <c r="R13" s="82">
        <v>45803</v>
      </c>
      <c r="S13" s="82" t="s">
        <v>1010</v>
      </c>
      <c r="T13" s="132" t="str">
        <f ca="1">IF(AND('Inserimento dati'!$B$3=$H$2, Tabella1[[#This Row],[LUN]]="X"), "X",IF(AND('Inserimento dati'!$B$3=$I$2, Tabella1[[#This Row],[MAR]]="X"), "X", IF(AND('Inserimento dati'!$B$3=$J$2, Tabella1[[#This Row],[MER]]="X"), "X",IF(AND('Inserimento dati'!$B$3=$K$2, Tabella1[[#This Row],[GIO]]="X"), "X", IF(AND('Inserimento dati'!$B$3=$L$2, Tabella1[[#This Row],[VEN]]="X"), "X","")))))</f>
        <v/>
      </c>
      <c r="U13" s="144" t="str">
        <f t="shared" ca="1" si="1"/>
        <v/>
      </c>
      <c r="V13" s="109">
        <v>45936.960312499999</v>
      </c>
    </row>
    <row r="14" spans="1:22" s="13" customFormat="1" ht="23.25" x14ac:dyDescent="0.2">
      <c r="A14" s="84"/>
      <c r="B14" s="84" t="str">
        <f t="shared" si="0"/>
        <v>X</v>
      </c>
      <c r="C14" s="84" t="str">
        <f>IF(OR(Tabella1[[#This Row],[LUN]]="X",Tabella1[[#This Row],[MAR]]="X",Tabella1[[#This Row],[MER]]="X",Tabella1[[#This Row],[GIO]]="X",Tabella1[[#This Row],[VEN]]="X",),"X","")</f>
        <v/>
      </c>
      <c r="D14" s="85" t="s">
        <v>147</v>
      </c>
      <c r="E14" s="81" t="s">
        <v>1011</v>
      </c>
      <c r="F14" s="81">
        <v>1000</v>
      </c>
      <c r="G14" s="81" t="s">
        <v>1012</v>
      </c>
      <c r="H14" s="83"/>
      <c r="I14" s="83"/>
      <c r="J14" s="83"/>
      <c r="K14" s="83"/>
      <c r="L14" s="83"/>
      <c r="M14" s="142" t="s">
        <v>52</v>
      </c>
      <c r="N14" s="82"/>
      <c r="O14" s="103"/>
      <c r="P14" s="82"/>
      <c r="Q14" s="81" t="s">
        <v>1013</v>
      </c>
      <c r="R14" s="82">
        <v>45819</v>
      </c>
      <c r="S14" s="82" t="s">
        <v>23</v>
      </c>
      <c r="T14" s="132" t="str">
        <f ca="1">IF(AND('Inserimento dati'!$B$3=$H$2, Tabella1[[#This Row],[LUN]]="X"), "X",IF(AND('Inserimento dati'!$B$3=$I$2, Tabella1[[#This Row],[MAR]]="X"), "X", IF(AND('Inserimento dati'!$B$3=$J$2, Tabella1[[#This Row],[MER]]="X"), "X",IF(AND('Inserimento dati'!$B$3=$K$2, Tabella1[[#This Row],[GIO]]="X"), "X", IF(AND('Inserimento dati'!$B$3=$L$2, Tabella1[[#This Row],[VEN]]="X"), "X","")))))</f>
        <v/>
      </c>
      <c r="U14" s="144" t="str">
        <f t="shared" ca="1" si="1"/>
        <v/>
      </c>
      <c r="V14" s="109">
        <v>45936.960289351853</v>
      </c>
    </row>
    <row r="15" spans="1:22" s="13" customFormat="1" ht="23.25" x14ac:dyDescent="0.2">
      <c r="A15" s="84"/>
      <c r="B15" s="84" t="str">
        <f t="shared" si="0"/>
        <v>X</v>
      </c>
      <c r="C15" s="84" t="str">
        <f>IF(OR(Tabella1[[#This Row],[LUN]]="X",Tabella1[[#This Row],[MAR]]="X",Tabella1[[#This Row],[MER]]="X",Tabella1[[#This Row],[GIO]]="X",Tabella1[[#This Row],[VEN]]="X",),"X","")</f>
        <v/>
      </c>
      <c r="D15" s="85" t="s">
        <v>147</v>
      </c>
      <c r="E15" s="81" t="s">
        <v>1014</v>
      </c>
      <c r="F15" s="81">
        <v>500</v>
      </c>
      <c r="G15" s="81" t="s">
        <v>1015</v>
      </c>
      <c r="H15" s="83"/>
      <c r="I15" s="83"/>
      <c r="J15" s="83"/>
      <c r="K15" s="83"/>
      <c r="L15" s="83"/>
      <c r="M15" s="142" t="s">
        <v>52</v>
      </c>
      <c r="N15" s="82"/>
      <c r="O15" s="103"/>
      <c r="P15" s="82"/>
      <c r="Q15" s="81"/>
      <c r="R15" s="82"/>
      <c r="S15" s="82"/>
      <c r="T15" s="132" t="str">
        <f ca="1">IF(AND('Inserimento dati'!$B$3=$H$2, Tabella1[[#This Row],[LUN]]="X"), "X",IF(AND('Inserimento dati'!$B$3=$I$2, Tabella1[[#This Row],[MAR]]="X"), "X", IF(AND('Inserimento dati'!$B$3=$J$2, Tabella1[[#This Row],[MER]]="X"), "X",IF(AND('Inserimento dati'!$B$3=$K$2, Tabella1[[#This Row],[GIO]]="X"), "X", IF(AND('Inserimento dati'!$B$3=$L$2, Tabella1[[#This Row],[VEN]]="X"), "X","")))))</f>
        <v/>
      </c>
      <c r="U15" s="144" t="str">
        <f t="shared" ca="1" si="1"/>
        <v/>
      </c>
      <c r="V15" s="109">
        <v>45936.960266203707</v>
      </c>
    </row>
    <row r="16" spans="1:22" s="13" customFormat="1" ht="23.25" x14ac:dyDescent="0.2">
      <c r="A16" s="84"/>
      <c r="B16" s="84" t="str">
        <f t="shared" si="0"/>
        <v>X</v>
      </c>
      <c r="C16" s="84" t="str">
        <f>IF(OR(Tabella1[[#This Row],[LUN]]="X",Tabella1[[#This Row],[MAR]]="X",Tabella1[[#This Row],[MER]]="X",Tabella1[[#This Row],[GIO]]="X",Tabella1[[#This Row],[VEN]]="X",),"X","")</f>
        <v/>
      </c>
      <c r="D16" s="85" t="s">
        <v>147</v>
      </c>
      <c r="E16" s="81" t="s">
        <v>1016</v>
      </c>
      <c r="F16" s="81">
        <v>500</v>
      </c>
      <c r="G16" s="81" t="s">
        <v>1017</v>
      </c>
      <c r="H16" s="83"/>
      <c r="I16" s="83"/>
      <c r="J16" s="83"/>
      <c r="K16" s="83"/>
      <c r="L16" s="83"/>
      <c r="M16" s="142" t="s">
        <v>52</v>
      </c>
      <c r="N16" s="82"/>
      <c r="O16" s="103"/>
      <c r="P16" s="82"/>
      <c r="Q16" s="81" t="s">
        <v>725</v>
      </c>
      <c r="R16" s="82">
        <v>45790</v>
      </c>
      <c r="S16" s="82" t="s">
        <v>23</v>
      </c>
      <c r="T16" s="132" t="str">
        <f ca="1">IF(AND('Inserimento dati'!$B$3=$H$2, Tabella1[[#This Row],[LUN]]="X"), "X",IF(AND('Inserimento dati'!$B$3=$I$2, Tabella1[[#This Row],[MAR]]="X"), "X", IF(AND('Inserimento dati'!$B$3=$J$2, Tabella1[[#This Row],[MER]]="X"), "X",IF(AND('Inserimento dati'!$B$3=$K$2, Tabella1[[#This Row],[GIO]]="X"), "X", IF(AND('Inserimento dati'!$B$3=$L$2, Tabella1[[#This Row],[VEN]]="X"), "X","")))))</f>
        <v/>
      </c>
      <c r="U16" s="144" t="str">
        <f t="shared" ca="1" si="1"/>
        <v/>
      </c>
      <c r="V16" s="109">
        <v>45934.685601851852</v>
      </c>
    </row>
    <row r="17" spans="1:22" s="13" customFormat="1" ht="23.25" x14ac:dyDescent="0.2">
      <c r="A17" s="84"/>
      <c r="B17" s="84" t="str">
        <f t="shared" si="0"/>
        <v>X</v>
      </c>
      <c r="C17" s="84" t="str">
        <f>IF(OR(Tabella1[[#This Row],[LUN]]="X",Tabella1[[#This Row],[MAR]]="X",Tabella1[[#This Row],[MER]]="X",Tabella1[[#This Row],[GIO]]="X",Tabella1[[#This Row],[VEN]]="X",),"X","")</f>
        <v/>
      </c>
      <c r="D17" s="85" t="s">
        <v>147</v>
      </c>
      <c r="E17" s="81" t="s">
        <v>1018</v>
      </c>
      <c r="F17" s="81">
        <v>500</v>
      </c>
      <c r="G17" s="81" t="s">
        <v>1019</v>
      </c>
      <c r="H17" s="83"/>
      <c r="I17" s="83"/>
      <c r="J17" s="83"/>
      <c r="K17" s="83"/>
      <c r="L17" s="83"/>
      <c r="M17" s="142" t="s">
        <v>52</v>
      </c>
      <c r="N17" s="82"/>
      <c r="O17" s="103"/>
      <c r="P17" s="82"/>
      <c r="Q17" s="81" t="s">
        <v>725</v>
      </c>
      <c r="R17" s="82">
        <v>45800</v>
      </c>
      <c r="S17" s="82" t="s">
        <v>20</v>
      </c>
      <c r="T17" s="132" t="str">
        <f ca="1">IF(AND('Inserimento dati'!$B$3=$H$2, Tabella1[[#This Row],[LUN]]="X"), "X",IF(AND('Inserimento dati'!$B$3=$I$2, Tabella1[[#This Row],[MAR]]="X"), "X", IF(AND('Inserimento dati'!$B$3=$J$2, Tabella1[[#This Row],[MER]]="X"), "X",IF(AND('Inserimento dati'!$B$3=$K$2, Tabella1[[#This Row],[GIO]]="X"), "X", IF(AND('Inserimento dati'!$B$3=$L$2, Tabella1[[#This Row],[VEN]]="X"), "X","")))))</f>
        <v/>
      </c>
      <c r="U17" s="144" t="str">
        <f t="shared" ca="1" si="1"/>
        <v/>
      </c>
      <c r="V17" s="109"/>
    </row>
    <row r="18" spans="1:22" ht="23.25" x14ac:dyDescent="0.25">
      <c r="A18" s="84"/>
      <c r="B18" s="84" t="str">
        <f t="shared" si="0"/>
        <v>X</v>
      </c>
      <c r="C18" s="84" t="str">
        <f>IF(OR(Tabella1[[#This Row],[LUN]]="X",Tabella1[[#This Row],[MAR]]="X",Tabella1[[#This Row],[MER]]="X",Tabella1[[#This Row],[GIO]]="X",Tabella1[[#This Row],[VEN]]="X",),"X","")</f>
        <v/>
      </c>
      <c r="D18" s="85" t="s">
        <v>147</v>
      </c>
      <c r="E18" s="81" t="s">
        <v>1020</v>
      </c>
      <c r="F18" s="81">
        <v>1000</v>
      </c>
      <c r="G18" s="81" t="s">
        <v>1021</v>
      </c>
      <c r="H18" s="83"/>
      <c r="I18" s="83"/>
      <c r="J18" s="83"/>
      <c r="K18" s="83"/>
      <c r="L18" s="83"/>
      <c r="M18" s="142" t="s">
        <v>52</v>
      </c>
      <c r="N18" s="82"/>
      <c r="O18" s="103"/>
      <c r="P18" s="82"/>
      <c r="Q18" s="81" t="s">
        <v>725</v>
      </c>
      <c r="R18" s="82">
        <v>45807</v>
      </c>
      <c r="S18" s="82" t="s">
        <v>23</v>
      </c>
      <c r="T18" s="132" t="str">
        <f ca="1">IF(AND('Inserimento dati'!$B$3=$H$2, Tabella1[[#This Row],[LUN]]="X"), "X",IF(AND('Inserimento dati'!$B$3=$I$2, Tabella1[[#This Row],[MAR]]="X"), "X", IF(AND('Inserimento dati'!$B$3=$J$2, Tabella1[[#This Row],[MER]]="X"), "X",IF(AND('Inserimento dati'!$B$3=$K$2, Tabella1[[#This Row],[GIO]]="X"), "X", IF(AND('Inserimento dati'!$B$3=$L$2, Tabella1[[#This Row],[VEN]]="X"), "X","")))))</f>
        <v/>
      </c>
      <c r="U18" s="145" t="str">
        <f t="shared" ca="1" si="1"/>
        <v/>
      </c>
    </row>
    <row r="19" spans="1:22" ht="23.25" x14ac:dyDescent="0.25">
      <c r="A19" s="84"/>
      <c r="B19" s="84" t="str">
        <f t="shared" si="0"/>
        <v>X</v>
      </c>
      <c r="C19" s="84" t="str">
        <f>IF(OR(Tabella1[[#This Row],[LUN]]="X",Tabella1[[#This Row],[MAR]]="X",Tabella1[[#This Row],[MER]]="X",Tabella1[[#This Row],[GIO]]="X",Tabella1[[#This Row],[VEN]]="X",),"X","")</f>
        <v/>
      </c>
      <c r="D19" s="85" t="s">
        <v>147</v>
      </c>
      <c r="E19" s="81" t="s">
        <v>1022</v>
      </c>
      <c r="F19" s="81">
        <v>500</v>
      </c>
      <c r="G19" s="81" t="s">
        <v>1023</v>
      </c>
      <c r="H19" s="83"/>
      <c r="I19" s="83"/>
      <c r="J19" s="83"/>
      <c r="K19" s="83"/>
      <c r="L19" s="83"/>
      <c r="M19" s="142" t="s">
        <v>52</v>
      </c>
      <c r="N19" s="82"/>
      <c r="O19" s="103"/>
      <c r="P19" s="82"/>
      <c r="Q19" s="81" t="s">
        <v>725</v>
      </c>
      <c r="R19" s="82">
        <v>45808</v>
      </c>
      <c r="S19" s="82" t="s">
        <v>45</v>
      </c>
      <c r="T19" s="132" t="str">
        <f ca="1">IF(AND('Inserimento dati'!$B$3=$H$2, Tabella1[[#This Row],[LUN]]="X"), "X",IF(AND('Inserimento dati'!$B$3=$I$2, Tabella1[[#This Row],[MAR]]="X"), "X", IF(AND('Inserimento dati'!$B$3=$J$2, Tabella1[[#This Row],[MER]]="X"), "X",IF(AND('Inserimento dati'!$B$3=$K$2, Tabella1[[#This Row],[GIO]]="X"), "X", IF(AND('Inserimento dati'!$B$3=$L$2, Tabella1[[#This Row],[VEN]]="X"), "X","")))))</f>
        <v/>
      </c>
      <c r="U19" s="145" t="str">
        <f t="shared" ca="1" si="1"/>
        <v/>
      </c>
    </row>
    <row r="20" spans="1:22" ht="23.25" x14ac:dyDescent="0.25">
      <c r="A20" s="84"/>
      <c r="B20" s="84" t="str">
        <f t="shared" si="0"/>
        <v>X</v>
      </c>
      <c r="C20" s="84" t="str">
        <f>IF(OR(Tabella1[[#This Row],[LUN]]="X",Tabella1[[#This Row],[MAR]]="X",Tabella1[[#This Row],[MER]]="X",Tabella1[[#This Row],[GIO]]="X",Tabella1[[#This Row],[VEN]]="X",),"X","")</f>
        <v/>
      </c>
      <c r="D20" s="85" t="s">
        <v>147</v>
      </c>
      <c r="E20" s="81" t="s">
        <v>1024</v>
      </c>
      <c r="F20" s="81">
        <v>1000</v>
      </c>
      <c r="G20" s="81" t="s">
        <v>1021</v>
      </c>
      <c r="H20" s="83"/>
      <c r="I20" s="83"/>
      <c r="J20" s="83"/>
      <c r="K20" s="83"/>
      <c r="L20" s="83"/>
      <c r="M20" s="142" t="s">
        <v>52</v>
      </c>
      <c r="N20" s="82"/>
      <c r="O20" s="103"/>
      <c r="P20" s="82"/>
      <c r="Q20" s="81"/>
      <c r="R20" s="82">
        <v>45814</v>
      </c>
      <c r="S20" s="82" t="s">
        <v>45</v>
      </c>
      <c r="T20" s="132" t="str">
        <f ca="1">IF(AND('Inserimento dati'!$B$3=$H$2, Tabella1[[#This Row],[LUN]]="X"), "X",IF(AND('Inserimento dati'!$B$3=$I$2, Tabella1[[#This Row],[MAR]]="X"), "X", IF(AND('Inserimento dati'!$B$3=$J$2, Tabella1[[#This Row],[MER]]="X"), "X",IF(AND('Inserimento dati'!$B$3=$K$2, Tabella1[[#This Row],[GIO]]="X"), "X", IF(AND('Inserimento dati'!$B$3=$L$2, Tabella1[[#This Row],[VEN]]="X"), "X","")))))</f>
        <v/>
      </c>
      <c r="U20" s="145" t="str">
        <f t="shared" ca="1" si="1"/>
        <v/>
      </c>
    </row>
    <row r="21" spans="1:22" ht="45" x14ac:dyDescent="0.25">
      <c r="A21" s="84"/>
      <c r="B21" s="84" t="str">
        <f t="shared" si="0"/>
        <v>X</v>
      </c>
      <c r="C21" s="84" t="str">
        <f>IF(OR(Tabella1[[#This Row],[LUN]]="X",Tabella1[[#This Row],[MAR]]="X",Tabella1[[#This Row],[MER]]="X",Tabella1[[#This Row],[GIO]]="X",Tabella1[[#This Row],[VEN]]="X",),"X","")</f>
        <v/>
      </c>
      <c r="D21" s="85" t="s">
        <v>147</v>
      </c>
      <c r="E21" s="81" t="s">
        <v>1025</v>
      </c>
      <c r="F21" s="81">
        <v>1000</v>
      </c>
      <c r="G21" s="81" t="s">
        <v>1026</v>
      </c>
      <c r="H21" s="83"/>
      <c r="I21" s="83"/>
      <c r="J21" s="83"/>
      <c r="K21" s="83"/>
      <c r="L21" s="83"/>
      <c r="M21" s="142" t="s">
        <v>52</v>
      </c>
      <c r="N21" s="82"/>
      <c r="O21" s="103"/>
      <c r="P21" s="82"/>
      <c r="Q21" s="81" t="s">
        <v>1027</v>
      </c>
      <c r="R21" s="82">
        <v>45782</v>
      </c>
      <c r="S21" s="82" t="s">
        <v>11</v>
      </c>
      <c r="T21" s="84" t="str">
        <f ca="1">IF(AND('Inserimento dati'!$B$3=$H$2, Tabella1[[#This Row],[LUN]]="X"), "X",IF(AND('Inserimento dati'!$B$3=$I$2, Tabella1[[#This Row],[MAR]]="X"), "X", IF(AND('Inserimento dati'!$B$3=$J$2, Tabella1[[#This Row],[MER]]="X"), "X",IF(AND('Inserimento dati'!$B$3=$K$2, Tabella1[[#This Row],[GIO]]="X"), "X", IF(AND('Inserimento dati'!$B$3=$L$2, Tabella1[[#This Row],[VEN]]="X"), "X","")))))</f>
        <v/>
      </c>
      <c r="U21" s="146" t="str">
        <f t="shared" ca="1" si="1"/>
        <v/>
      </c>
    </row>
    <row r="22" spans="1:22" ht="23.25" x14ac:dyDescent="0.25">
      <c r="A22" s="84"/>
      <c r="B22" s="84" t="str">
        <f t="shared" si="0"/>
        <v>X</v>
      </c>
      <c r="C22" s="84" t="str">
        <f>IF(OR(Tabella1[[#This Row],[LUN]]="X",Tabella1[[#This Row],[MAR]]="X",Tabella1[[#This Row],[MER]]="X",Tabella1[[#This Row],[GIO]]="X",Tabella1[[#This Row],[VEN]]="X",),"X","")</f>
        <v/>
      </c>
      <c r="D22" s="85" t="s">
        <v>147</v>
      </c>
      <c r="E22" s="81" t="s">
        <v>1028</v>
      </c>
      <c r="F22" s="81">
        <v>500</v>
      </c>
      <c r="G22" s="81" t="s">
        <v>1029</v>
      </c>
      <c r="H22" s="83"/>
      <c r="I22" s="83"/>
      <c r="J22" s="83"/>
      <c r="K22" s="83"/>
      <c r="L22" s="83"/>
      <c r="M22" s="82" t="s">
        <v>52</v>
      </c>
      <c r="N22" s="82"/>
      <c r="O22" s="103"/>
      <c r="P22" s="82"/>
      <c r="Q22" s="81" t="s">
        <v>1030</v>
      </c>
      <c r="R22" s="82">
        <v>45782</v>
      </c>
      <c r="S22" s="82" t="s">
        <v>20</v>
      </c>
      <c r="T22" s="84" t="str">
        <f ca="1">IF(AND('Inserimento dati'!$B$3=$H$2, Tabella1[[#This Row],[LUN]]="X"), "X",IF(AND('Inserimento dati'!$B$3=$I$2, Tabella1[[#This Row],[MAR]]="X"), "X", IF(AND('Inserimento dati'!$B$3=$J$2, Tabella1[[#This Row],[MER]]="X"), "X",IF(AND('Inserimento dati'!$B$3=$K$2, Tabella1[[#This Row],[GIO]]="X"), "X", IF(AND('Inserimento dati'!$B$3=$L$2, Tabella1[[#This Row],[VEN]]="X"), "X","")))))</f>
        <v/>
      </c>
      <c r="U22" s="146" t="str">
        <f t="shared" ca="1" si="1"/>
        <v/>
      </c>
    </row>
    <row r="23" spans="1:22" ht="30" x14ac:dyDescent="0.25">
      <c r="A23" s="84"/>
      <c r="B23" s="84" t="str">
        <f t="shared" si="0"/>
        <v>X</v>
      </c>
      <c r="C23" s="84" t="str">
        <f>IF(OR(Tabella1[[#This Row],[LUN]]="X",Tabella1[[#This Row],[MAR]]="X",Tabella1[[#This Row],[MER]]="X",Tabella1[[#This Row],[GIO]]="X",Tabella1[[#This Row],[VEN]]="X",),"X","")</f>
        <v/>
      </c>
      <c r="D23" s="85" t="s">
        <v>147</v>
      </c>
      <c r="E23" s="81" t="s">
        <v>1031</v>
      </c>
      <c r="F23" s="81">
        <v>600</v>
      </c>
      <c r="G23" s="81" t="s">
        <v>1032</v>
      </c>
      <c r="H23" s="83"/>
      <c r="I23" s="83"/>
      <c r="J23" s="83"/>
      <c r="K23" s="83"/>
      <c r="L23" s="83"/>
      <c r="M23" s="82" t="s">
        <v>52</v>
      </c>
      <c r="N23" s="82"/>
      <c r="O23" s="103"/>
      <c r="P23" s="82"/>
      <c r="Q23" s="81" t="s">
        <v>1033</v>
      </c>
      <c r="R23" s="82">
        <v>45779</v>
      </c>
      <c r="S23" s="82" t="s">
        <v>20</v>
      </c>
      <c r="T23" s="84" t="str">
        <f ca="1">IF(AND('Inserimento dati'!$B$3=$H$2, Tabella1[[#This Row],[LUN]]="X"), "X",IF(AND('Inserimento dati'!$B$3=$I$2, Tabella1[[#This Row],[MAR]]="X"), "X", IF(AND('Inserimento dati'!$B$3=$J$2, Tabella1[[#This Row],[MER]]="X"), "X",IF(AND('Inserimento dati'!$B$3=$K$2, Tabella1[[#This Row],[GIO]]="X"), "X", IF(AND('Inserimento dati'!$B$3=$L$2, Tabella1[[#This Row],[VEN]]="X"), "X","")))))</f>
        <v/>
      </c>
      <c r="U23" s="146" t="str">
        <f t="shared" ca="1" si="1"/>
        <v/>
      </c>
    </row>
    <row r="24" spans="1:22" ht="30" x14ac:dyDescent="0.25">
      <c r="A24" s="84"/>
      <c r="B24" s="84" t="str">
        <f t="shared" si="0"/>
        <v>X</v>
      </c>
      <c r="C24" s="84" t="str">
        <f>IF(OR(Tabella1[[#This Row],[LUN]]="X",Tabella1[[#This Row],[MAR]]="X",Tabella1[[#This Row],[MER]]="X",Tabella1[[#This Row],[GIO]]="X",Tabella1[[#This Row],[VEN]]="X",),"X","")</f>
        <v/>
      </c>
      <c r="D24" s="85" t="s">
        <v>147</v>
      </c>
      <c r="E24" s="81" t="s">
        <v>1034</v>
      </c>
      <c r="F24" s="81">
        <v>1000</v>
      </c>
      <c r="G24" s="81" t="s">
        <v>1035</v>
      </c>
      <c r="H24" s="83"/>
      <c r="I24" s="83"/>
      <c r="J24" s="83"/>
      <c r="K24" s="83"/>
      <c r="L24" s="83"/>
      <c r="M24" s="82" t="s">
        <v>52</v>
      </c>
      <c r="N24" s="82"/>
      <c r="O24" s="103"/>
      <c r="P24" s="82"/>
      <c r="Q24" s="81"/>
      <c r="R24" s="82"/>
      <c r="S24" s="82"/>
      <c r="T24" s="84" t="str">
        <f ca="1">IF(AND('Inserimento dati'!$B$3=$H$2, Tabella1[[#This Row],[LUN]]="X"), "X",IF(AND('Inserimento dati'!$B$3=$I$2, Tabella1[[#This Row],[MAR]]="X"), "X", IF(AND('Inserimento dati'!$B$3=$J$2, Tabella1[[#This Row],[MER]]="X"), "X",IF(AND('Inserimento dati'!$B$3=$K$2, Tabella1[[#This Row],[GIO]]="X"), "X", IF(AND('Inserimento dati'!$B$3=$L$2, Tabella1[[#This Row],[VEN]]="X"), "X","")))))</f>
        <v/>
      </c>
      <c r="U24" s="146" t="str">
        <f t="shared" ca="1" si="1"/>
        <v/>
      </c>
    </row>
    <row r="25" spans="1:22" ht="23.25" x14ac:dyDescent="0.25">
      <c r="A25" s="84"/>
      <c r="B25" s="84" t="str">
        <f t="shared" si="0"/>
        <v>X</v>
      </c>
      <c r="C25" s="84" t="str">
        <f>IF(OR(Tabella1[[#This Row],[LUN]]="X",Tabella1[[#This Row],[MAR]]="X",Tabella1[[#This Row],[MER]]="X",Tabella1[[#This Row],[GIO]]="X",Tabella1[[#This Row],[VEN]]="X",),"X","")</f>
        <v/>
      </c>
      <c r="D25" s="85" t="s">
        <v>147</v>
      </c>
      <c r="E25" s="81" t="s">
        <v>1036</v>
      </c>
      <c r="F25" s="81">
        <v>500</v>
      </c>
      <c r="G25" s="81" t="s">
        <v>1037</v>
      </c>
      <c r="H25" s="83"/>
      <c r="I25" s="83"/>
      <c r="J25" s="83"/>
      <c r="K25" s="83"/>
      <c r="L25" s="83"/>
      <c r="M25" s="82" t="s">
        <v>52</v>
      </c>
      <c r="N25" s="82"/>
      <c r="O25" s="103"/>
      <c r="P25" s="82"/>
      <c r="Q25" s="81" t="s">
        <v>1038</v>
      </c>
      <c r="R25" s="82">
        <v>45785</v>
      </c>
      <c r="S25" s="82" t="s">
        <v>20</v>
      </c>
      <c r="T25" s="135" t="str">
        <f ca="1">IF(AND('Inserimento dati'!$B$3=$H$2, Tabella1[[#This Row],[LUN]]="X"), "X",IF(AND('Inserimento dati'!$B$3=$I$2, Tabella1[[#This Row],[MAR]]="X"), "X", IF(AND('Inserimento dati'!$B$3=$J$2, Tabella1[[#This Row],[MER]]="X"), "X",IF(AND('Inserimento dati'!$B$3=$K$2, Tabella1[[#This Row],[GIO]]="X"), "X", IF(AND('Inserimento dati'!$B$3=$L$2, Tabella1[[#This Row],[VEN]]="X"), "X","")))))</f>
        <v/>
      </c>
      <c r="U25" s="146" t="str">
        <f t="shared" ca="1" si="1"/>
        <v/>
      </c>
    </row>
    <row r="26" spans="1:22" ht="30" x14ac:dyDescent="0.25">
      <c r="A26" s="84"/>
      <c r="B26" s="84" t="str">
        <f t="shared" si="0"/>
        <v>X</v>
      </c>
      <c r="C26" s="84" t="str">
        <f>IF(OR(Tabella1[[#This Row],[LUN]]="X",Tabella1[[#This Row],[MAR]]="X",Tabella1[[#This Row],[MER]]="X",Tabella1[[#This Row],[GIO]]="X",Tabella1[[#This Row],[VEN]]="X",),"X","")</f>
        <v/>
      </c>
      <c r="D26" s="85" t="s">
        <v>147</v>
      </c>
      <c r="E26" s="81" t="s">
        <v>1039</v>
      </c>
      <c r="F26" s="81">
        <v>600</v>
      </c>
      <c r="G26" s="81" t="s">
        <v>1040</v>
      </c>
      <c r="H26" s="83"/>
      <c r="I26" s="83"/>
      <c r="J26" s="83"/>
      <c r="K26" s="83"/>
      <c r="L26" s="83"/>
      <c r="M26" s="82" t="s">
        <v>52</v>
      </c>
      <c r="N26" s="82"/>
      <c r="O26" s="103"/>
      <c r="P26" s="82"/>
      <c r="Q26" s="81" t="s">
        <v>1041</v>
      </c>
      <c r="R26" s="82">
        <v>45775</v>
      </c>
      <c r="S26" s="82" t="s">
        <v>242</v>
      </c>
      <c r="T26" s="84" t="str">
        <f ca="1">IF(AND('Inserimento dati'!$B$3=$H$2, Tabella1[[#This Row],[LUN]]="X"), "X",IF(AND('Inserimento dati'!$B$3=$I$2, Tabella1[[#This Row],[MAR]]="X"), "X", IF(AND('Inserimento dati'!$B$3=$J$2, Tabella1[[#This Row],[MER]]="X"), "X",IF(AND('Inserimento dati'!$B$3=$K$2, Tabella1[[#This Row],[GIO]]="X"), "X", IF(AND('Inserimento dati'!$B$3=$L$2, Tabella1[[#This Row],[VEN]]="X"), "X","")))))</f>
        <v/>
      </c>
      <c r="U26" s="146" t="str">
        <f t="shared" ca="1" si="1"/>
        <v/>
      </c>
    </row>
    <row r="27" spans="1:22" ht="30" x14ac:dyDescent="0.25">
      <c r="A27" s="84"/>
      <c r="B27" s="84" t="str">
        <f t="shared" si="0"/>
        <v>X</v>
      </c>
      <c r="C27" s="84" t="str">
        <f>IF(OR(Tabella1[[#This Row],[LUN]]="X",Tabella1[[#This Row],[MAR]]="X",Tabella1[[#This Row],[MER]]="X",Tabella1[[#This Row],[GIO]]="X",Tabella1[[#This Row],[VEN]]="X",),"X","")</f>
        <v/>
      </c>
      <c r="D27" s="85" t="s">
        <v>147</v>
      </c>
      <c r="E27" s="81" t="s">
        <v>1042</v>
      </c>
      <c r="F27" s="81">
        <v>500</v>
      </c>
      <c r="G27" s="81" t="s">
        <v>1043</v>
      </c>
      <c r="H27" s="83"/>
      <c r="I27" s="83"/>
      <c r="J27" s="83"/>
      <c r="K27" s="83"/>
      <c r="L27" s="83"/>
      <c r="M27" s="82" t="s">
        <v>52</v>
      </c>
      <c r="N27" s="82"/>
      <c r="O27" s="103"/>
      <c r="P27" s="82"/>
      <c r="Q27" s="81"/>
      <c r="R27" s="82"/>
      <c r="S27" s="82"/>
      <c r="T27" s="84" t="str">
        <f ca="1">IF(AND('Inserimento dati'!$B$3=$H$2, Tabella1[[#This Row],[LUN]]="X"), "X",IF(AND('Inserimento dati'!$B$3=$I$2, Tabella1[[#This Row],[MAR]]="X"), "X", IF(AND('Inserimento dati'!$B$3=$J$2, Tabella1[[#This Row],[MER]]="X"), "X",IF(AND('Inserimento dati'!$B$3=$K$2, Tabella1[[#This Row],[GIO]]="X"), "X", IF(AND('Inserimento dati'!$B$3=$L$2, Tabella1[[#This Row],[VEN]]="X"), "X","")))))</f>
        <v/>
      </c>
      <c r="U27" s="146" t="str">
        <f t="shared" ca="1" si="1"/>
        <v/>
      </c>
    </row>
    <row r="28" spans="1:22" ht="45" x14ac:dyDescent="0.25">
      <c r="A28" s="84"/>
      <c r="B28" s="84" t="str">
        <f t="shared" si="0"/>
        <v>X</v>
      </c>
      <c r="C28" s="84" t="str">
        <f>IF(OR(Tabella1[[#This Row],[LUN]]="X",Tabella1[[#This Row],[MAR]]="X",Tabella1[[#This Row],[MER]]="X",Tabella1[[#This Row],[GIO]]="X",Tabella1[[#This Row],[VEN]]="X",),"X","")</f>
        <v/>
      </c>
      <c r="D28" s="85" t="s">
        <v>147</v>
      </c>
      <c r="E28" s="81" t="s">
        <v>1044</v>
      </c>
      <c r="F28" s="81">
        <v>500</v>
      </c>
      <c r="G28" s="81" t="s">
        <v>1045</v>
      </c>
      <c r="H28" s="83"/>
      <c r="I28" s="83"/>
      <c r="J28" s="83"/>
      <c r="K28" s="83"/>
      <c r="L28" s="83"/>
      <c r="M28" s="82" t="s">
        <v>52</v>
      </c>
      <c r="N28" s="82"/>
      <c r="O28" s="103"/>
      <c r="P28" s="82"/>
      <c r="Q28" s="81"/>
      <c r="R28" s="82"/>
      <c r="S28" s="82"/>
      <c r="T28" s="84" t="str">
        <f ca="1">IF(AND('Inserimento dati'!$B$3=$H$2, Tabella1[[#This Row],[LUN]]="X"), "X",IF(AND('Inserimento dati'!$B$3=$I$2, Tabella1[[#This Row],[MAR]]="X"), "X", IF(AND('Inserimento dati'!$B$3=$J$2, Tabella1[[#This Row],[MER]]="X"), "X",IF(AND('Inserimento dati'!$B$3=$K$2, Tabella1[[#This Row],[GIO]]="X"), "X", IF(AND('Inserimento dati'!$B$3=$L$2, Tabella1[[#This Row],[VEN]]="X"), "X","")))))</f>
        <v/>
      </c>
      <c r="U28" s="146" t="str">
        <f t="shared" ca="1" si="1"/>
        <v/>
      </c>
    </row>
    <row r="29" spans="1:22" ht="30" x14ac:dyDescent="0.25">
      <c r="A29" s="84"/>
      <c r="B29" s="84" t="str">
        <f t="shared" si="0"/>
        <v>X</v>
      </c>
      <c r="C29" s="84" t="str">
        <f>IF(OR(Tabella1[[#This Row],[LUN]]="X",Tabella1[[#This Row],[MAR]]="X",Tabella1[[#This Row],[MER]]="X",Tabella1[[#This Row],[GIO]]="X",Tabella1[[#This Row],[VEN]]="X",),"X","")</f>
        <v/>
      </c>
      <c r="D29" s="85" t="s">
        <v>147</v>
      </c>
      <c r="E29" s="81" t="s">
        <v>1046</v>
      </c>
      <c r="F29" s="81">
        <v>1000</v>
      </c>
      <c r="G29" s="81" t="s">
        <v>1047</v>
      </c>
      <c r="H29" s="83"/>
      <c r="I29" s="83"/>
      <c r="J29" s="83"/>
      <c r="K29" s="83"/>
      <c r="L29" s="83"/>
      <c r="M29" s="82" t="s">
        <v>52</v>
      </c>
      <c r="N29" s="82"/>
      <c r="O29" s="103"/>
      <c r="P29" s="82"/>
      <c r="Q29" s="81" t="s">
        <v>1048</v>
      </c>
      <c r="R29" s="82">
        <v>45707</v>
      </c>
      <c r="S29" s="82" t="s">
        <v>11</v>
      </c>
      <c r="T29" s="84" t="str">
        <f ca="1">IF(AND('Inserimento dati'!$B$3=$H$2, Tabella1[[#This Row],[LUN]]="X"), "X",IF(AND('Inserimento dati'!$B$3=$I$2, Tabella1[[#This Row],[MAR]]="X"), "X", IF(AND('Inserimento dati'!$B$3=$J$2, Tabella1[[#This Row],[MER]]="X"), "X",IF(AND('Inserimento dati'!$B$3=$K$2, Tabella1[[#This Row],[GIO]]="X"), "X", IF(AND('Inserimento dati'!$B$3=$L$2, Tabella1[[#This Row],[VEN]]="X"), "X","")))))</f>
        <v/>
      </c>
      <c r="U29" s="146" t="str">
        <f t="shared" ca="1" si="1"/>
        <v/>
      </c>
    </row>
    <row r="30" spans="1:22" ht="30" x14ac:dyDescent="0.25">
      <c r="A30" s="84"/>
      <c r="B30" s="84" t="str">
        <f t="shared" si="0"/>
        <v>X</v>
      </c>
      <c r="C30" s="84" t="str">
        <f>IF(OR(Tabella1[[#This Row],[LUN]]="X",Tabella1[[#This Row],[MAR]]="X",Tabella1[[#This Row],[MER]]="X",Tabella1[[#This Row],[GIO]]="X",Tabella1[[#This Row],[VEN]]="X",),"X","")</f>
        <v/>
      </c>
      <c r="D30" s="85" t="s">
        <v>147</v>
      </c>
      <c r="E30" s="81" t="s">
        <v>1049</v>
      </c>
      <c r="F30" s="81">
        <v>500</v>
      </c>
      <c r="G30" s="81" t="s">
        <v>1050</v>
      </c>
      <c r="H30" s="83"/>
      <c r="I30" s="83"/>
      <c r="J30" s="83"/>
      <c r="K30" s="83"/>
      <c r="L30" s="83"/>
      <c r="M30" s="82" t="s">
        <v>52</v>
      </c>
      <c r="N30" s="82"/>
      <c r="O30" s="103" t="s">
        <v>8</v>
      </c>
      <c r="P30" s="82" t="s">
        <v>8</v>
      </c>
      <c r="Q30" s="81" t="s">
        <v>1051</v>
      </c>
      <c r="R30" s="82">
        <v>45700</v>
      </c>
      <c r="S30" s="82" t="s">
        <v>11</v>
      </c>
      <c r="T30" s="84" t="str">
        <f ca="1">IF(AND('Inserimento dati'!$B$3=$H$2, Tabella1[[#This Row],[LUN]]="X"), "X",IF(AND('Inserimento dati'!$B$3=$I$2, Tabella1[[#This Row],[MAR]]="X"), "X", IF(AND('Inserimento dati'!$B$3=$J$2, Tabella1[[#This Row],[MER]]="X"), "X",IF(AND('Inserimento dati'!$B$3=$K$2, Tabella1[[#This Row],[GIO]]="X"), "X", IF(AND('Inserimento dati'!$B$3=$L$2, Tabella1[[#This Row],[VEN]]="X"), "X","")))))</f>
        <v/>
      </c>
      <c r="U30" s="146" t="str">
        <f t="shared" ca="1" si="1"/>
        <v/>
      </c>
    </row>
    <row r="31" spans="1:22" ht="30" x14ac:dyDescent="0.25">
      <c r="A31" s="84"/>
      <c r="B31" s="84" t="str">
        <f t="shared" si="0"/>
        <v>X</v>
      </c>
      <c r="C31" s="84" t="str">
        <f>IF(OR(Tabella1[[#This Row],[LUN]]="X",Tabella1[[#This Row],[MAR]]="X",Tabella1[[#This Row],[MER]]="X",Tabella1[[#This Row],[GIO]]="X",Tabella1[[#This Row],[VEN]]="X",),"X","")</f>
        <v/>
      </c>
      <c r="D31" s="85" t="s">
        <v>147</v>
      </c>
      <c r="E31" s="81" t="s">
        <v>1052</v>
      </c>
      <c r="F31" s="81">
        <v>500</v>
      </c>
      <c r="G31" s="81" t="s">
        <v>1053</v>
      </c>
      <c r="H31" s="83"/>
      <c r="I31" s="83"/>
      <c r="J31" s="83"/>
      <c r="K31" s="83"/>
      <c r="L31" s="83"/>
      <c r="M31" s="82" t="s">
        <v>52</v>
      </c>
      <c r="N31" s="82"/>
      <c r="O31" s="103"/>
      <c r="P31" s="82"/>
      <c r="Q31" s="81"/>
      <c r="R31" s="82">
        <v>45763</v>
      </c>
      <c r="S31" s="82" t="s">
        <v>238</v>
      </c>
      <c r="T31" s="84" t="str">
        <f ca="1">IF(AND('Inserimento dati'!$B$3=$H$2, Tabella1[[#This Row],[LUN]]="X"), "X",IF(AND('Inserimento dati'!$B$3=$I$2, Tabella1[[#This Row],[MAR]]="X"), "X", IF(AND('Inserimento dati'!$B$3=$J$2, Tabella1[[#This Row],[MER]]="X"), "X",IF(AND('Inserimento dati'!$B$3=$K$2, Tabella1[[#This Row],[GIO]]="X"), "X", IF(AND('Inserimento dati'!$B$3=$L$2, Tabella1[[#This Row],[VEN]]="X"), "X","")))))</f>
        <v/>
      </c>
      <c r="U31" s="146" t="str">
        <f t="shared" ca="1" si="1"/>
        <v/>
      </c>
    </row>
    <row r="32" spans="1:22" ht="23.25" x14ac:dyDescent="0.25">
      <c r="A32" s="84"/>
      <c r="B32" s="84" t="str">
        <f t="shared" si="0"/>
        <v>X</v>
      </c>
      <c r="C32" s="84" t="str">
        <f>IF(OR(Tabella1[[#This Row],[LUN]]="X",Tabella1[[#This Row],[MAR]]="X",Tabella1[[#This Row],[MER]]="X",Tabella1[[#This Row],[GIO]]="X",Tabella1[[#This Row],[VEN]]="X",),"X","")</f>
        <v/>
      </c>
      <c r="D32" s="85" t="s">
        <v>147</v>
      </c>
      <c r="E32" s="81" t="s">
        <v>1054</v>
      </c>
      <c r="F32" s="81">
        <v>500</v>
      </c>
      <c r="G32" s="81" t="s">
        <v>1055</v>
      </c>
      <c r="H32" s="83"/>
      <c r="I32" s="83"/>
      <c r="J32" s="83"/>
      <c r="K32" s="83"/>
      <c r="L32" s="83"/>
      <c r="M32" s="82" t="s">
        <v>52</v>
      </c>
      <c r="N32" s="82"/>
      <c r="O32" s="103"/>
      <c r="P32" s="82"/>
      <c r="Q32" s="81"/>
      <c r="R32" s="82">
        <v>45763</v>
      </c>
      <c r="S32" s="82" t="s">
        <v>238</v>
      </c>
      <c r="T32" s="84" t="str">
        <f ca="1">IF(AND('Inserimento dati'!$B$3=$H$2, Tabella1[[#This Row],[LUN]]="X"), "X",IF(AND('Inserimento dati'!$B$3=$I$2, Tabella1[[#This Row],[MAR]]="X"), "X", IF(AND('Inserimento dati'!$B$3=$J$2, Tabella1[[#This Row],[MER]]="X"), "X",IF(AND('Inserimento dati'!$B$3=$K$2, Tabella1[[#This Row],[GIO]]="X"), "X", IF(AND('Inserimento dati'!$B$3=$L$2, Tabella1[[#This Row],[VEN]]="X"), "X","")))))</f>
        <v/>
      </c>
      <c r="U32" s="146" t="str">
        <f t="shared" ca="1" si="1"/>
        <v/>
      </c>
    </row>
    <row r="33" spans="1:21" ht="23.25" x14ac:dyDescent="0.25">
      <c r="A33" s="84"/>
      <c r="B33" s="84" t="str">
        <f t="shared" si="0"/>
        <v>X</v>
      </c>
      <c r="C33" s="84" t="str">
        <f>IF(OR(Tabella1[[#This Row],[LUN]]="X",Tabella1[[#This Row],[MAR]]="X",Tabella1[[#This Row],[MER]]="X",Tabella1[[#This Row],[GIO]]="X",Tabella1[[#This Row],[VEN]]="X",),"X","")</f>
        <v/>
      </c>
      <c r="D33" s="85" t="s">
        <v>147</v>
      </c>
      <c r="E33" s="81" t="s">
        <v>1056</v>
      </c>
      <c r="F33" s="81">
        <v>600</v>
      </c>
      <c r="G33" s="81" t="s">
        <v>1057</v>
      </c>
      <c r="H33" s="83"/>
      <c r="I33" s="83"/>
      <c r="J33" s="83"/>
      <c r="K33" s="83"/>
      <c r="L33" s="83"/>
      <c r="M33" s="82" t="s">
        <v>52</v>
      </c>
      <c r="N33" s="82"/>
      <c r="O33" s="103"/>
      <c r="P33" s="82"/>
      <c r="Q33" s="81"/>
      <c r="R33" s="82"/>
      <c r="S33" s="82" t="s">
        <v>254</v>
      </c>
      <c r="T33" s="84" t="str">
        <f ca="1">IF(AND('Inserimento dati'!$B$3=$H$2, Tabella1[[#This Row],[LUN]]="X"), "X",IF(AND('Inserimento dati'!$B$3=$I$2, Tabella1[[#This Row],[MAR]]="X"), "X", IF(AND('Inserimento dati'!$B$3=$J$2, Tabella1[[#This Row],[MER]]="X"), "X",IF(AND('Inserimento dati'!$B$3=$K$2, Tabella1[[#This Row],[GIO]]="X"), "X", IF(AND('Inserimento dati'!$B$3=$L$2, Tabella1[[#This Row],[VEN]]="X"), "X","")))))</f>
        <v/>
      </c>
      <c r="U33" s="146" t="str">
        <f t="shared" ca="1" si="1"/>
        <v/>
      </c>
    </row>
    <row r="34" spans="1:21" ht="30" x14ac:dyDescent="0.25">
      <c r="A34" s="84"/>
      <c r="B34" s="84" t="str">
        <f t="shared" si="0"/>
        <v>X</v>
      </c>
      <c r="C34" s="84" t="str">
        <f>IF(OR(Tabella1[[#This Row],[LUN]]="X",Tabella1[[#This Row],[MAR]]="X",Tabella1[[#This Row],[MER]]="X",Tabella1[[#This Row],[GIO]]="X",Tabella1[[#This Row],[VEN]]="X",),"X","")</f>
        <v/>
      </c>
      <c r="D34" s="85" t="s">
        <v>147</v>
      </c>
      <c r="E34" s="81" t="s">
        <v>1058</v>
      </c>
      <c r="F34" s="81">
        <v>1000</v>
      </c>
      <c r="G34" s="81" t="s">
        <v>1059</v>
      </c>
      <c r="H34" s="83"/>
      <c r="I34" s="83"/>
      <c r="J34" s="83"/>
      <c r="K34" s="83"/>
      <c r="L34" s="83"/>
      <c r="M34" s="82" t="s">
        <v>52</v>
      </c>
      <c r="N34" s="82"/>
      <c r="O34" s="103"/>
      <c r="P34" s="82"/>
      <c r="Q34" s="81" t="s">
        <v>1060</v>
      </c>
      <c r="R34" s="82">
        <v>45762</v>
      </c>
      <c r="S34" s="82" t="s">
        <v>1061</v>
      </c>
      <c r="T34" s="84" t="str">
        <f ca="1">IF(AND('Inserimento dati'!$B$3=$H$2, Tabella1[[#This Row],[LUN]]="X"), "X",IF(AND('Inserimento dati'!$B$3=$I$2, Tabella1[[#This Row],[MAR]]="X"), "X", IF(AND('Inserimento dati'!$B$3=$J$2, Tabella1[[#This Row],[MER]]="X"), "X",IF(AND('Inserimento dati'!$B$3=$K$2, Tabella1[[#This Row],[GIO]]="X"), "X", IF(AND('Inserimento dati'!$B$3=$L$2, Tabella1[[#This Row],[VEN]]="X"), "X","")))))</f>
        <v/>
      </c>
      <c r="U34" s="146" t="str">
        <f t="shared" ca="1" si="1"/>
        <v/>
      </c>
    </row>
    <row r="35" spans="1:21" ht="23.25" x14ac:dyDescent="0.25">
      <c r="A35" s="84"/>
      <c r="B35" s="84" t="str">
        <f t="shared" si="0"/>
        <v>X</v>
      </c>
      <c r="C35" s="84" t="str">
        <f>IF(OR(Tabella1[[#This Row],[LUN]]="X",Tabella1[[#This Row],[MAR]]="X",Tabella1[[#This Row],[MER]]="X",Tabella1[[#This Row],[GIO]]="X",Tabella1[[#This Row],[VEN]]="X",),"X","")</f>
        <v/>
      </c>
      <c r="D35" s="85" t="s">
        <v>147</v>
      </c>
      <c r="E35" s="81" t="s">
        <v>1062</v>
      </c>
      <c r="F35" s="81" t="s">
        <v>1063</v>
      </c>
      <c r="G35" s="81" t="s">
        <v>1064</v>
      </c>
      <c r="H35" s="83"/>
      <c r="I35" s="83"/>
      <c r="J35" s="83"/>
      <c r="K35" s="83"/>
      <c r="L35" s="83"/>
      <c r="M35" s="82" t="s">
        <v>52</v>
      </c>
      <c r="N35" s="82"/>
      <c r="O35" s="103"/>
      <c r="P35" s="82"/>
      <c r="Q35" s="81"/>
      <c r="R35" s="82"/>
      <c r="S35" s="82"/>
      <c r="T35" s="84" t="str">
        <f ca="1">IF(AND('Inserimento dati'!$B$3=$H$2, Tabella1[[#This Row],[LUN]]="X"), "X",IF(AND('Inserimento dati'!$B$3=$I$2, Tabella1[[#This Row],[MAR]]="X"), "X", IF(AND('Inserimento dati'!$B$3=$J$2, Tabella1[[#This Row],[MER]]="X"), "X",IF(AND('Inserimento dati'!$B$3=$K$2, Tabella1[[#This Row],[GIO]]="X"), "X", IF(AND('Inserimento dati'!$B$3=$L$2, Tabella1[[#This Row],[VEN]]="X"), "X","")))))</f>
        <v/>
      </c>
      <c r="U35" s="146" t="str">
        <f t="shared" ca="1" si="1"/>
        <v/>
      </c>
    </row>
    <row r="36" spans="1:21" ht="30" x14ac:dyDescent="0.25">
      <c r="A36" s="84"/>
      <c r="B36" s="84" t="str">
        <f t="shared" si="0"/>
        <v>X</v>
      </c>
      <c r="C36" s="84" t="str">
        <f>IF(OR(Tabella1[[#This Row],[LUN]]="X",Tabella1[[#This Row],[MAR]]="X",Tabella1[[#This Row],[MER]]="X",Tabella1[[#This Row],[GIO]]="X",Tabella1[[#This Row],[VEN]]="X",),"X","")</f>
        <v/>
      </c>
      <c r="D36" s="85" t="s">
        <v>147</v>
      </c>
      <c r="E36" s="81" t="s">
        <v>1065</v>
      </c>
      <c r="F36" s="81">
        <v>1000</v>
      </c>
      <c r="G36" s="81" t="s">
        <v>1066</v>
      </c>
      <c r="H36" s="83"/>
      <c r="I36" s="83"/>
      <c r="J36" s="83"/>
      <c r="K36" s="83"/>
      <c r="L36" s="83"/>
      <c r="M36" s="82" t="s">
        <v>52</v>
      </c>
      <c r="N36" s="82"/>
      <c r="O36" s="103"/>
      <c r="P36" s="82"/>
      <c r="Q36" s="81"/>
      <c r="R36" s="82"/>
      <c r="S36" s="82"/>
      <c r="T36" s="84" t="str">
        <f ca="1">IF(AND('Inserimento dati'!$B$3=$H$2, Tabella1[[#This Row],[LUN]]="X"), "X",IF(AND('Inserimento dati'!$B$3=$I$2, Tabella1[[#This Row],[MAR]]="X"), "X", IF(AND('Inserimento dati'!$B$3=$J$2, Tabella1[[#This Row],[MER]]="X"), "X",IF(AND('Inserimento dati'!$B$3=$K$2, Tabella1[[#This Row],[GIO]]="X"), "X", IF(AND('Inserimento dati'!$B$3=$L$2, Tabella1[[#This Row],[VEN]]="X"), "X","")))))</f>
        <v/>
      </c>
      <c r="U36" s="146" t="str">
        <f t="shared" ca="1" si="1"/>
        <v/>
      </c>
    </row>
    <row r="37" spans="1:21" ht="60" x14ac:dyDescent="0.25">
      <c r="A37" s="84"/>
      <c r="B37" s="84" t="str">
        <f t="shared" si="0"/>
        <v>X</v>
      </c>
      <c r="C37" s="84" t="str">
        <f>IF(OR(Tabella1[[#This Row],[LUN]]="X",Tabella1[[#This Row],[MAR]]="X",Tabella1[[#This Row],[MER]]="X",Tabella1[[#This Row],[GIO]]="X",Tabella1[[#This Row],[VEN]]="X",),"X","")</f>
        <v/>
      </c>
      <c r="D37" s="85" t="s">
        <v>147</v>
      </c>
      <c r="E37" s="81" t="s">
        <v>1067</v>
      </c>
      <c r="F37" s="81">
        <v>600</v>
      </c>
      <c r="G37" s="81" t="s">
        <v>1068</v>
      </c>
      <c r="H37" s="83"/>
      <c r="I37" s="83"/>
      <c r="J37" s="83"/>
      <c r="K37" s="83"/>
      <c r="L37" s="83"/>
      <c r="M37" s="82" t="s">
        <v>52</v>
      </c>
      <c r="N37" s="82"/>
      <c r="O37" s="103"/>
      <c r="P37" s="82"/>
      <c r="Q37" s="81" t="s">
        <v>1069</v>
      </c>
      <c r="R37" s="82">
        <v>45747</v>
      </c>
      <c r="S37" s="82" t="s">
        <v>535</v>
      </c>
      <c r="T37" s="84" t="str">
        <f ca="1">IF(AND('Inserimento dati'!$B$3=$H$2, Tabella1[[#This Row],[LUN]]="X"), "X",IF(AND('Inserimento dati'!$B$3=$I$2, Tabella1[[#This Row],[MAR]]="X"), "X", IF(AND('Inserimento dati'!$B$3=$J$2, Tabella1[[#This Row],[MER]]="X"), "X",IF(AND('Inserimento dati'!$B$3=$K$2, Tabella1[[#This Row],[GIO]]="X"), "X", IF(AND('Inserimento dati'!$B$3=$L$2, Tabella1[[#This Row],[VEN]]="X"), "X","")))))</f>
        <v/>
      </c>
      <c r="U37" s="146" t="str">
        <f t="shared" ca="1" si="1"/>
        <v/>
      </c>
    </row>
    <row r="38" spans="1:21" ht="23.25" x14ac:dyDescent="0.25">
      <c r="A38" s="84"/>
      <c r="B38" s="84" t="str">
        <f t="shared" si="0"/>
        <v>X</v>
      </c>
      <c r="C38" s="84" t="str">
        <f>IF(OR(Tabella1[[#This Row],[LUN]]="X",Tabella1[[#This Row],[MAR]]="X",Tabella1[[#This Row],[MER]]="X",Tabella1[[#This Row],[GIO]]="X",Tabella1[[#This Row],[VEN]]="X",),"X","")</f>
        <v/>
      </c>
      <c r="D38" s="85" t="s">
        <v>147</v>
      </c>
      <c r="E38" s="81" t="s">
        <v>1070</v>
      </c>
      <c r="F38" s="81">
        <v>1000</v>
      </c>
      <c r="G38" s="81" t="s">
        <v>1071</v>
      </c>
      <c r="H38" s="83"/>
      <c r="I38" s="83"/>
      <c r="J38" s="83"/>
      <c r="K38" s="83"/>
      <c r="L38" s="83"/>
      <c r="M38" s="82" t="s">
        <v>52</v>
      </c>
      <c r="N38" s="82"/>
      <c r="O38" s="103"/>
      <c r="P38" s="82"/>
      <c r="Q38" s="81"/>
      <c r="R38" s="82"/>
      <c r="S38" s="82"/>
      <c r="T38" s="84" t="str">
        <f ca="1">IF(AND('Inserimento dati'!$B$3=$H$2, Tabella1[[#This Row],[LUN]]="X"), "X",IF(AND('Inserimento dati'!$B$3=$I$2, Tabella1[[#This Row],[MAR]]="X"), "X", IF(AND('Inserimento dati'!$B$3=$J$2, Tabella1[[#This Row],[MER]]="X"), "X",IF(AND('Inserimento dati'!$B$3=$K$2, Tabella1[[#This Row],[GIO]]="X"), "X", IF(AND('Inserimento dati'!$B$3=$L$2, Tabella1[[#This Row],[VEN]]="X"), "X","")))))</f>
        <v/>
      </c>
      <c r="U38" s="146" t="str">
        <f t="shared" ca="1" si="1"/>
        <v/>
      </c>
    </row>
    <row r="39" spans="1:21" ht="45" x14ac:dyDescent="0.25">
      <c r="A39" s="84"/>
      <c r="B39" s="84" t="str">
        <f t="shared" si="0"/>
        <v>X</v>
      </c>
      <c r="C39" s="84" t="str">
        <f>IF(OR(Tabella1[[#This Row],[LUN]]="X",Tabella1[[#This Row],[MAR]]="X",Tabella1[[#This Row],[MER]]="X",Tabella1[[#This Row],[GIO]]="X",Tabella1[[#This Row],[VEN]]="X",),"X","")</f>
        <v/>
      </c>
      <c r="D39" s="85" t="s">
        <v>147</v>
      </c>
      <c r="E39" s="81" t="s">
        <v>1072</v>
      </c>
      <c r="F39" s="81">
        <v>1000</v>
      </c>
      <c r="G39" s="81" t="s">
        <v>1073</v>
      </c>
      <c r="H39" s="83"/>
      <c r="I39" s="83"/>
      <c r="J39" s="83"/>
      <c r="K39" s="83"/>
      <c r="L39" s="83"/>
      <c r="M39" s="82" t="s">
        <v>52</v>
      </c>
      <c r="N39" s="82"/>
      <c r="O39" s="103"/>
      <c r="P39" s="82"/>
      <c r="Q39" s="81" t="s">
        <v>1074</v>
      </c>
      <c r="R39" s="82"/>
      <c r="S39" s="82"/>
      <c r="T39" s="84" t="str">
        <f ca="1">IF(AND('Inserimento dati'!$B$3=$H$2, Tabella1[[#This Row],[LUN]]="X"), "X",IF(AND('Inserimento dati'!$B$3=$I$2, Tabella1[[#This Row],[MAR]]="X"), "X", IF(AND('Inserimento dati'!$B$3=$J$2, Tabella1[[#This Row],[MER]]="X"), "X",IF(AND('Inserimento dati'!$B$3=$K$2, Tabella1[[#This Row],[GIO]]="X"), "X", IF(AND('Inserimento dati'!$B$3=$L$2, Tabella1[[#This Row],[VEN]]="X"), "X","")))))</f>
        <v/>
      </c>
      <c r="U39" s="146" t="str">
        <f t="shared" ca="1" si="1"/>
        <v/>
      </c>
    </row>
    <row r="40" spans="1:21" ht="30" x14ac:dyDescent="0.25">
      <c r="A40" s="84"/>
      <c r="B40" s="84" t="str">
        <f t="shared" si="0"/>
        <v>X</v>
      </c>
      <c r="C40" s="84" t="str">
        <f>IF(OR(Tabella1[[#This Row],[LUN]]="X",Tabella1[[#This Row],[MAR]]="X",Tabella1[[#This Row],[MER]]="X",Tabella1[[#This Row],[GIO]]="X",Tabella1[[#This Row],[VEN]]="X",),"X","")</f>
        <v/>
      </c>
      <c r="D40" s="85" t="s">
        <v>147</v>
      </c>
      <c r="E40" s="81" t="s">
        <v>1075</v>
      </c>
      <c r="F40" s="81">
        <v>500</v>
      </c>
      <c r="G40" s="81" t="s">
        <v>1076</v>
      </c>
      <c r="H40" s="83"/>
      <c r="I40" s="83"/>
      <c r="J40" s="83"/>
      <c r="K40" s="83"/>
      <c r="L40" s="83"/>
      <c r="M40" s="82" t="s">
        <v>52</v>
      </c>
      <c r="N40" s="82"/>
      <c r="O40" s="103"/>
      <c r="P40" s="82"/>
      <c r="Q40" s="81" t="s">
        <v>52</v>
      </c>
      <c r="R40" s="82"/>
      <c r="S40" s="82"/>
      <c r="T40" s="84" t="str">
        <f ca="1">IF(AND('Inserimento dati'!$B$3=$H$2, Tabella1[[#This Row],[LUN]]="X"), "X",IF(AND('Inserimento dati'!$B$3=$I$2, Tabella1[[#This Row],[MAR]]="X"), "X", IF(AND('Inserimento dati'!$B$3=$J$2, Tabella1[[#This Row],[MER]]="X"), "X",IF(AND('Inserimento dati'!$B$3=$K$2, Tabella1[[#This Row],[GIO]]="X"), "X", IF(AND('Inserimento dati'!$B$3=$L$2, Tabella1[[#This Row],[VEN]]="X"), "X","")))))</f>
        <v/>
      </c>
      <c r="U40" s="146" t="str">
        <f t="shared" ca="1" si="1"/>
        <v/>
      </c>
    </row>
    <row r="41" spans="1:21" ht="30" x14ac:dyDescent="0.25">
      <c r="A41" s="84"/>
      <c r="B41" s="84" t="str">
        <f t="shared" si="0"/>
        <v>X</v>
      </c>
      <c r="C41" s="84" t="str">
        <f>IF(OR(Tabella1[[#This Row],[LUN]]="X",Tabella1[[#This Row],[MAR]]="X",Tabella1[[#This Row],[MER]]="X",Tabella1[[#This Row],[GIO]]="X",Tabella1[[#This Row],[VEN]]="X",),"X","")</f>
        <v/>
      </c>
      <c r="D41" s="85" t="s">
        <v>147</v>
      </c>
      <c r="E41" s="81" t="s">
        <v>1077</v>
      </c>
      <c r="F41" s="81">
        <v>500</v>
      </c>
      <c r="G41" s="81" t="s">
        <v>1078</v>
      </c>
      <c r="H41" s="83"/>
      <c r="I41" s="83"/>
      <c r="J41" s="83"/>
      <c r="K41" s="83"/>
      <c r="L41" s="83"/>
      <c r="M41" s="82" t="s">
        <v>52</v>
      </c>
      <c r="N41" s="82"/>
      <c r="O41" s="103"/>
      <c r="P41" s="82"/>
      <c r="Q41" s="81" t="s">
        <v>52</v>
      </c>
      <c r="R41" s="82"/>
      <c r="S41" s="82"/>
      <c r="T41" s="84" t="str">
        <f ca="1">IF(AND('Inserimento dati'!$B$3=$H$2, Tabella1[[#This Row],[LUN]]="X"), "X",IF(AND('Inserimento dati'!$B$3=$I$2, Tabella1[[#This Row],[MAR]]="X"), "X", IF(AND('Inserimento dati'!$B$3=$J$2, Tabella1[[#This Row],[MER]]="X"), "X",IF(AND('Inserimento dati'!$B$3=$K$2, Tabella1[[#This Row],[GIO]]="X"), "X", IF(AND('Inserimento dati'!$B$3=$L$2, Tabella1[[#This Row],[VEN]]="X"), "X","")))))</f>
        <v/>
      </c>
      <c r="U41" s="146" t="str">
        <f t="shared" ca="1" si="1"/>
        <v/>
      </c>
    </row>
    <row r="42" spans="1:21" ht="23.25" x14ac:dyDescent="0.25">
      <c r="A42" s="84"/>
      <c r="B42" s="84" t="str">
        <f t="shared" si="0"/>
        <v>X</v>
      </c>
      <c r="C42" s="84" t="str">
        <f>IF(OR(Tabella1[[#This Row],[LUN]]="X",Tabella1[[#This Row],[MAR]]="X",Tabella1[[#This Row],[MER]]="X",Tabella1[[#This Row],[GIO]]="X",Tabella1[[#This Row],[VEN]]="X",),"X","")</f>
        <v/>
      </c>
      <c r="D42" s="85" t="s">
        <v>147</v>
      </c>
      <c r="E42" s="81" t="s">
        <v>1079</v>
      </c>
      <c r="F42" s="81">
        <v>500</v>
      </c>
      <c r="G42" s="81" t="s">
        <v>1080</v>
      </c>
      <c r="H42" s="83"/>
      <c r="I42" s="83"/>
      <c r="J42" s="83"/>
      <c r="K42" s="83"/>
      <c r="L42" s="83"/>
      <c r="M42" s="82" t="s">
        <v>52</v>
      </c>
      <c r="N42" s="82"/>
      <c r="O42" s="103"/>
      <c r="P42" s="82"/>
      <c r="Q42" s="81" t="s">
        <v>1081</v>
      </c>
      <c r="R42" s="82"/>
      <c r="S42" s="82"/>
      <c r="T42" s="84" t="str">
        <f ca="1">IF(AND('Inserimento dati'!$B$3=$H$2, Tabella1[[#This Row],[LUN]]="X"), "X",IF(AND('Inserimento dati'!$B$3=$I$2, Tabella1[[#This Row],[MAR]]="X"), "X", IF(AND('Inserimento dati'!$B$3=$J$2, Tabella1[[#This Row],[MER]]="X"), "X",IF(AND('Inserimento dati'!$B$3=$K$2, Tabella1[[#This Row],[GIO]]="X"), "X", IF(AND('Inserimento dati'!$B$3=$L$2, Tabella1[[#This Row],[VEN]]="X"), "X","")))))</f>
        <v/>
      </c>
      <c r="U42" s="146" t="str">
        <f t="shared" ca="1" si="1"/>
        <v/>
      </c>
    </row>
    <row r="43" spans="1:21" ht="23.25" x14ac:dyDescent="0.25">
      <c r="A43" s="84"/>
      <c r="B43" s="84" t="str">
        <f t="shared" si="0"/>
        <v>X</v>
      </c>
      <c r="C43" s="84" t="str">
        <f>IF(OR(Tabella1[[#This Row],[LUN]]="X",Tabella1[[#This Row],[MAR]]="X",Tabella1[[#This Row],[MER]]="X",Tabella1[[#This Row],[GIO]]="X",Tabella1[[#This Row],[VEN]]="X",),"X","")</f>
        <v/>
      </c>
      <c r="D43" s="85" t="s">
        <v>147</v>
      </c>
      <c r="E43" s="81" t="s">
        <v>1082</v>
      </c>
      <c r="F43" s="81">
        <v>600</v>
      </c>
      <c r="G43" s="81" t="s">
        <v>1083</v>
      </c>
      <c r="H43" s="83"/>
      <c r="I43" s="83"/>
      <c r="J43" s="83"/>
      <c r="K43" s="83"/>
      <c r="L43" s="83"/>
      <c r="M43" s="82" t="s">
        <v>52</v>
      </c>
      <c r="N43" s="82"/>
      <c r="O43" s="103"/>
      <c r="P43" s="82"/>
      <c r="Q43" s="81"/>
      <c r="R43" s="82"/>
      <c r="S43" s="82"/>
      <c r="T43" s="84" t="str">
        <f ca="1">IF(AND('Inserimento dati'!$B$3=$H$2, Tabella1[[#This Row],[LUN]]="X"), "X",IF(AND('Inserimento dati'!$B$3=$I$2, Tabella1[[#This Row],[MAR]]="X"), "X", IF(AND('Inserimento dati'!$B$3=$J$2, Tabella1[[#This Row],[MER]]="X"), "X",IF(AND('Inserimento dati'!$B$3=$K$2, Tabella1[[#This Row],[GIO]]="X"), "X", IF(AND('Inserimento dati'!$B$3=$L$2, Tabella1[[#This Row],[VEN]]="X"), "X","")))))</f>
        <v/>
      </c>
      <c r="U43" s="146" t="str">
        <f t="shared" ca="1" si="1"/>
        <v/>
      </c>
    </row>
    <row r="44" spans="1:21" ht="30" x14ac:dyDescent="0.25">
      <c r="A44" s="84"/>
      <c r="B44" s="84" t="str">
        <f t="shared" ref="B44:B75" si="2">IF(OR(A44="x",A44="X"),"",IF(ISBLANK(A44),"X",""))</f>
        <v>X</v>
      </c>
      <c r="C44" s="84" t="str">
        <f>IF(OR(Tabella1[[#This Row],[LUN]]="X",Tabella1[[#This Row],[MAR]]="X",Tabella1[[#This Row],[MER]]="X",Tabella1[[#This Row],[GIO]]="X",Tabella1[[#This Row],[VEN]]="X",),"X","")</f>
        <v/>
      </c>
      <c r="D44" s="85" t="s">
        <v>147</v>
      </c>
      <c r="E44" s="81" t="s">
        <v>1084</v>
      </c>
      <c r="F44" s="81">
        <v>500</v>
      </c>
      <c r="G44" s="81" t="s">
        <v>1085</v>
      </c>
      <c r="H44" s="83"/>
      <c r="I44" s="83"/>
      <c r="J44" s="83"/>
      <c r="K44" s="83"/>
      <c r="L44" s="83"/>
      <c r="M44" s="82" t="s">
        <v>52</v>
      </c>
      <c r="N44" s="82"/>
      <c r="O44" s="103"/>
      <c r="P44" s="82"/>
      <c r="Q44" s="81"/>
      <c r="R44" s="82"/>
      <c r="S44" s="82"/>
      <c r="T44" s="84" t="str">
        <f ca="1">IF(AND('Inserimento dati'!$B$3=$H$2, Tabella1[[#This Row],[LUN]]="X"), "X",IF(AND('Inserimento dati'!$B$3=$I$2, Tabella1[[#This Row],[MAR]]="X"), "X", IF(AND('Inserimento dati'!$B$3=$J$2, Tabella1[[#This Row],[MER]]="X"), "X",IF(AND('Inserimento dati'!$B$3=$K$2, Tabella1[[#This Row],[GIO]]="X"), "X", IF(AND('Inserimento dati'!$B$3=$L$2, Tabella1[[#This Row],[VEN]]="X"), "X","")))))</f>
        <v/>
      </c>
      <c r="U44" s="146" t="str">
        <f t="shared" ref="U44:U75" ca="1" si="3">IFERROR(MID(G44,_xlfn.AGGREGATE(15,6,(ROW(INDIRECT("1:"&amp;LEN(G44)-7)))/(ISNUMBER(--MID(G44,ROW(INDIRECT("1:"&amp;LEN(G44)-7)),8))),1),8),"")</f>
        <v/>
      </c>
    </row>
    <row r="45" spans="1:21" ht="30" x14ac:dyDescent="0.25">
      <c r="A45" s="84"/>
      <c r="B45" s="84" t="str">
        <f t="shared" si="2"/>
        <v>X</v>
      </c>
      <c r="C45" s="84" t="str">
        <f>IF(OR(Tabella1[[#This Row],[LUN]]="X",Tabella1[[#This Row],[MAR]]="X",Tabella1[[#This Row],[MER]]="X",Tabella1[[#This Row],[GIO]]="X",Tabella1[[#This Row],[VEN]]="X",),"X","")</f>
        <v/>
      </c>
      <c r="D45" s="85" t="s">
        <v>147</v>
      </c>
      <c r="E45" s="81" t="s">
        <v>1086</v>
      </c>
      <c r="F45" s="81">
        <v>1000</v>
      </c>
      <c r="G45" s="81" t="s">
        <v>1087</v>
      </c>
      <c r="H45" s="83"/>
      <c r="I45" s="83"/>
      <c r="J45" s="83"/>
      <c r="K45" s="83"/>
      <c r="L45" s="83"/>
      <c r="M45" s="82" t="s">
        <v>52</v>
      </c>
      <c r="N45" s="82" t="s">
        <v>8</v>
      </c>
      <c r="O45" s="103"/>
      <c r="P45" s="82"/>
      <c r="Q45" s="81" t="s">
        <v>1088</v>
      </c>
      <c r="R45" s="82">
        <v>45728</v>
      </c>
      <c r="S45" s="82" t="s">
        <v>11</v>
      </c>
      <c r="T45" s="84" t="str">
        <f ca="1">IF(AND('Inserimento dati'!$B$3=$H$2, Tabella1[[#This Row],[LUN]]="X"), "X",IF(AND('Inserimento dati'!$B$3=$I$2, Tabella1[[#This Row],[MAR]]="X"), "X", IF(AND('Inserimento dati'!$B$3=$J$2, Tabella1[[#This Row],[MER]]="X"), "X",IF(AND('Inserimento dati'!$B$3=$K$2, Tabella1[[#This Row],[GIO]]="X"), "X", IF(AND('Inserimento dati'!$B$3=$L$2, Tabella1[[#This Row],[VEN]]="X"), "X","")))))</f>
        <v/>
      </c>
      <c r="U45" s="146" t="str">
        <f t="shared" ca="1" si="3"/>
        <v/>
      </c>
    </row>
    <row r="46" spans="1:21" ht="30" x14ac:dyDescent="0.25">
      <c r="A46" s="84"/>
      <c r="B46" s="84" t="str">
        <f t="shared" si="2"/>
        <v>X</v>
      </c>
      <c r="C46" s="84" t="str">
        <f>IF(OR(Tabella1[[#This Row],[LUN]]="X",Tabella1[[#This Row],[MAR]]="X",Tabella1[[#This Row],[MER]]="X",Tabella1[[#This Row],[GIO]]="X",Tabella1[[#This Row],[VEN]]="X",),"X","")</f>
        <v/>
      </c>
      <c r="D46" s="85" t="s">
        <v>147</v>
      </c>
      <c r="E46" s="81" t="s">
        <v>1089</v>
      </c>
      <c r="F46" s="81">
        <v>1000</v>
      </c>
      <c r="G46" s="81" t="s">
        <v>1090</v>
      </c>
      <c r="H46" s="83"/>
      <c r="I46" s="83"/>
      <c r="J46" s="83"/>
      <c r="K46" s="83"/>
      <c r="L46" s="83"/>
      <c r="M46" s="82" t="s">
        <v>52</v>
      </c>
      <c r="N46" s="82" t="s">
        <v>8</v>
      </c>
      <c r="O46" s="103"/>
      <c r="P46" s="82"/>
      <c r="Q46" s="81" t="s">
        <v>1088</v>
      </c>
      <c r="R46" s="82">
        <v>45728</v>
      </c>
      <c r="S46" s="82" t="s">
        <v>11</v>
      </c>
      <c r="T46" s="84" t="str">
        <f ca="1">IF(AND('Inserimento dati'!$B$3=$H$2, Tabella1[[#This Row],[LUN]]="X"), "X",IF(AND('Inserimento dati'!$B$3=$I$2, Tabella1[[#This Row],[MAR]]="X"), "X", IF(AND('Inserimento dati'!$B$3=$J$2, Tabella1[[#This Row],[MER]]="X"), "X",IF(AND('Inserimento dati'!$B$3=$K$2, Tabella1[[#This Row],[GIO]]="X"), "X", IF(AND('Inserimento dati'!$B$3=$L$2, Tabella1[[#This Row],[VEN]]="X"), "X","")))))</f>
        <v/>
      </c>
      <c r="U46" s="146" t="str">
        <f t="shared" ca="1" si="3"/>
        <v/>
      </c>
    </row>
    <row r="47" spans="1:21" ht="30" x14ac:dyDescent="0.25">
      <c r="A47" s="84"/>
      <c r="B47" s="84" t="str">
        <f t="shared" si="2"/>
        <v>X</v>
      </c>
      <c r="C47" s="84" t="str">
        <f>IF(OR(Tabella1[[#This Row],[LUN]]="X",Tabella1[[#This Row],[MAR]]="X",Tabella1[[#This Row],[MER]]="X",Tabella1[[#This Row],[GIO]]="X",Tabella1[[#This Row],[VEN]]="X",),"X","")</f>
        <v/>
      </c>
      <c r="D47" s="85" t="s">
        <v>147</v>
      </c>
      <c r="E47" s="81" t="s">
        <v>1091</v>
      </c>
      <c r="F47" s="81">
        <v>600</v>
      </c>
      <c r="G47" s="81" t="s">
        <v>1092</v>
      </c>
      <c r="H47" s="83"/>
      <c r="I47" s="83"/>
      <c r="J47" s="83"/>
      <c r="K47" s="83"/>
      <c r="L47" s="83"/>
      <c r="M47" s="82" t="s">
        <v>52</v>
      </c>
      <c r="N47" s="82"/>
      <c r="O47" s="103"/>
      <c r="P47" s="82"/>
      <c r="Q47" s="81" t="s">
        <v>1093</v>
      </c>
      <c r="R47" s="82">
        <v>45722</v>
      </c>
      <c r="S47" s="82" t="s">
        <v>322</v>
      </c>
      <c r="T47" s="84" t="str">
        <f ca="1">IF(AND('Inserimento dati'!$B$3=$H$2, Tabella1[[#This Row],[LUN]]="X"), "X",IF(AND('Inserimento dati'!$B$3=$I$2, Tabella1[[#This Row],[MAR]]="X"), "X", IF(AND('Inserimento dati'!$B$3=$J$2, Tabella1[[#This Row],[MER]]="X"), "X",IF(AND('Inserimento dati'!$B$3=$K$2, Tabella1[[#This Row],[GIO]]="X"), "X", IF(AND('Inserimento dati'!$B$3=$L$2, Tabella1[[#This Row],[VEN]]="X"), "X","")))))</f>
        <v/>
      </c>
      <c r="U47" s="146" t="str">
        <f t="shared" ca="1" si="3"/>
        <v/>
      </c>
    </row>
    <row r="48" spans="1:21" ht="30" x14ac:dyDescent="0.25">
      <c r="A48" s="84"/>
      <c r="B48" s="84" t="str">
        <f t="shared" si="2"/>
        <v>X</v>
      </c>
      <c r="C48" s="84" t="str">
        <f>IF(OR(Tabella1[[#This Row],[LUN]]="X",Tabella1[[#This Row],[MAR]]="X",Tabella1[[#This Row],[MER]]="X",Tabella1[[#This Row],[GIO]]="X",Tabella1[[#This Row],[VEN]]="X",),"X","")</f>
        <v/>
      </c>
      <c r="D48" s="85" t="s">
        <v>147</v>
      </c>
      <c r="E48" s="81" t="s">
        <v>1094</v>
      </c>
      <c r="F48" s="81">
        <v>600</v>
      </c>
      <c r="G48" s="81" t="s">
        <v>1095</v>
      </c>
      <c r="H48" s="83"/>
      <c r="I48" s="83"/>
      <c r="J48" s="83"/>
      <c r="K48" s="83"/>
      <c r="L48" s="83"/>
      <c r="M48" s="82" t="s">
        <v>52</v>
      </c>
      <c r="N48" s="82"/>
      <c r="O48" s="103"/>
      <c r="P48" s="82"/>
      <c r="Q48" s="81" t="s">
        <v>329</v>
      </c>
      <c r="R48" s="82">
        <v>45720</v>
      </c>
      <c r="S48" s="82" t="s">
        <v>1096</v>
      </c>
      <c r="T48" s="84" t="str">
        <f ca="1">IF(AND('Inserimento dati'!$B$3=$H$2, Tabella1[[#This Row],[LUN]]="X"), "X",IF(AND('Inserimento dati'!$B$3=$I$2, Tabella1[[#This Row],[MAR]]="X"), "X", IF(AND('Inserimento dati'!$B$3=$J$2, Tabella1[[#This Row],[MER]]="X"), "X",IF(AND('Inserimento dati'!$B$3=$K$2, Tabella1[[#This Row],[GIO]]="X"), "X", IF(AND('Inserimento dati'!$B$3=$L$2, Tabella1[[#This Row],[VEN]]="X"), "X","")))))</f>
        <v/>
      </c>
      <c r="U48" s="146" t="str">
        <f t="shared" ca="1" si="3"/>
        <v/>
      </c>
    </row>
    <row r="49" spans="1:21" ht="45" x14ac:dyDescent="0.25">
      <c r="A49" s="84"/>
      <c r="B49" s="84" t="str">
        <f t="shared" si="2"/>
        <v>X</v>
      </c>
      <c r="C49" s="84" t="str">
        <f>IF(OR(Tabella1[[#This Row],[LUN]]="X",Tabella1[[#This Row],[MAR]]="X",Tabella1[[#This Row],[MER]]="X",Tabella1[[#This Row],[GIO]]="X",Tabella1[[#This Row],[VEN]]="X",),"X","")</f>
        <v/>
      </c>
      <c r="D49" s="85" t="s">
        <v>147</v>
      </c>
      <c r="E49" s="81" t="s">
        <v>1097</v>
      </c>
      <c r="F49" s="81">
        <v>600</v>
      </c>
      <c r="G49" s="81" t="s">
        <v>1098</v>
      </c>
      <c r="H49" s="83"/>
      <c r="I49" s="83"/>
      <c r="J49" s="83"/>
      <c r="K49" s="83"/>
      <c r="L49" s="83"/>
      <c r="M49" s="82" t="s">
        <v>52</v>
      </c>
      <c r="N49" s="82"/>
      <c r="O49" s="103"/>
      <c r="P49" s="82"/>
      <c r="Q49" s="81" t="s">
        <v>1099</v>
      </c>
      <c r="R49" s="82">
        <v>45714</v>
      </c>
      <c r="S49" s="82" t="s">
        <v>254</v>
      </c>
      <c r="T49" s="84" t="str">
        <f ca="1">IF(AND('Inserimento dati'!$B$3=$H$2, Tabella1[[#This Row],[LUN]]="X"), "X",IF(AND('Inserimento dati'!$B$3=$I$2, Tabella1[[#This Row],[MAR]]="X"), "X", IF(AND('Inserimento dati'!$B$3=$J$2, Tabella1[[#This Row],[MER]]="X"), "X",IF(AND('Inserimento dati'!$B$3=$K$2, Tabella1[[#This Row],[GIO]]="X"), "X", IF(AND('Inserimento dati'!$B$3=$L$2, Tabella1[[#This Row],[VEN]]="X"), "X","")))))</f>
        <v/>
      </c>
      <c r="U49" s="146" t="str">
        <f t="shared" ca="1" si="3"/>
        <v/>
      </c>
    </row>
    <row r="50" spans="1:21" ht="45" x14ac:dyDescent="0.25">
      <c r="A50" s="84"/>
      <c r="B50" s="84" t="str">
        <f t="shared" si="2"/>
        <v>X</v>
      </c>
      <c r="C50" s="84" t="str">
        <f>IF(OR(Tabella1[[#This Row],[LUN]]="X",Tabella1[[#This Row],[MAR]]="X",Tabella1[[#This Row],[MER]]="X",Tabella1[[#This Row],[GIO]]="X",Tabella1[[#This Row],[VEN]]="X",),"X","")</f>
        <v/>
      </c>
      <c r="D50" s="85" t="s">
        <v>147</v>
      </c>
      <c r="E50" s="81" t="s">
        <v>1100</v>
      </c>
      <c r="F50" s="81">
        <v>600</v>
      </c>
      <c r="G50" s="81" t="s">
        <v>1095</v>
      </c>
      <c r="H50" s="83"/>
      <c r="I50" s="83"/>
      <c r="J50" s="83"/>
      <c r="K50" s="83"/>
      <c r="L50" s="83"/>
      <c r="M50" s="82" t="s">
        <v>52</v>
      </c>
      <c r="N50" s="82"/>
      <c r="O50" s="103"/>
      <c r="P50" s="82"/>
      <c r="Q50" s="81" t="s">
        <v>1101</v>
      </c>
      <c r="R50" s="82">
        <v>45714</v>
      </c>
      <c r="S50" s="82" t="s">
        <v>1096</v>
      </c>
      <c r="T50" s="84" t="str">
        <f ca="1">IF(AND('Inserimento dati'!$B$3=$H$2, Tabella1[[#This Row],[LUN]]="X"), "X",IF(AND('Inserimento dati'!$B$3=$I$2, Tabella1[[#This Row],[MAR]]="X"), "X", IF(AND('Inserimento dati'!$B$3=$J$2, Tabella1[[#This Row],[MER]]="X"), "X",IF(AND('Inserimento dati'!$B$3=$K$2, Tabella1[[#This Row],[GIO]]="X"), "X", IF(AND('Inserimento dati'!$B$3=$L$2, Tabella1[[#This Row],[VEN]]="X"), "X","")))))</f>
        <v/>
      </c>
      <c r="U50" s="146" t="str">
        <f t="shared" ca="1" si="3"/>
        <v/>
      </c>
    </row>
    <row r="51" spans="1:21" ht="30" x14ac:dyDescent="0.25">
      <c r="A51" s="84"/>
      <c r="B51" s="84" t="str">
        <f t="shared" si="2"/>
        <v>X</v>
      </c>
      <c r="C51" s="84" t="str">
        <f>IF(OR(Tabella1[[#This Row],[LUN]]="X",Tabella1[[#This Row],[MAR]]="X",Tabella1[[#This Row],[MER]]="X",Tabella1[[#This Row],[GIO]]="X",Tabella1[[#This Row],[VEN]]="X",),"X","")</f>
        <v/>
      </c>
      <c r="D51" s="85" t="s">
        <v>147</v>
      </c>
      <c r="E51" s="81" t="s">
        <v>1102</v>
      </c>
      <c r="F51" s="81">
        <v>600</v>
      </c>
      <c r="G51" s="81" t="s">
        <v>1103</v>
      </c>
      <c r="H51" s="83"/>
      <c r="I51" s="83"/>
      <c r="J51" s="83"/>
      <c r="K51" s="83"/>
      <c r="L51" s="83"/>
      <c r="M51" s="82" t="s">
        <v>52</v>
      </c>
      <c r="N51" s="82"/>
      <c r="O51" s="103"/>
      <c r="P51" s="82"/>
      <c r="Q51" s="81" t="s">
        <v>1104</v>
      </c>
      <c r="R51" s="82">
        <v>45713</v>
      </c>
      <c r="S51" s="82" t="s">
        <v>11</v>
      </c>
      <c r="T51" s="84" t="str">
        <f ca="1">IF(AND('Inserimento dati'!$B$3=$H$2, Tabella1[[#This Row],[LUN]]="X"), "X",IF(AND('Inserimento dati'!$B$3=$I$2, Tabella1[[#This Row],[MAR]]="X"), "X", IF(AND('Inserimento dati'!$B$3=$J$2, Tabella1[[#This Row],[MER]]="X"), "X",IF(AND('Inserimento dati'!$B$3=$K$2, Tabella1[[#This Row],[GIO]]="X"), "X", IF(AND('Inserimento dati'!$B$3=$L$2, Tabella1[[#This Row],[VEN]]="X"), "X","")))))</f>
        <v/>
      </c>
      <c r="U51" s="146" t="str">
        <f t="shared" ca="1" si="3"/>
        <v/>
      </c>
    </row>
    <row r="52" spans="1:21" ht="30" x14ac:dyDescent="0.25">
      <c r="A52" s="84"/>
      <c r="B52" s="84" t="str">
        <f t="shared" si="2"/>
        <v>X</v>
      </c>
      <c r="C52" s="84" t="str">
        <f>IF(OR(Tabella1[[#This Row],[LUN]]="X",Tabella1[[#This Row],[MAR]]="X",Tabella1[[#This Row],[MER]]="X",Tabella1[[#This Row],[GIO]]="X",Tabella1[[#This Row],[VEN]]="X",),"X","")</f>
        <v/>
      </c>
      <c r="D52" s="85" t="s">
        <v>147</v>
      </c>
      <c r="E52" s="81" t="s">
        <v>1105</v>
      </c>
      <c r="F52" s="81">
        <v>600</v>
      </c>
      <c r="G52" s="81" t="s">
        <v>1106</v>
      </c>
      <c r="H52" s="83"/>
      <c r="I52" s="83"/>
      <c r="J52" s="83"/>
      <c r="K52" s="83"/>
      <c r="L52" s="83"/>
      <c r="M52" s="82" t="s">
        <v>52</v>
      </c>
      <c r="N52" s="82"/>
      <c r="O52" s="103"/>
      <c r="P52" s="82"/>
      <c r="Q52" s="81" t="s">
        <v>1107</v>
      </c>
      <c r="R52" s="82">
        <v>45713</v>
      </c>
      <c r="S52" s="82" t="s">
        <v>11</v>
      </c>
      <c r="T52" s="84" t="str">
        <f ca="1">IF(AND('Inserimento dati'!$B$3=$H$2, Tabella1[[#This Row],[LUN]]="X"), "X",IF(AND('Inserimento dati'!$B$3=$I$2, Tabella1[[#This Row],[MAR]]="X"), "X", IF(AND('Inserimento dati'!$B$3=$J$2, Tabella1[[#This Row],[MER]]="X"), "X",IF(AND('Inserimento dati'!$B$3=$K$2, Tabella1[[#This Row],[GIO]]="X"), "X", IF(AND('Inserimento dati'!$B$3=$L$2, Tabella1[[#This Row],[VEN]]="X"), "X","")))))</f>
        <v/>
      </c>
      <c r="U52" s="146" t="str">
        <f t="shared" ca="1" si="3"/>
        <v/>
      </c>
    </row>
    <row r="53" spans="1:21" ht="45" x14ac:dyDescent="0.25">
      <c r="A53" s="84"/>
      <c r="B53" s="84" t="str">
        <f t="shared" si="2"/>
        <v>X</v>
      </c>
      <c r="C53" s="84" t="str">
        <f>IF(OR(Tabella1[[#This Row],[LUN]]="X",Tabella1[[#This Row],[MAR]]="X",Tabella1[[#This Row],[MER]]="X",Tabella1[[#This Row],[GIO]]="X",Tabella1[[#This Row],[VEN]]="X",),"X","")</f>
        <v/>
      </c>
      <c r="D53" s="85" t="s">
        <v>147</v>
      </c>
      <c r="E53" s="81" t="s">
        <v>1108</v>
      </c>
      <c r="F53" s="81">
        <v>500</v>
      </c>
      <c r="G53" s="81" t="s">
        <v>1109</v>
      </c>
      <c r="H53" s="83"/>
      <c r="I53" s="83"/>
      <c r="J53" s="83"/>
      <c r="K53" s="83"/>
      <c r="L53" s="83"/>
      <c r="M53" s="82" t="s">
        <v>52</v>
      </c>
      <c r="N53" s="82"/>
      <c r="O53" s="103"/>
      <c r="P53" s="82"/>
      <c r="Q53" s="81" t="s">
        <v>1110</v>
      </c>
      <c r="R53" s="82">
        <v>45712</v>
      </c>
      <c r="S53" s="82" t="s">
        <v>9</v>
      </c>
      <c r="T53" s="84" t="str">
        <f ca="1">IF(AND('Inserimento dati'!$B$3=$H$2, Tabella1[[#This Row],[LUN]]="X"), "X",IF(AND('Inserimento dati'!$B$3=$I$2, Tabella1[[#This Row],[MAR]]="X"), "X", IF(AND('Inserimento dati'!$B$3=$J$2, Tabella1[[#This Row],[MER]]="X"), "X",IF(AND('Inserimento dati'!$B$3=$K$2, Tabella1[[#This Row],[GIO]]="X"), "X", IF(AND('Inserimento dati'!$B$3=$L$2, Tabella1[[#This Row],[VEN]]="X"), "X","")))))</f>
        <v/>
      </c>
      <c r="U53" s="146" t="str">
        <f t="shared" ca="1" si="3"/>
        <v/>
      </c>
    </row>
    <row r="54" spans="1:21" ht="45" x14ac:dyDescent="0.25">
      <c r="A54" s="84"/>
      <c r="B54" s="84" t="str">
        <f t="shared" si="2"/>
        <v>X</v>
      </c>
      <c r="C54" s="84" t="str">
        <f>IF(OR(Tabella1[[#This Row],[LUN]]="X",Tabella1[[#This Row],[MAR]]="X",Tabella1[[#This Row],[MER]]="X",Tabella1[[#This Row],[GIO]]="X",Tabella1[[#This Row],[VEN]]="X",),"X","")</f>
        <v/>
      </c>
      <c r="D54" s="85" t="s">
        <v>147</v>
      </c>
      <c r="E54" s="81" t="s">
        <v>1111</v>
      </c>
      <c r="F54" s="81">
        <v>1000</v>
      </c>
      <c r="G54" s="81" t="s">
        <v>1112</v>
      </c>
      <c r="H54" s="83"/>
      <c r="I54" s="83"/>
      <c r="J54" s="83"/>
      <c r="K54" s="83"/>
      <c r="L54" s="83"/>
      <c r="M54" s="82" t="s">
        <v>52</v>
      </c>
      <c r="N54" s="82"/>
      <c r="O54" s="103"/>
      <c r="P54" s="82"/>
      <c r="Q54" s="81" t="s">
        <v>1113</v>
      </c>
      <c r="R54" s="82">
        <v>45705</v>
      </c>
      <c r="S54" s="82" t="s">
        <v>23</v>
      </c>
      <c r="T54" s="84" t="str">
        <f ca="1">IF(AND('Inserimento dati'!$B$3=$H$2, Tabella1[[#This Row],[LUN]]="X"), "X",IF(AND('Inserimento dati'!$B$3=$I$2, Tabella1[[#This Row],[MAR]]="X"), "X", IF(AND('Inserimento dati'!$B$3=$J$2, Tabella1[[#This Row],[MER]]="X"), "X",IF(AND('Inserimento dati'!$B$3=$K$2, Tabella1[[#This Row],[GIO]]="X"), "X", IF(AND('Inserimento dati'!$B$3=$L$2, Tabella1[[#This Row],[VEN]]="X"), "X","")))))</f>
        <v/>
      </c>
      <c r="U54" s="146" t="str">
        <f t="shared" ca="1" si="3"/>
        <v/>
      </c>
    </row>
    <row r="55" spans="1:21" ht="45" x14ac:dyDescent="0.25">
      <c r="A55" s="84"/>
      <c r="B55" s="84" t="str">
        <f t="shared" si="2"/>
        <v>X</v>
      </c>
      <c r="C55" s="84" t="str">
        <f>IF(OR(Tabella1[[#This Row],[LUN]]="X",Tabella1[[#This Row],[MAR]]="X",Tabella1[[#This Row],[MER]]="X",Tabella1[[#This Row],[GIO]]="X",Tabella1[[#This Row],[VEN]]="X",),"X","")</f>
        <v/>
      </c>
      <c r="D55" s="85" t="s">
        <v>147</v>
      </c>
      <c r="E55" s="81" t="s">
        <v>1114</v>
      </c>
      <c r="F55" s="81">
        <v>500</v>
      </c>
      <c r="G55" s="81" t="s">
        <v>1115</v>
      </c>
      <c r="H55" s="83"/>
      <c r="I55" s="83"/>
      <c r="J55" s="83"/>
      <c r="K55" s="83"/>
      <c r="L55" s="83"/>
      <c r="M55" s="82" t="s">
        <v>52</v>
      </c>
      <c r="N55" s="82"/>
      <c r="O55" s="103"/>
      <c r="P55" s="82"/>
      <c r="Q55" s="81" t="s">
        <v>1116</v>
      </c>
      <c r="R55" s="82">
        <v>45701</v>
      </c>
      <c r="S55" s="82" t="s">
        <v>267</v>
      </c>
      <c r="T55" s="84" t="str">
        <f ca="1">IF(AND('Inserimento dati'!$B$3=$H$2, Tabella1[[#This Row],[LUN]]="X"), "X",IF(AND('Inserimento dati'!$B$3=$I$2, Tabella1[[#This Row],[MAR]]="X"), "X", IF(AND('Inserimento dati'!$B$3=$J$2, Tabella1[[#This Row],[MER]]="X"), "X",IF(AND('Inserimento dati'!$B$3=$K$2, Tabella1[[#This Row],[GIO]]="X"), "X", IF(AND('Inserimento dati'!$B$3=$L$2, Tabella1[[#This Row],[VEN]]="X"), "X","")))))</f>
        <v/>
      </c>
      <c r="U55" s="146" t="str">
        <f t="shared" ca="1" si="3"/>
        <v/>
      </c>
    </row>
    <row r="56" spans="1:21" ht="30" x14ac:dyDescent="0.25">
      <c r="A56" s="84"/>
      <c r="B56" s="84" t="str">
        <f t="shared" si="2"/>
        <v>X</v>
      </c>
      <c r="C56" s="84" t="str">
        <f>IF(OR(Tabella1[[#This Row],[LUN]]="X",Tabella1[[#This Row],[MAR]]="X",Tabella1[[#This Row],[MER]]="X",Tabella1[[#This Row],[GIO]]="X",Tabella1[[#This Row],[VEN]]="X",),"X","")</f>
        <v/>
      </c>
      <c r="D56" s="85" t="s">
        <v>147</v>
      </c>
      <c r="E56" s="81" t="s">
        <v>1117</v>
      </c>
      <c r="F56" s="81">
        <v>1000</v>
      </c>
      <c r="G56" s="81" t="s">
        <v>1118</v>
      </c>
      <c r="H56" s="83"/>
      <c r="I56" s="83"/>
      <c r="J56" s="83"/>
      <c r="K56" s="83"/>
      <c r="L56" s="83"/>
      <c r="M56" s="82" t="s">
        <v>52</v>
      </c>
      <c r="N56" s="82"/>
      <c r="O56" s="103"/>
      <c r="P56" s="82"/>
      <c r="Q56" s="81" t="s">
        <v>1119</v>
      </c>
      <c r="R56" s="82">
        <v>45687</v>
      </c>
      <c r="S56" s="82" t="s">
        <v>38</v>
      </c>
      <c r="T56" s="84" t="str">
        <f ca="1">IF(AND('Inserimento dati'!$B$3=$H$2, Tabella1[[#This Row],[LUN]]="X"), "X",IF(AND('Inserimento dati'!$B$3=$I$2, Tabella1[[#This Row],[MAR]]="X"), "X", IF(AND('Inserimento dati'!$B$3=$J$2, Tabella1[[#This Row],[MER]]="X"), "X",IF(AND('Inserimento dati'!$B$3=$K$2, Tabella1[[#This Row],[GIO]]="X"), "X", IF(AND('Inserimento dati'!$B$3=$L$2, Tabella1[[#This Row],[VEN]]="X"), "X","")))))</f>
        <v/>
      </c>
      <c r="U56" s="146" t="str">
        <f t="shared" ca="1" si="3"/>
        <v/>
      </c>
    </row>
    <row r="57" spans="1:21" ht="23.25" x14ac:dyDescent="0.25">
      <c r="A57" s="84"/>
      <c r="B57" s="84" t="str">
        <f t="shared" si="2"/>
        <v>X</v>
      </c>
      <c r="C57" s="84" t="str">
        <f>IF(OR(Tabella1[[#This Row],[LUN]]="X",Tabella1[[#This Row],[MAR]]="X",Tabella1[[#This Row],[MER]]="X",Tabella1[[#This Row],[GIO]]="X",Tabella1[[#This Row],[VEN]]="X",),"X","")</f>
        <v/>
      </c>
      <c r="D57" s="85" t="s">
        <v>147</v>
      </c>
      <c r="E57" s="81" t="s">
        <v>1120</v>
      </c>
      <c r="F57" s="81">
        <v>600</v>
      </c>
      <c r="G57" s="81" t="s">
        <v>1121</v>
      </c>
      <c r="H57" s="83"/>
      <c r="I57" s="83"/>
      <c r="J57" s="83"/>
      <c r="K57" s="83"/>
      <c r="L57" s="83"/>
      <c r="M57" s="82" t="s">
        <v>52</v>
      </c>
      <c r="N57" s="82"/>
      <c r="O57" s="103"/>
      <c r="P57" s="82"/>
      <c r="Q57" s="81"/>
      <c r="R57" s="82"/>
      <c r="S57" s="82"/>
      <c r="T57" s="84" t="str">
        <f ca="1">IF(AND('Inserimento dati'!$B$3=$H$2, Tabella1[[#This Row],[LUN]]="X"), "X",IF(AND('Inserimento dati'!$B$3=$I$2, Tabella1[[#This Row],[MAR]]="X"), "X", IF(AND('Inserimento dati'!$B$3=$J$2, Tabella1[[#This Row],[MER]]="X"), "X",IF(AND('Inserimento dati'!$B$3=$K$2, Tabella1[[#This Row],[GIO]]="X"), "X", IF(AND('Inserimento dati'!$B$3=$L$2, Tabella1[[#This Row],[VEN]]="X"), "X","")))))</f>
        <v/>
      </c>
      <c r="U57" s="146" t="str">
        <f t="shared" ca="1" si="3"/>
        <v/>
      </c>
    </row>
    <row r="58" spans="1:21" ht="30" x14ac:dyDescent="0.25">
      <c r="A58" s="84"/>
      <c r="B58" s="84" t="str">
        <f t="shared" si="2"/>
        <v>X</v>
      </c>
      <c r="C58" s="84" t="str">
        <f>IF(OR(Tabella1[[#This Row],[LUN]]="X",Tabella1[[#This Row],[MAR]]="X",Tabella1[[#This Row],[MER]]="X",Tabella1[[#This Row],[GIO]]="X",Tabella1[[#This Row],[VEN]]="X",),"X","")</f>
        <v/>
      </c>
      <c r="D58" s="85" t="s">
        <v>147</v>
      </c>
      <c r="E58" s="81" t="s">
        <v>1122</v>
      </c>
      <c r="F58" s="81">
        <v>500</v>
      </c>
      <c r="G58" s="81" t="s">
        <v>1123</v>
      </c>
      <c r="H58" s="83"/>
      <c r="I58" s="83"/>
      <c r="J58" s="83"/>
      <c r="K58" s="83"/>
      <c r="L58" s="83"/>
      <c r="M58" s="82" t="s">
        <v>52</v>
      </c>
      <c r="N58" s="82"/>
      <c r="O58" s="103"/>
      <c r="P58" s="82"/>
      <c r="Q58" s="81" t="s">
        <v>1124</v>
      </c>
      <c r="R58" s="82">
        <v>45694</v>
      </c>
      <c r="S58" s="82" t="s">
        <v>267</v>
      </c>
      <c r="T58" s="84" t="str">
        <f ca="1">IF(AND('Inserimento dati'!$B$3=$H$2, Tabella1[[#This Row],[LUN]]="X"), "X",IF(AND('Inserimento dati'!$B$3=$I$2, Tabella1[[#This Row],[MAR]]="X"), "X", IF(AND('Inserimento dati'!$B$3=$J$2, Tabella1[[#This Row],[MER]]="X"), "X",IF(AND('Inserimento dati'!$B$3=$K$2, Tabella1[[#This Row],[GIO]]="X"), "X", IF(AND('Inserimento dati'!$B$3=$L$2, Tabella1[[#This Row],[VEN]]="X"), "X","")))))</f>
        <v/>
      </c>
      <c r="U58" s="146" t="str">
        <f t="shared" ca="1" si="3"/>
        <v/>
      </c>
    </row>
    <row r="59" spans="1:21" ht="30" x14ac:dyDescent="0.25">
      <c r="A59" s="84"/>
      <c r="B59" s="84" t="str">
        <f t="shared" si="2"/>
        <v>X</v>
      </c>
      <c r="C59" s="84" t="str">
        <f>IF(OR(Tabella1[[#This Row],[LUN]]="X",Tabella1[[#This Row],[MAR]]="X",Tabella1[[#This Row],[MER]]="X",Tabella1[[#This Row],[GIO]]="X",Tabella1[[#This Row],[VEN]]="X",),"X","")</f>
        <v/>
      </c>
      <c r="D59" s="85" t="s">
        <v>147</v>
      </c>
      <c r="E59" s="81" t="s">
        <v>1125</v>
      </c>
      <c r="F59" s="81">
        <v>1000</v>
      </c>
      <c r="G59" s="81" t="s">
        <v>1126</v>
      </c>
      <c r="H59" s="83"/>
      <c r="I59" s="83"/>
      <c r="J59" s="83"/>
      <c r="K59" s="83"/>
      <c r="L59" s="83"/>
      <c r="M59" s="81" t="s">
        <v>52</v>
      </c>
      <c r="N59" s="81"/>
      <c r="O59" s="85"/>
      <c r="P59" s="81"/>
      <c r="Q59" s="81" t="s">
        <v>1127</v>
      </c>
      <c r="R59" s="82">
        <v>45684</v>
      </c>
      <c r="S59" s="82" t="s">
        <v>897</v>
      </c>
      <c r="T59" s="84" t="str">
        <f ca="1">IF(AND('Inserimento dati'!$B$3=$H$2, Tabella1[[#This Row],[LUN]]="X"), "X",IF(AND('Inserimento dati'!$B$3=$I$2, Tabella1[[#This Row],[MAR]]="X"), "X", IF(AND('Inserimento dati'!$B$3=$J$2, Tabella1[[#This Row],[MER]]="X"), "X",IF(AND('Inserimento dati'!$B$3=$K$2, Tabella1[[#This Row],[GIO]]="X"), "X", IF(AND('Inserimento dati'!$B$3=$L$2, Tabella1[[#This Row],[VEN]]="X"), "X","")))))</f>
        <v/>
      </c>
      <c r="U59" s="146" t="str">
        <f t="shared" ca="1" si="3"/>
        <v/>
      </c>
    </row>
    <row r="60" spans="1:21" ht="23.25" x14ac:dyDescent="0.25">
      <c r="A60" s="84"/>
      <c r="B60" s="84" t="str">
        <f t="shared" si="2"/>
        <v>X</v>
      </c>
      <c r="C60" s="84" t="str">
        <f>IF(OR(Tabella1[[#This Row],[LUN]]="X",Tabella1[[#This Row],[MAR]]="X",Tabella1[[#This Row],[MER]]="X",Tabella1[[#This Row],[GIO]]="X",Tabella1[[#This Row],[VEN]]="X",),"X","")</f>
        <v/>
      </c>
      <c r="D60" s="85" t="s">
        <v>147</v>
      </c>
      <c r="E60" s="81" t="s">
        <v>1128</v>
      </c>
      <c r="F60" s="81">
        <v>1000</v>
      </c>
      <c r="G60" s="81" t="s">
        <v>1129</v>
      </c>
      <c r="H60" s="83"/>
      <c r="I60" s="83"/>
      <c r="J60" s="83"/>
      <c r="K60" s="83"/>
      <c r="L60" s="83"/>
      <c r="M60" s="81" t="s">
        <v>52</v>
      </c>
      <c r="N60" s="81"/>
      <c r="O60" s="85"/>
      <c r="P60" s="81"/>
      <c r="Q60" s="81" t="s">
        <v>1130</v>
      </c>
      <c r="R60" s="82">
        <v>45685</v>
      </c>
      <c r="S60" s="82" t="s">
        <v>238</v>
      </c>
      <c r="T60" s="84" t="str">
        <f ca="1">IF(AND('Inserimento dati'!$B$3=$H$2, Tabella1[[#This Row],[LUN]]="X"), "X",IF(AND('Inserimento dati'!$B$3=$I$2, Tabella1[[#This Row],[MAR]]="X"), "X", IF(AND('Inserimento dati'!$B$3=$J$2, Tabella1[[#This Row],[MER]]="X"), "X",IF(AND('Inserimento dati'!$B$3=$K$2, Tabella1[[#This Row],[GIO]]="X"), "X", IF(AND('Inserimento dati'!$B$3=$L$2, Tabella1[[#This Row],[VEN]]="X"), "X","")))))</f>
        <v/>
      </c>
      <c r="U60" s="146" t="str">
        <f t="shared" ca="1" si="3"/>
        <v/>
      </c>
    </row>
    <row r="61" spans="1:21" ht="23.25" x14ac:dyDescent="0.25">
      <c r="A61" s="84"/>
      <c r="B61" s="84" t="str">
        <f t="shared" si="2"/>
        <v>X</v>
      </c>
      <c r="C61" s="84" t="str">
        <f>IF(OR(Tabella1[[#This Row],[LUN]]="X",Tabella1[[#This Row],[MAR]]="X",Tabella1[[#This Row],[MER]]="X",Tabella1[[#This Row],[GIO]]="X",Tabella1[[#This Row],[VEN]]="X",),"X","")</f>
        <v/>
      </c>
      <c r="D61" s="85" t="s">
        <v>147</v>
      </c>
      <c r="E61" s="81" t="s">
        <v>1131</v>
      </c>
      <c r="F61" s="81">
        <v>1000</v>
      </c>
      <c r="G61" s="81" t="s">
        <v>1132</v>
      </c>
      <c r="H61" s="83"/>
      <c r="I61" s="83"/>
      <c r="J61" s="83"/>
      <c r="K61" s="83"/>
      <c r="L61" s="83"/>
      <c r="M61" s="81" t="s">
        <v>52</v>
      </c>
      <c r="N61" s="81"/>
      <c r="O61" s="85"/>
      <c r="P61" s="81"/>
      <c r="Q61" s="81" t="s">
        <v>1133</v>
      </c>
      <c r="R61" s="82">
        <v>45685</v>
      </c>
      <c r="S61" s="82" t="s">
        <v>238</v>
      </c>
      <c r="T61" s="84" t="str">
        <f ca="1">IF(AND('Inserimento dati'!$B$3=$H$2, Tabella1[[#This Row],[LUN]]="X"), "X",IF(AND('Inserimento dati'!$B$3=$I$2, Tabella1[[#This Row],[MAR]]="X"), "X", IF(AND('Inserimento dati'!$B$3=$J$2, Tabella1[[#This Row],[MER]]="X"), "X",IF(AND('Inserimento dati'!$B$3=$K$2, Tabella1[[#This Row],[GIO]]="X"), "X", IF(AND('Inserimento dati'!$B$3=$L$2, Tabella1[[#This Row],[VEN]]="X"), "X","")))))</f>
        <v/>
      </c>
      <c r="U61" s="146" t="str">
        <f t="shared" ca="1" si="3"/>
        <v/>
      </c>
    </row>
    <row r="62" spans="1:21" ht="23.25" x14ac:dyDescent="0.25">
      <c r="A62" s="84"/>
      <c r="B62" s="84" t="str">
        <f t="shared" si="2"/>
        <v>X</v>
      </c>
      <c r="C62" s="84" t="str">
        <f>IF(OR(Tabella1[[#This Row],[LUN]]="X",Tabella1[[#This Row],[MAR]]="X",Tabella1[[#This Row],[MER]]="X",Tabella1[[#This Row],[GIO]]="X",Tabella1[[#This Row],[VEN]]="X",),"X","")</f>
        <v/>
      </c>
      <c r="D62" s="85" t="s">
        <v>147</v>
      </c>
      <c r="E62" s="81" t="s">
        <v>1134</v>
      </c>
      <c r="F62" s="81">
        <v>600</v>
      </c>
      <c r="G62" s="81" t="s">
        <v>1135</v>
      </c>
      <c r="H62" s="83"/>
      <c r="I62" s="83"/>
      <c r="J62" s="83"/>
      <c r="K62" s="83"/>
      <c r="L62" s="83"/>
      <c r="M62" s="81" t="s">
        <v>52</v>
      </c>
      <c r="N62" s="81"/>
      <c r="O62" s="85"/>
      <c r="P62" s="81"/>
      <c r="Q62" s="81" t="s">
        <v>1136</v>
      </c>
      <c r="R62" s="82">
        <v>45685</v>
      </c>
      <c r="S62" s="82" t="s">
        <v>238</v>
      </c>
      <c r="T62" s="84" t="str">
        <f ca="1">IF(AND('Inserimento dati'!$B$3=$H$2, Tabella1[[#This Row],[LUN]]="X"), "X",IF(AND('Inserimento dati'!$B$3=$I$2, Tabella1[[#This Row],[MAR]]="X"), "X", IF(AND('Inserimento dati'!$B$3=$J$2, Tabella1[[#This Row],[MER]]="X"), "X",IF(AND('Inserimento dati'!$B$3=$K$2, Tabella1[[#This Row],[GIO]]="X"), "X", IF(AND('Inserimento dati'!$B$3=$L$2, Tabella1[[#This Row],[VEN]]="X"), "X","")))))</f>
        <v/>
      </c>
      <c r="U62" s="146" t="str">
        <f t="shared" ca="1" si="3"/>
        <v/>
      </c>
    </row>
    <row r="63" spans="1:21" ht="30" x14ac:dyDescent="0.25">
      <c r="A63" s="84"/>
      <c r="B63" s="84" t="str">
        <f t="shared" si="2"/>
        <v>X</v>
      </c>
      <c r="C63" s="84" t="str">
        <f>IF(OR(Tabella1[[#This Row],[LUN]]="X",Tabella1[[#This Row],[MAR]]="X",Tabella1[[#This Row],[MER]]="X",Tabella1[[#This Row],[GIO]]="X",Tabella1[[#This Row],[VEN]]="X",),"X","")</f>
        <v/>
      </c>
      <c r="D63" s="85" t="s">
        <v>147</v>
      </c>
      <c r="E63" s="81" t="s">
        <v>1137</v>
      </c>
      <c r="F63" s="81">
        <v>600</v>
      </c>
      <c r="G63" s="81" t="s">
        <v>1138</v>
      </c>
      <c r="H63" s="83"/>
      <c r="I63" s="83"/>
      <c r="J63" s="83"/>
      <c r="K63" s="83"/>
      <c r="L63" s="83"/>
      <c r="M63" s="81" t="s">
        <v>52</v>
      </c>
      <c r="N63" s="81"/>
      <c r="O63" s="85"/>
      <c r="P63" s="81"/>
      <c r="Q63" s="81" t="s">
        <v>1139</v>
      </c>
      <c r="R63" s="82">
        <v>45680</v>
      </c>
      <c r="S63" s="82" t="s">
        <v>20</v>
      </c>
      <c r="T63" s="84" t="str">
        <f ca="1">IF(AND('Inserimento dati'!$B$3=$H$2, Tabella1[[#This Row],[LUN]]="X"), "X",IF(AND('Inserimento dati'!$B$3=$I$2, Tabella1[[#This Row],[MAR]]="X"), "X", IF(AND('Inserimento dati'!$B$3=$J$2, Tabella1[[#This Row],[MER]]="X"), "X",IF(AND('Inserimento dati'!$B$3=$K$2, Tabella1[[#This Row],[GIO]]="X"), "X", IF(AND('Inserimento dati'!$B$3=$L$2, Tabella1[[#This Row],[VEN]]="X"), "X","")))))</f>
        <v/>
      </c>
      <c r="U63" s="146" t="str">
        <f t="shared" ca="1" si="3"/>
        <v/>
      </c>
    </row>
    <row r="64" spans="1:21" ht="30" x14ac:dyDescent="0.25">
      <c r="A64" s="84"/>
      <c r="B64" s="84" t="str">
        <f t="shared" si="2"/>
        <v>X</v>
      </c>
      <c r="C64" s="84" t="str">
        <f>IF(OR(Tabella1[[#This Row],[LUN]]="X",Tabella1[[#This Row],[MAR]]="X",Tabella1[[#This Row],[MER]]="X",Tabella1[[#This Row],[GIO]]="X",Tabella1[[#This Row],[VEN]]="X",),"X","")</f>
        <v/>
      </c>
      <c r="D64" s="85" t="s">
        <v>147</v>
      </c>
      <c r="E64" s="81" t="s">
        <v>1140</v>
      </c>
      <c r="F64" s="81">
        <v>500</v>
      </c>
      <c r="G64" s="81" t="s">
        <v>1141</v>
      </c>
      <c r="H64" s="83"/>
      <c r="I64" s="83"/>
      <c r="J64" s="83"/>
      <c r="K64" s="83"/>
      <c r="L64" s="83"/>
      <c r="M64" s="81" t="s">
        <v>52</v>
      </c>
      <c r="N64" s="81"/>
      <c r="O64" s="85"/>
      <c r="P64" s="81"/>
      <c r="Q64" s="81" t="s">
        <v>1142</v>
      </c>
      <c r="R64" s="82"/>
      <c r="S64" s="82"/>
      <c r="T64" s="84" t="str">
        <f ca="1">IF(AND('Inserimento dati'!$B$3=$H$2, Tabella1[[#This Row],[LUN]]="X"), "X",IF(AND('Inserimento dati'!$B$3=$I$2, Tabella1[[#This Row],[MAR]]="X"), "X", IF(AND('Inserimento dati'!$B$3=$J$2, Tabella1[[#This Row],[MER]]="X"), "X",IF(AND('Inserimento dati'!$B$3=$K$2, Tabella1[[#This Row],[GIO]]="X"), "X", IF(AND('Inserimento dati'!$B$3=$L$2, Tabella1[[#This Row],[VEN]]="X"), "X","")))))</f>
        <v/>
      </c>
      <c r="U64" s="146" t="str">
        <f t="shared" ca="1" si="3"/>
        <v/>
      </c>
    </row>
    <row r="65" spans="1:21" ht="30" x14ac:dyDescent="0.25">
      <c r="A65" s="84"/>
      <c r="B65" s="84" t="str">
        <f t="shared" si="2"/>
        <v>X</v>
      </c>
      <c r="C65" s="84" t="str">
        <f>IF(OR(Tabella1[[#This Row],[LUN]]="X",Tabella1[[#This Row],[MAR]]="X",Tabella1[[#This Row],[MER]]="X",Tabella1[[#This Row],[GIO]]="X",Tabella1[[#This Row],[VEN]]="X",),"X","")</f>
        <v/>
      </c>
      <c r="D65" s="85" t="s">
        <v>147</v>
      </c>
      <c r="E65" s="81" t="s">
        <v>1143</v>
      </c>
      <c r="F65" s="81">
        <v>600</v>
      </c>
      <c r="G65" s="81" t="s">
        <v>1144</v>
      </c>
      <c r="H65" s="83"/>
      <c r="I65" s="83"/>
      <c r="J65" s="83"/>
      <c r="K65" s="83"/>
      <c r="L65" s="83"/>
      <c r="M65" s="81" t="s">
        <v>52</v>
      </c>
      <c r="N65" s="81"/>
      <c r="O65" s="85"/>
      <c r="P65" s="81"/>
      <c r="Q65" s="81" t="s">
        <v>1145</v>
      </c>
      <c r="R65" s="82">
        <v>45678</v>
      </c>
      <c r="S65" s="82" t="s">
        <v>1146</v>
      </c>
      <c r="T65" s="84" t="str">
        <f ca="1">IF(AND('Inserimento dati'!$B$3=$H$2, Tabella1[[#This Row],[LUN]]="X"), "X",IF(AND('Inserimento dati'!$B$3=$I$2, Tabella1[[#This Row],[MAR]]="X"), "X", IF(AND('Inserimento dati'!$B$3=$J$2, Tabella1[[#This Row],[MER]]="X"), "X",IF(AND('Inserimento dati'!$B$3=$K$2, Tabella1[[#This Row],[GIO]]="X"), "X", IF(AND('Inserimento dati'!$B$3=$L$2, Tabella1[[#This Row],[VEN]]="X"), "X","")))))</f>
        <v/>
      </c>
      <c r="U65" s="146" t="str">
        <f t="shared" ca="1" si="3"/>
        <v/>
      </c>
    </row>
    <row r="66" spans="1:21" ht="23.25" x14ac:dyDescent="0.25">
      <c r="A66" s="84"/>
      <c r="B66" s="84" t="str">
        <f t="shared" si="2"/>
        <v>X</v>
      </c>
      <c r="C66" s="84" t="str">
        <f>IF(OR(Tabella1[[#This Row],[LUN]]="X",Tabella1[[#This Row],[MAR]]="X",Tabella1[[#This Row],[MER]]="X",Tabella1[[#This Row],[GIO]]="X",Tabella1[[#This Row],[VEN]]="X",),"X","")</f>
        <v/>
      </c>
      <c r="D66" s="85" t="s">
        <v>147</v>
      </c>
      <c r="E66" s="81" t="s">
        <v>1147</v>
      </c>
      <c r="F66" s="81">
        <v>600</v>
      </c>
      <c r="G66" s="81" t="s">
        <v>1148</v>
      </c>
      <c r="H66" s="83"/>
      <c r="I66" s="83"/>
      <c r="J66" s="83"/>
      <c r="K66" s="83"/>
      <c r="L66" s="83"/>
      <c r="M66" s="81" t="s">
        <v>52</v>
      </c>
      <c r="N66" s="81"/>
      <c r="O66" s="85"/>
      <c r="P66" s="81"/>
      <c r="Q66" s="81" t="s">
        <v>1149</v>
      </c>
      <c r="R66" s="82">
        <v>45679</v>
      </c>
      <c r="S66" s="82" t="s">
        <v>20</v>
      </c>
      <c r="T66" s="84" t="str">
        <f ca="1">IF(AND('Inserimento dati'!$B$3=$H$2, Tabella1[[#This Row],[LUN]]="X"), "X",IF(AND('Inserimento dati'!$B$3=$I$2, Tabella1[[#This Row],[MAR]]="X"), "X", IF(AND('Inserimento dati'!$B$3=$J$2, Tabella1[[#This Row],[MER]]="X"), "X",IF(AND('Inserimento dati'!$B$3=$K$2, Tabella1[[#This Row],[GIO]]="X"), "X", IF(AND('Inserimento dati'!$B$3=$L$2, Tabella1[[#This Row],[VEN]]="X"), "X","")))))</f>
        <v/>
      </c>
      <c r="U66" s="146" t="str">
        <f t="shared" ca="1" si="3"/>
        <v/>
      </c>
    </row>
    <row r="67" spans="1:21" ht="23.25" x14ac:dyDescent="0.25">
      <c r="A67" s="84"/>
      <c r="B67" s="84" t="str">
        <f t="shared" si="2"/>
        <v>X</v>
      </c>
      <c r="C67" s="84" t="str">
        <f>IF(OR(Tabella1[[#This Row],[LUN]]="X",Tabella1[[#This Row],[MAR]]="X",Tabella1[[#This Row],[MER]]="X",Tabella1[[#This Row],[GIO]]="X",Tabella1[[#This Row],[VEN]]="X",),"X","")</f>
        <v/>
      </c>
      <c r="D67" s="85" t="s">
        <v>147</v>
      </c>
      <c r="E67" s="81" t="s">
        <v>1150</v>
      </c>
      <c r="F67" s="81">
        <v>600</v>
      </c>
      <c r="G67" s="81" t="s">
        <v>1151</v>
      </c>
      <c r="H67" s="83"/>
      <c r="I67" s="83"/>
      <c r="J67" s="83"/>
      <c r="K67" s="83"/>
      <c r="L67" s="83"/>
      <c r="M67" s="81" t="s">
        <v>52</v>
      </c>
      <c r="N67" s="81"/>
      <c r="O67" s="85"/>
      <c r="P67" s="81"/>
      <c r="Q67" s="81" t="s">
        <v>1149</v>
      </c>
      <c r="R67" s="82">
        <v>45679</v>
      </c>
      <c r="S67" s="82" t="s">
        <v>20</v>
      </c>
      <c r="T67" s="84" t="str">
        <f ca="1">IF(AND('Inserimento dati'!$B$3=$H$2, Tabella1[[#This Row],[LUN]]="X"), "X",IF(AND('Inserimento dati'!$B$3=$I$2, Tabella1[[#This Row],[MAR]]="X"), "X", IF(AND('Inserimento dati'!$B$3=$J$2, Tabella1[[#This Row],[MER]]="X"), "X",IF(AND('Inserimento dati'!$B$3=$K$2, Tabella1[[#This Row],[GIO]]="X"), "X", IF(AND('Inserimento dati'!$B$3=$L$2, Tabella1[[#This Row],[VEN]]="X"), "X","")))))</f>
        <v/>
      </c>
      <c r="U67" s="146" t="str">
        <f t="shared" ca="1" si="3"/>
        <v/>
      </c>
    </row>
    <row r="68" spans="1:21" ht="23.25" x14ac:dyDescent="0.25">
      <c r="A68" s="84"/>
      <c r="B68" s="84" t="str">
        <f t="shared" si="2"/>
        <v>X</v>
      </c>
      <c r="C68" s="84" t="str">
        <f>IF(OR(Tabella1[[#This Row],[LUN]]="X",Tabella1[[#This Row],[MAR]]="X",Tabella1[[#This Row],[MER]]="X",Tabella1[[#This Row],[GIO]]="X",Tabella1[[#This Row],[VEN]]="X",),"X","")</f>
        <v/>
      </c>
      <c r="D68" s="85" t="s">
        <v>147</v>
      </c>
      <c r="E68" s="81" t="s">
        <v>1152</v>
      </c>
      <c r="F68" s="81">
        <v>1000</v>
      </c>
      <c r="G68" s="81" t="s">
        <v>1153</v>
      </c>
      <c r="H68" s="83"/>
      <c r="I68" s="83"/>
      <c r="J68" s="83"/>
      <c r="K68" s="83"/>
      <c r="L68" s="83"/>
      <c r="M68" s="81" t="s">
        <v>52</v>
      </c>
      <c r="N68" s="81"/>
      <c r="O68" s="85"/>
      <c r="P68" s="81"/>
      <c r="Q68" s="81"/>
      <c r="R68" s="82"/>
      <c r="S68" s="82"/>
      <c r="T68" s="84" t="str">
        <f ca="1">IF(AND('Inserimento dati'!$B$3=$H$2, Tabella1[[#This Row],[LUN]]="X"), "X",IF(AND('Inserimento dati'!$B$3=$I$2, Tabella1[[#This Row],[MAR]]="X"), "X", IF(AND('Inserimento dati'!$B$3=$J$2, Tabella1[[#This Row],[MER]]="X"), "X",IF(AND('Inserimento dati'!$B$3=$K$2, Tabella1[[#This Row],[GIO]]="X"), "X", IF(AND('Inserimento dati'!$B$3=$L$2, Tabella1[[#This Row],[VEN]]="X"), "X","")))))</f>
        <v/>
      </c>
      <c r="U68" s="146" t="str">
        <f t="shared" ca="1" si="3"/>
        <v/>
      </c>
    </row>
    <row r="69" spans="1:21" ht="23.25" x14ac:dyDescent="0.25">
      <c r="A69" s="84"/>
      <c r="B69" s="84" t="str">
        <f t="shared" si="2"/>
        <v>X</v>
      </c>
      <c r="C69" s="84" t="str">
        <f>IF(OR(Tabella1[[#This Row],[LUN]]="X",Tabella1[[#This Row],[MAR]]="X",Tabella1[[#This Row],[MER]]="X",Tabella1[[#This Row],[GIO]]="X",Tabella1[[#This Row],[VEN]]="X",),"X","")</f>
        <v/>
      </c>
      <c r="D69" s="85" t="s">
        <v>147</v>
      </c>
      <c r="E69" s="81" t="s">
        <v>1154</v>
      </c>
      <c r="F69" s="81">
        <v>1000</v>
      </c>
      <c r="G69" s="81" t="s">
        <v>1155</v>
      </c>
      <c r="H69" s="83"/>
      <c r="I69" s="83"/>
      <c r="J69" s="83"/>
      <c r="K69" s="83"/>
      <c r="L69" s="83"/>
      <c r="M69" s="81" t="s">
        <v>52</v>
      </c>
      <c r="N69" s="81"/>
      <c r="O69" s="85"/>
      <c r="P69" s="81"/>
      <c r="Q69" s="81"/>
      <c r="R69" s="82"/>
      <c r="S69" s="82"/>
      <c r="T69" s="84" t="str">
        <f ca="1">IF(AND('Inserimento dati'!$B$3=$H$2, Tabella1[[#This Row],[LUN]]="X"), "X",IF(AND('Inserimento dati'!$B$3=$I$2, Tabella1[[#This Row],[MAR]]="X"), "X", IF(AND('Inserimento dati'!$B$3=$J$2, Tabella1[[#This Row],[MER]]="X"), "X",IF(AND('Inserimento dati'!$B$3=$K$2, Tabella1[[#This Row],[GIO]]="X"), "X", IF(AND('Inserimento dati'!$B$3=$L$2, Tabella1[[#This Row],[VEN]]="X"), "X","")))))</f>
        <v/>
      </c>
      <c r="U69" s="146" t="str">
        <f t="shared" ca="1" si="3"/>
        <v/>
      </c>
    </row>
    <row r="70" spans="1:21" ht="30" x14ac:dyDescent="0.25">
      <c r="A70" s="84"/>
      <c r="B70" s="84" t="str">
        <f t="shared" si="2"/>
        <v>X</v>
      </c>
      <c r="C70" s="84" t="str">
        <f>IF(OR(Tabella1[[#This Row],[LUN]]="X",Tabella1[[#This Row],[MAR]]="X",Tabella1[[#This Row],[MER]]="X",Tabella1[[#This Row],[GIO]]="X",Tabella1[[#This Row],[VEN]]="X",),"X","")</f>
        <v/>
      </c>
      <c r="D70" s="85" t="s">
        <v>147</v>
      </c>
      <c r="E70" s="81" t="s">
        <v>1156</v>
      </c>
      <c r="F70" s="81">
        <v>1000</v>
      </c>
      <c r="G70" s="81" t="s">
        <v>1157</v>
      </c>
      <c r="H70" s="83"/>
      <c r="I70" s="83"/>
      <c r="J70" s="83"/>
      <c r="K70" s="83"/>
      <c r="L70" s="83"/>
      <c r="M70" s="81" t="s">
        <v>52</v>
      </c>
      <c r="N70" s="81"/>
      <c r="O70" s="85"/>
      <c r="P70" s="81"/>
      <c r="Q70" s="81" t="s">
        <v>1158</v>
      </c>
      <c r="R70" s="82">
        <v>45656</v>
      </c>
      <c r="S70" s="82" t="s">
        <v>1159</v>
      </c>
      <c r="T70" s="84" t="str">
        <f ca="1">IF(AND('Inserimento dati'!$B$3=$H$2, Tabella1[[#This Row],[LUN]]="X"), "X",IF(AND('Inserimento dati'!$B$3=$I$2, Tabella1[[#This Row],[MAR]]="X"), "X", IF(AND('Inserimento dati'!$B$3=$J$2, Tabella1[[#This Row],[MER]]="X"), "X",IF(AND('Inserimento dati'!$B$3=$K$2, Tabella1[[#This Row],[GIO]]="X"), "X", IF(AND('Inserimento dati'!$B$3=$L$2, Tabella1[[#This Row],[VEN]]="X"), "X","")))))</f>
        <v/>
      </c>
      <c r="U70" s="146" t="str">
        <f t="shared" ca="1" si="3"/>
        <v/>
      </c>
    </row>
    <row r="71" spans="1:21" ht="30" x14ac:dyDescent="0.25">
      <c r="A71" s="84"/>
      <c r="B71" s="84" t="str">
        <f t="shared" si="2"/>
        <v>X</v>
      </c>
      <c r="C71" s="84" t="str">
        <f>IF(OR(Tabella1[[#This Row],[LUN]]="X",Tabella1[[#This Row],[MAR]]="X",Tabella1[[#This Row],[MER]]="X",Tabella1[[#This Row],[GIO]]="X",Tabella1[[#This Row],[VEN]]="X",),"X","")</f>
        <v/>
      </c>
      <c r="D71" s="85" t="s">
        <v>147</v>
      </c>
      <c r="E71" s="81" t="s">
        <v>1160</v>
      </c>
      <c r="F71" s="81">
        <v>1000</v>
      </c>
      <c r="G71" s="81" t="s">
        <v>1161</v>
      </c>
      <c r="H71" s="83"/>
      <c r="I71" s="83"/>
      <c r="J71" s="83"/>
      <c r="K71" s="83"/>
      <c r="L71" s="83"/>
      <c r="M71" s="81" t="s">
        <v>52</v>
      </c>
      <c r="N71" s="81"/>
      <c r="O71" s="85"/>
      <c r="P71" s="81"/>
      <c r="Q71" s="81" t="s">
        <v>1162</v>
      </c>
      <c r="R71" s="82">
        <v>45656</v>
      </c>
      <c r="S71" s="82" t="s">
        <v>11</v>
      </c>
      <c r="T71" s="84" t="str">
        <f ca="1">IF(AND('Inserimento dati'!$B$3=$H$2, Tabella1[[#This Row],[LUN]]="X"), "X",IF(AND('Inserimento dati'!$B$3=$I$2, Tabella1[[#This Row],[MAR]]="X"), "X", IF(AND('Inserimento dati'!$B$3=$J$2, Tabella1[[#This Row],[MER]]="X"), "X",IF(AND('Inserimento dati'!$B$3=$K$2, Tabella1[[#This Row],[GIO]]="X"), "X", IF(AND('Inserimento dati'!$B$3=$L$2, Tabella1[[#This Row],[VEN]]="X"), "X","")))))</f>
        <v/>
      </c>
      <c r="U71" s="146" t="str">
        <f t="shared" ca="1" si="3"/>
        <v/>
      </c>
    </row>
    <row r="72" spans="1:21" ht="23.25" x14ac:dyDescent="0.25">
      <c r="A72" s="84"/>
      <c r="B72" s="84" t="str">
        <f t="shared" si="2"/>
        <v>X</v>
      </c>
      <c r="C72" s="84" t="str">
        <f>IF(OR(Tabella1[[#This Row],[LUN]]="X",Tabella1[[#This Row],[MAR]]="X",Tabella1[[#This Row],[MER]]="X",Tabella1[[#This Row],[GIO]]="X",Tabella1[[#This Row],[VEN]]="X",),"X","")</f>
        <v/>
      </c>
      <c r="D72" s="85" t="s">
        <v>147</v>
      </c>
      <c r="E72" s="81" t="s">
        <v>1163</v>
      </c>
      <c r="F72" s="81">
        <v>1000</v>
      </c>
      <c r="G72" s="81" t="s">
        <v>1164</v>
      </c>
      <c r="H72" s="83"/>
      <c r="I72" s="83"/>
      <c r="J72" s="83"/>
      <c r="K72" s="83"/>
      <c r="L72" s="83"/>
      <c r="M72" s="81" t="s">
        <v>52</v>
      </c>
      <c r="N72" s="81"/>
      <c r="O72" s="85"/>
      <c r="P72" s="81"/>
      <c r="Q72" s="81" t="s">
        <v>1165</v>
      </c>
      <c r="R72" s="82">
        <v>45656</v>
      </c>
      <c r="S72" s="82" t="s">
        <v>1166</v>
      </c>
      <c r="T72" s="84" t="str">
        <f ca="1">IF(AND('Inserimento dati'!$B$3=$H$2, Tabella1[[#This Row],[LUN]]="X"), "X",IF(AND('Inserimento dati'!$B$3=$I$2, Tabella1[[#This Row],[MAR]]="X"), "X", IF(AND('Inserimento dati'!$B$3=$J$2, Tabella1[[#This Row],[MER]]="X"), "X",IF(AND('Inserimento dati'!$B$3=$K$2, Tabella1[[#This Row],[GIO]]="X"), "X", IF(AND('Inserimento dati'!$B$3=$L$2, Tabella1[[#This Row],[VEN]]="X"), "X","")))))</f>
        <v/>
      </c>
      <c r="U72" s="146" t="str">
        <f t="shared" ca="1" si="3"/>
        <v/>
      </c>
    </row>
    <row r="73" spans="1:21" ht="30" x14ac:dyDescent="0.25">
      <c r="A73" s="84"/>
      <c r="B73" s="84" t="str">
        <f t="shared" si="2"/>
        <v>X</v>
      </c>
      <c r="C73" s="84" t="str">
        <f>IF(OR(Tabella1[[#This Row],[LUN]]="X",Tabella1[[#This Row],[MAR]]="X",Tabella1[[#This Row],[MER]]="X",Tabella1[[#This Row],[GIO]]="X",Tabella1[[#This Row],[VEN]]="X",),"X","")</f>
        <v/>
      </c>
      <c r="D73" s="85" t="s">
        <v>147</v>
      </c>
      <c r="E73" s="81" t="s">
        <v>1167</v>
      </c>
      <c r="F73" s="81">
        <v>1000</v>
      </c>
      <c r="G73" s="81" t="s">
        <v>1168</v>
      </c>
      <c r="H73" s="83"/>
      <c r="I73" s="83"/>
      <c r="J73" s="83"/>
      <c r="K73" s="83"/>
      <c r="L73" s="83"/>
      <c r="M73" s="81" t="s">
        <v>52</v>
      </c>
      <c r="N73" s="81"/>
      <c r="O73" s="85"/>
      <c r="P73" s="81"/>
      <c r="Q73" s="81"/>
      <c r="R73" s="82">
        <v>45610</v>
      </c>
      <c r="S73" s="82" t="s">
        <v>546</v>
      </c>
      <c r="T73" s="84" t="str">
        <f ca="1">IF(AND('Inserimento dati'!$B$3=$H$2, Tabella1[[#This Row],[LUN]]="X"), "X",IF(AND('Inserimento dati'!$B$3=$I$2, Tabella1[[#This Row],[MAR]]="X"), "X", IF(AND('Inserimento dati'!$B$3=$J$2, Tabella1[[#This Row],[MER]]="X"), "X",IF(AND('Inserimento dati'!$B$3=$K$2, Tabella1[[#This Row],[GIO]]="X"), "X", IF(AND('Inserimento dati'!$B$3=$L$2, Tabella1[[#This Row],[VEN]]="X"), "X","")))))</f>
        <v/>
      </c>
      <c r="U73" s="146" t="str">
        <f t="shared" ca="1" si="3"/>
        <v/>
      </c>
    </row>
    <row r="74" spans="1:21" ht="30" x14ac:dyDescent="0.25">
      <c r="A74" s="84"/>
      <c r="B74" s="84" t="str">
        <f t="shared" si="2"/>
        <v>X</v>
      </c>
      <c r="C74" s="84" t="str">
        <f>IF(OR(Tabella1[[#This Row],[LUN]]="X",Tabella1[[#This Row],[MAR]]="X",Tabella1[[#This Row],[MER]]="X",Tabella1[[#This Row],[GIO]]="X",Tabella1[[#This Row],[VEN]]="X",),"X","")</f>
        <v/>
      </c>
      <c r="D74" s="85" t="s">
        <v>147</v>
      </c>
      <c r="E74" s="81" t="s">
        <v>1169</v>
      </c>
      <c r="F74" s="81">
        <v>600</v>
      </c>
      <c r="G74" s="81" t="s">
        <v>1170</v>
      </c>
      <c r="H74" s="83"/>
      <c r="I74" s="83"/>
      <c r="J74" s="83"/>
      <c r="K74" s="83"/>
      <c r="L74" s="83"/>
      <c r="M74" s="81" t="s">
        <v>52</v>
      </c>
      <c r="N74" s="81"/>
      <c r="O74" s="85"/>
      <c r="P74" s="81"/>
      <c r="Q74" s="81"/>
      <c r="R74" s="82">
        <v>45602</v>
      </c>
      <c r="S74" s="82" t="s">
        <v>9</v>
      </c>
      <c r="T74" s="84" t="str">
        <f ca="1">IF(AND('Inserimento dati'!$B$3=$H$2, Tabella1[[#This Row],[LUN]]="X"), "X",IF(AND('Inserimento dati'!$B$3=$I$2, Tabella1[[#This Row],[MAR]]="X"), "X", IF(AND('Inserimento dati'!$B$3=$J$2, Tabella1[[#This Row],[MER]]="X"), "X",IF(AND('Inserimento dati'!$B$3=$K$2, Tabella1[[#This Row],[GIO]]="X"), "X", IF(AND('Inserimento dati'!$B$3=$L$2, Tabella1[[#This Row],[VEN]]="X"), "X","")))))</f>
        <v/>
      </c>
      <c r="U74" s="146" t="str">
        <f t="shared" ca="1" si="3"/>
        <v/>
      </c>
    </row>
    <row r="75" spans="1:21" ht="30" x14ac:dyDescent="0.25">
      <c r="A75" s="84"/>
      <c r="B75" s="84" t="str">
        <f t="shared" si="2"/>
        <v>X</v>
      </c>
      <c r="C75" s="84" t="str">
        <f>IF(OR(Tabella1[[#This Row],[LUN]]="X",Tabella1[[#This Row],[MAR]]="X",Tabella1[[#This Row],[MER]]="X",Tabella1[[#This Row],[GIO]]="X",Tabella1[[#This Row],[VEN]]="X",),"X","")</f>
        <v/>
      </c>
      <c r="D75" s="85" t="s">
        <v>147</v>
      </c>
      <c r="E75" s="81" t="s">
        <v>1171</v>
      </c>
      <c r="F75" s="81">
        <v>1000</v>
      </c>
      <c r="G75" s="81" t="s">
        <v>1172</v>
      </c>
      <c r="H75" s="83"/>
      <c r="I75" s="83"/>
      <c r="J75" s="83"/>
      <c r="K75" s="83"/>
      <c r="L75" s="83"/>
      <c r="M75" s="81" t="s">
        <v>52</v>
      </c>
      <c r="N75" s="81"/>
      <c r="O75" s="85"/>
      <c r="P75" s="81"/>
      <c r="Q75" s="81" t="s">
        <v>1173</v>
      </c>
      <c r="R75" s="82">
        <v>45602</v>
      </c>
      <c r="S75" s="82" t="s">
        <v>9</v>
      </c>
      <c r="T75" s="84" t="str">
        <f ca="1">IF(AND('Inserimento dati'!$B$3=$H$2, Tabella1[[#This Row],[LUN]]="X"), "X",IF(AND('Inserimento dati'!$B$3=$I$2, Tabella1[[#This Row],[MAR]]="X"), "X", IF(AND('Inserimento dati'!$B$3=$J$2, Tabella1[[#This Row],[MER]]="X"), "X",IF(AND('Inserimento dati'!$B$3=$K$2, Tabella1[[#This Row],[GIO]]="X"), "X", IF(AND('Inserimento dati'!$B$3=$L$2, Tabella1[[#This Row],[VEN]]="X"), "X","")))))</f>
        <v/>
      </c>
      <c r="U75" s="146" t="str">
        <f t="shared" ca="1" si="3"/>
        <v/>
      </c>
    </row>
    <row r="76" spans="1:21" ht="30" x14ac:dyDescent="0.25">
      <c r="A76" s="84"/>
      <c r="B76" s="84" t="str">
        <f t="shared" ref="B76:B84" si="4">IF(OR(A76="x",A76="X"),"",IF(ISBLANK(A76),"X",""))</f>
        <v>X</v>
      </c>
      <c r="C76" s="84" t="str">
        <f>IF(OR(Tabella1[[#This Row],[LUN]]="X",Tabella1[[#This Row],[MAR]]="X",Tabella1[[#This Row],[MER]]="X",Tabella1[[#This Row],[GIO]]="X",Tabella1[[#This Row],[VEN]]="X",),"X","")</f>
        <v/>
      </c>
      <c r="D76" s="85" t="s">
        <v>147</v>
      </c>
      <c r="E76" s="81" t="s">
        <v>1174</v>
      </c>
      <c r="F76" s="81">
        <v>1000</v>
      </c>
      <c r="G76" s="81" t="s">
        <v>1175</v>
      </c>
      <c r="H76" s="83"/>
      <c r="I76" s="83"/>
      <c r="J76" s="83"/>
      <c r="K76" s="83"/>
      <c r="L76" s="83"/>
      <c r="M76" s="81" t="s">
        <v>52</v>
      </c>
      <c r="N76" s="81"/>
      <c r="O76" s="85"/>
      <c r="P76" s="81"/>
      <c r="Q76" s="81" t="s">
        <v>1176</v>
      </c>
      <c r="R76" s="82"/>
      <c r="S76" s="82"/>
      <c r="T76" s="84" t="str">
        <f ca="1">IF(AND('Inserimento dati'!$B$3=$H$2, Tabella1[[#This Row],[LUN]]="X"), "X",IF(AND('Inserimento dati'!$B$3=$I$2, Tabella1[[#This Row],[MAR]]="X"), "X", IF(AND('Inserimento dati'!$B$3=$J$2, Tabella1[[#This Row],[MER]]="X"), "X",IF(AND('Inserimento dati'!$B$3=$K$2, Tabella1[[#This Row],[GIO]]="X"), "X", IF(AND('Inserimento dati'!$B$3=$L$2, Tabella1[[#This Row],[VEN]]="X"), "X","")))))</f>
        <v/>
      </c>
      <c r="U76" s="146" t="str">
        <f t="shared" ref="U76:U102" ca="1" si="5">IFERROR(MID(G76,_xlfn.AGGREGATE(15,6,(ROW(INDIRECT("1:"&amp;LEN(G76)-7)))/(ISNUMBER(--MID(G76,ROW(INDIRECT("1:"&amp;LEN(G76)-7)),8))),1),8),"")</f>
        <v/>
      </c>
    </row>
    <row r="77" spans="1:21" ht="23.25" x14ac:dyDescent="0.25">
      <c r="A77" s="84"/>
      <c r="B77" s="84" t="str">
        <f t="shared" si="4"/>
        <v>X</v>
      </c>
      <c r="C77" s="84" t="str">
        <f>IF(OR(Tabella1[[#This Row],[LUN]]="X",Tabella1[[#This Row],[MAR]]="X",Tabella1[[#This Row],[MER]]="X",Tabella1[[#This Row],[GIO]]="X",Tabella1[[#This Row],[VEN]]="X",),"X","")</f>
        <v/>
      </c>
      <c r="D77" s="85" t="s">
        <v>147</v>
      </c>
      <c r="E77" s="81" t="s">
        <v>1177</v>
      </c>
      <c r="F77" s="81">
        <v>700</v>
      </c>
      <c r="G77" s="81" t="s">
        <v>1178</v>
      </c>
      <c r="H77" s="83"/>
      <c r="I77" s="83"/>
      <c r="J77" s="83"/>
      <c r="K77" s="83"/>
      <c r="L77" s="83"/>
      <c r="M77" s="81" t="s">
        <v>52</v>
      </c>
      <c r="N77" s="81"/>
      <c r="O77" s="85"/>
      <c r="P77" s="81"/>
      <c r="Q77" s="81" t="s">
        <v>1179</v>
      </c>
      <c r="R77" s="82"/>
      <c r="S77" s="82"/>
      <c r="T77" s="84" t="str">
        <f ca="1">IF(AND('Inserimento dati'!$B$3=$H$2, Tabella1[[#This Row],[LUN]]="X"), "X",IF(AND('Inserimento dati'!$B$3=$I$2, Tabella1[[#This Row],[MAR]]="X"), "X", IF(AND('Inserimento dati'!$B$3=$J$2, Tabella1[[#This Row],[MER]]="X"), "X",IF(AND('Inserimento dati'!$B$3=$K$2, Tabella1[[#This Row],[GIO]]="X"), "X", IF(AND('Inserimento dati'!$B$3=$L$2, Tabella1[[#This Row],[VEN]]="X"), "X","")))))</f>
        <v/>
      </c>
      <c r="U77" s="146" t="str">
        <f t="shared" ca="1" si="5"/>
        <v/>
      </c>
    </row>
    <row r="78" spans="1:21" ht="30" x14ac:dyDescent="0.25">
      <c r="A78" s="84"/>
      <c r="B78" s="84" t="str">
        <f t="shared" si="4"/>
        <v>X</v>
      </c>
      <c r="C78" s="84" t="str">
        <f>IF(OR(Tabella1[[#This Row],[LUN]]="X",Tabella1[[#This Row],[MAR]]="X",Tabella1[[#This Row],[MER]]="X",Tabella1[[#This Row],[GIO]]="X",Tabella1[[#This Row],[VEN]]="X",),"X","")</f>
        <v/>
      </c>
      <c r="D78" s="85" t="s">
        <v>147</v>
      </c>
      <c r="E78" s="81" t="s">
        <v>1180</v>
      </c>
      <c r="F78" s="81">
        <v>600</v>
      </c>
      <c r="G78" s="81" t="s">
        <v>1181</v>
      </c>
      <c r="H78" s="83"/>
      <c r="I78" s="83"/>
      <c r="J78" s="83"/>
      <c r="K78" s="83"/>
      <c r="L78" s="83"/>
      <c r="M78" s="81" t="s">
        <v>52</v>
      </c>
      <c r="N78" s="81"/>
      <c r="O78" s="85"/>
      <c r="P78" s="81"/>
      <c r="Q78" s="81" t="s">
        <v>1182</v>
      </c>
      <c r="R78" s="82"/>
      <c r="S78" s="82"/>
      <c r="T78" s="84" t="str">
        <f ca="1">IF(AND('Inserimento dati'!$B$3=$H$2, Tabella1[[#This Row],[LUN]]="X"), "X",IF(AND('Inserimento dati'!$B$3=$I$2, Tabella1[[#This Row],[MAR]]="X"), "X", IF(AND('Inserimento dati'!$B$3=$J$2, Tabella1[[#This Row],[MER]]="X"), "X",IF(AND('Inserimento dati'!$B$3=$K$2, Tabella1[[#This Row],[GIO]]="X"), "X", IF(AND('Inserimento dati'!$B$3=$L$2, Tabella1[[#This Row],[VEN]]="X"), "X","")))))</f>
        <v/>
      </c>
      <c r="U78" s="146" t="str">
        <f t="shared" ca="1" si="5"/>
        <v/>
      </c>
    </row>
    <row r="79" spans="1:21" ht="23.25" x14ac:dyDescent="0.25">
      <c r="A79" s="84"/>
      <c r="B79" s="84" t="str">
        <f t="shared" si="4"/>
        <v>X</v>
      </c>
      <c r="C79" s="84" t="str">
        <f>IF(OR(Tabella1[[#This Row],[LUN]]="X",Tabella1[[#This Row],[MAR]]="X",Tabella1[[#This Row],[MER]]="X",Tabella1[[#This Row],[GIO]]="X",Tabella1[[#This Row],[VEN]]="X",),"X","")</f>
        <v/>
      </c>
      <c r="D79" s="85" t="s">
        <v>147</v>
      </c>
      <c r="E79" s="81" t="s">
        <v>1183</v>
      </c>
      <c r="F79" s="81">
        <v>500</v>
      </c>
      <c r="G79" s="81" t="s">
        <v>1184</v>
      </c>
      <c r="H79" s="83"/>
      <c r="I79" s="83"/>
      <c r="J79" s="83"/>
      <c r="K79" s="83"/>
      <c r="L79" s="83"/>
      <c r="M79" s="82" t="s">
        <v>52</v>
      </c>
      <c r="N79" s="82"/>
      <c r="O79" s="103"/>
      <c r="P79" s="82"/>
      <c r="Q79" s="81" t="s">
        <v>1038</v>
      </c>
      <c r="R79" s="82">
        <v>45785</v>
      </c>
      <c r="S79" s="82" t="s">
        <v>20</v>
      </c>
      <c r="T79" s="135" t="str">
        <f ca="1">IF(AND('Inserimento dati'!$B$3=$H$2, Tabella1[[#This Row],[LUN]]="X"), "X",IF(AND('Inserimento dati'!$B$3=$I$2, Tabella1[[#This Row],[MAR]]="X"), "X", IF(AND('Inserimento dati'!$B$3=$J$2, Tabella1[[#This Row],[MER]]="X"), "X",IF(AND('Inserimento dati'!$B$3=$K$2, Tabella1[[#This Row],[GIO]]="X"), "X", IF(AND('Inserimento dati'!$B$3=$L$2, Tabella1[[#This Row],[VEN]]="X"), "X","")))))</f>
        <v/>
      </c>
      <c r="U79" s="146" t="str">
        <f t="shared" ca="1" si="5"/>
        <v/>
      </c>
    </row>
    <row r="80" spans="1:21" ht="30" x14ac:dyDescent="0.25">
      <c r="A80" s="84"/>
      <c r="B80" s="84" t="str">
        <f t="shared" si="4"/>
        <v>X</v>
      </c>
      <c r="C80" s="84" t="str">
        <f>IF(OR(Tabella1[[#This Row],[LUN]]="X",Tabella1[[#This Row],[MAR]]="X",Tabella1[[#This Row],[MER]]="X",Tabella1[[#This Row],[GIO]]="X",Tabella1[[#This Row],[VEN]]="X",),"X","")</f>
        <v/>
      </c>
      <c r="D80" s="85" t="s">
        <v>147</v>
      </c>
      <c r="E80" s="81" t="s">
        <v>1185</v>
      </c>
      <c r="F80" s="81">
        <v>1000</v>
      </c>
      <c r="G80" s="81" t="s">
        <v>1186</v>
      </c>
      <c r="H80" s="83"/>
      <c r="I80" s="83"/>
      <c r="J80" s="83"/>
      <c r="K80" s="83"/>
      <c r="L80" s="83"/>
      <c r="M80" s="82" t="s">
        <v>52</v>
      </c>
      <c r="N80" s="82"/>
      <c r="O80" s="103"/>
      <c r="P80" s="82"/>
      <c r="Q80" s="81"/>
      <c r="R80" s="82"/>
      <c r="S80" s="82" t="s">
        <v>1187</v>
      </c>
      <c r="T80" s="132" t="str">
        <f ca="1">IF(AND('Inserimento dati'!$B$3=$H$2, Tabella1[[#This Row],[LUN]]="X"), "X",IF(AND('Inserimento dati'!$B$3=$I$2, Tabella1[[#This Row],[MAR]]="X"), "X", IF(AND('Inserimento dati'!$B$3=$J$2, Tabella1[[#This Row],[MER]]="X"), "X",IF(AND('Inserimento dati'!$B$3=$K$2, Tabella1[[#This Row],[GIO]]="X"), "X", IF(AND('Inserimento dati'!$B$3=$L$2, Tabella1[[#This Row],[VEN]]="X"), "X","")))))</f>
        <v/>
      </c>
      <c r="U80" s="146" t="str">
        <f t="shared" ca="1" si="5"/>
        <v/>
      </c>
    </row>
    <row r="81" spans="1:21" ht="30" x14ac:dyDescent="0.25">
      <c r="A81" s="84"/>
      <c r="B81" s="84" t="str">
        <f t="shared" si="4"/>
        <v>X</v>
      </c>
      <c r="C81" s="84" t="str">
        <f>IF(OR(Tabella1[[#This Row],[LUN]]="X",Tabella1[[#This Row],[MAR]]="X",Tabella1[[#This Row],[MER]]="X",Tabella1[[#This Row],[GIO]]="X",Tabella1[[#This Row],[VEN]]="X",),"X","")</f>
        <v/>
      </c>
      <c r="D81" s="85" t="s">
        <v>147</v>
      </c>
      <c r="E81" s="81" t="s">
        <v>1188</v>
      </c>
      <c r="F81" s="81">
        <v>500</v>
      </c>
      <c r="G81" s="81" t="s">
        <v>1189</v>
      </c>
      <c r="H81" s="83"/>
      <c r="I81" s="83"/>
      <c r="J81" s="83"/>
      <c r="K81" s="83"/>
      <c r="L81" s="83"/>
      <c r="M81" s="82" t="s">
        <v>52</v>
      </c>
      <c r="N81" s="82"/>
      <c r="O81" s="103"/>
      <c r="P81" s="82"/>
      <c r="Q81" s="81" t="s">
        <v>1190</v>
      </c>
      <c r="R81" s="82"/>
      <c r="S81" s="82" t="s">
        <v>1191</v>
      </c>
      <c r="T81" s="132" t="str">
        <f ca="1">IF(AND('Inserimento dati'!$B$3=$H$2, Tabella1[[#This Row],[LUN]]="X"), "X",IF(AND('Inserimento dati'!$B$3=$I$2, Tabella1[[#This Row],[MAR]]="X"), "X", IF(AND('Inserimento dati'!$B$3=$J$2, Tabella1[[#This Row],[MER]]="X"), "X",IF(AND('Inserimento dati'!$B$3=$K$2, Tabella1[[#This Row],[GIO]]="X"), "X", IF(AND('Inserimento dati'!$B$3=$L$2, Tabella1[[#This Row],[VEN]]="X"), "X","")))))</f>
        <v/>
      </c>
      <c r="U81" s="146" t="str">
        <f t="shared" ca="1" si="5"/>
        <v/>
      </c>
    </row>
    <row r="82" spans="1:21" ht="23.25" x14ac:dyDescent="0.25">
      <c r="A82" s="84"/>
      <c r="B82" s="84" t="str">
        <f t="shared" si="4"/>
        <v>X</v>
      </c>
      <c r="C82" s="84" t="str">
        <f>IF(OR(Tabella1[[#This Row],[LUN]]="X",Tabella1[[#This Row],[MAR]]="X",Tabella1[[#This Row],[MER]]="X",Tabella1[[#This Row],[GIO]]="X",Tabella1[[#This Row],[VEN]]="X",),"X","")</f>
        <v/>
      </c>
      <c r="D82" s="85" t="s">
        <v>147</v>
      </c>
      <c r="E82" s="81" t="s">
        <v>1192</v>
      </c>
      <c r="F82" s="81">
        <v>500</v>
      </c>
      <c r="G82" s="81" t="s">
        <v>1193</v>
      </c>
      <c r="H82" s="83"/>
      <c r="I82" s="83"/>
      <c r="J82" s="83"/>
      <c r="K82" s="83"/>
      <c r="L82" s="83"/>
      <c r="M82" s="82" t="s">
        <v>52</v>
      </c>
      <c r="N82" s="82"/>
      <c r="O82" s="103"/>
      <c r="P82" s="82"/>
      <c r="Q82" s="81" t="s">
        <v>1194</v>
      </c>
      <c r="R82" s="82">
        <v>45791</v>
      </c>
      <c r="S82" s="82" t="s">
        <v>20</v>
      </c>
      <c r="T82" s="132" t="str">
        <f ca="1">IF(AND('Inserimento dati'!$B$3=$H$2, Tabella1[[#This Row],[LUN]]="X"), "X",IF(AND('Inserimento dati'!$B$3=$I$2, Tabella1[[#This Row],[MAR]]="X"), "X", IF(AND('Inserimento dati'!$B$3=$J$2, Tabella1[[#This Row],[MER]]="X"), "X",IF(AND('Inserimento dati'!$B$3=$K$2, Tabella1[[#This Row],[GIO]]="X"), "X", IF(AND('Inserimento dati'!$B$3=$L$2, Tabella1[[#This Row],[VEN]]="X"), "X","")))))</f>
        <v/>
      </c>
      <c r="U82" s="146" t="str">
        <f t="shared" ca="1" si="5"/>
        <v/>
      </c>
    </row>
    <row r="83" spans="1:21" ht="30" x14ac:dyDescent="0.25">
      <c r="A83" s="84"/>
      <c r="B83" s="84" t="str">
        <f t="shared" si="4"/>
        <v>X</v>
      </c>
      <c r="C83" s="84" t="str">
        <f>IF(OR(Tabella1[[#This Row],[LUN]]="X",Tabella1[[#This Row],[MAR]]="X",Tabella1[[#This Row],[MER]]="X",Tabella1[[#This Row],[GIO]]="X",Tabella1[[#This Row],[VEN]]="X",),"X","")</f>
        <v/>
      </c>
      <c r="D83" s="85" t="s">
        <v>147</v>
      </c>
      <c r="E83" s="81" t="s">
        <v>1195</v>
      </c>
      <c r="F83" s="81">
        <v>1000</v>
      </c>
      <c r="G83" s="81" t="s">
        <v>1196</v>
      </c>
      <c r="H83" s="83"/>
      <c r="I83" s="83"/>
      <c r="J83" s="83"/>
      <c r="K83" s="83"/>
      <c r="L83" s="83"/>
      <c r="M83" s="82" t="s">
        <v>52</v>
      </c>
      <c r="N83" s="82"/>
      <c r="O83" s="103"/>
      <c r="P83" s="82"/>
      <c r="Q83" s="81"/>
      <c r="R83" s="82"/>
      <c r="S83" s="82"/>
      <c r="T83" s="132" t="str">
        <f ca="1">IF(AND('Inserimento dati'!$B$3=$H$2, Tabella1[[#This Row],[LUN]]="X"), "X",IF(AND('Inserimento dati'!$B$3=$I$2, Tabella1[[#This Row],[MAR]]="X"), "X", IF(AND('Inserimento dati'!$B$3=$J$2, Tabella1[[#This Row],[MER]]="X"), "X",IF(AND('Inserimento dati'!$B$3=$K$2, Tabella1[[#This Row],[GIO]]="X"), "X", IF(AND('Inserimento dati'!$B$3=$L$2, Tabella1[[#This Row],[VEN]]="X"), "X","")))))</f>
        <v/>
      </c>
      <c r="U83" s="147" t="str">
        <f t="shared" ca="1" si="5"/>
        <v/>
      </c>
    </row>
    <row r="84" spans="1:21" ht="23.25" x14ac:dyDescent="0.25">
      <c r="A84" s="84"/>
      <c r="B84" s="84" t="str">
        <f t="shared" si="4"/>
        <v>X</v>
      </c>
      <c r="C84" s="84" t="str">
        <f>IF(OR(Tabella1[[#This Row],[LUN]]="X",Tabella1[[#This Row],[MAR]]="X",Tabella1[[#This Row],[MER]]="X",Tabella1[[#This Row],[GIO]]="X",Tabella1[[#This Row],[VEN]]="X",),"X","")</f>
        <v/>
      </c>
      <c r="D84" s="85" t="s">
        <v>147</v>
      </c>
      <c r="E84" s="81" t="s">
        <v>1197</v>
      </c>
      <c r="F84" s="81">
        <v>1000</v>
      </c>
      <c r="G84" s="81" t="s">
        <v>1198</v>
      </c>
      <c r="H84" s="83"/>
      <c r="I84" s="83"/>
      <c r="J84" s="83"/>
      <c r="K84" s="83"/>
      <c r="L84" s="83"/>
      <c r="M84" s="82" t="s">
        <v>52</v>
      </c>
      <c r="N84" s="82"/>
      <c r="O84" s="103"/>
      <c r="P84" s="82"/>
      <c r="Q84" s="81"/>
      <c r="R84" s="82"/>
      <c r="S84" s="82"/>
      <c r="T84" s="135" t="str">
        <f ca="1">IF(AND('Inserimento dati'!$B$3=$H$2, Tabella1[[#This Row],[LUN]]="X"), "X",IF(AND('Inserimento dati'!$B$3=$I$2, Tabella1[[#This Row],[MAR]]="X"), "X", IF(AND('Inserimento dati'!$B$3=$J$2, Tabella1[[#This Row],[MER]]="X"), "X",IF(AND('Inserimento dati'!$B$3=$K$2, Tabella1[[#This Row],[GIO]]="X"), "X", IF(AND('Inserimento dati'!$B$3=$L$2, Tabella1[[#This Row],[VEN]]="X"), "X","")))))</f>
        <v/>
      </c>
      <c r="U84" s="147" t="str">
        <f t="shared" ca="1" si="5"/>
        <v/>
      </c>
    </row>
    <row r="85" spans="1:21" ht="30" x14ac:dyDescent="0.25">
      <c r="A85" s="84"/>
      <c r="B85" s="84"/>
      <c r="C85" s="84" t="str">
        <f>IF(OR(Tabella1[[#This Row],[LUN]]="X",Tabella1[[#This Row],[MAR]]="X",Tabella1[[#This Row],[MER]]="X",Tabella1[[#This Row],[GIO]]="X",Tabella1[[#This Row],[VEN]]="X",),"X","")</f>
        <v/>
      </c>
      <c r="D85" s="85" t="s">
        <v>147</v>
      </c>
      <c r="E85" s="81" t="s">
        <v>1199</v>
      </c>
      <c r="F85" s="81">
        <v>500</v>
      </c>
      <c r="G85" s="81" t="s">
        <v>1200</v>
      </c>
      <c r="H85" s="83"/>
      <c r="I85" s="83"/>
      <c r="J85" s="83"/>
      <c r="K85" s="83"/>
      <c r="L85" s="83"/>
      <c r="M85" s="82" t="s">
        <v>52</v>
      </c>
      <c r="N85" s="82"/>
      <c r="O85" s="103"/>
      <c r="P85" s="82"/>
      <c r="Q85" s="81"/>
      <c r="R85" s="82">
        <v>45797</v>
      </c>
      <c r="S85" s="82" t="s">
        <v>20</v>
      </c>
      <c r="T85" s="135" t="str">
        <f ca="1">IF(AND('Inserimento dati'!$B$3=$H$2, Tabella1[[#This Row],[LUN]]="X"), "X",IF(AND('Inserimento dati'!$B$3=$I$2, Tabella1[[#This Row],[MAR]]="X"), "X", IF(AND('Inserimento dati'!$B$3=$J$2, Tabella1[[#This Row],[MER]]="X"), "X",IF(AND('Inserimento dati'!$B$3=$K$2, Tabella1[[#This Row],[GIO]]="X"), "X", IF(AND('Inserimento dati'!$B$3=$L$2, Tabella1[[#This Row],[VEN]]="X"), "X","")))))</f>
        <v/>
      </c>
      <c r="U85" s="146" t="str">
        <f t="shared" ca="1" si="5"/>
        <v/>
      </c>
    </row>
    <row r="86" spans="1:21" ht="30" x14ac:dyDescent="0.25">
      <c r="A86" s="84"/>
      <c r="B86" s="84"/>
      <c r="C86" s="84" t="str">
        <f>IF(OR(Tabella1[[#This Row],[LUN]]="X",Tabella1[[#This Row],[MAR]]="X",Tabella1[[#This Row],[MER]]="X",Tabella1[[#This Row],[GIO]]="X",Tabella1[[#This Row],[VEN]]="X",),"X","")</f>
        <v/>
      </c>
      <c r="D86" s="85" t="s">
        <v>147</v>
      </c>
      <c r="E86" s="81" t="s">
        <v>1201</v>
      </c>
      <c r="F86" s="81">
        <v>1000</v>
      </c>
      <c r="G86" s="81" t="s">
        <v>1202</v>
      </c>
      <c r="H86" s="83"/>
      <c r="I86" s="83"/>
      <c r="J86" s="83"/>
      <c r="K86" s="83"/>
      <c r="L86" s="83"/>
      <c r="M86" s="82" t="s">
        <v>52</v>
      </c>
      <c r="N86" s="82"/>
      <c r="O86" s="103"/>
      <c r="P86" s="82"/>
      <c r="Q86" s="81" t="s">
        <v>1203</v>
      </c>
      <c r="R86" s="82">
        <v>45797</v>
      </c>
      <c r="S86" s="82" t="s">
        <v>23</v>
      </c>
      <c r="T86" s="135" t="str">
        <f ca="1">IF(AND('Inserimento dati'!$B$3=$H$2, Tabella1[[#This Row],[LUN]]="X"), "X",IF(AND('Inserimento dati'!$B$3=$I$2, Tabella1[[#This Row],[MAR]]="X"), "X", IF(AND('Inserimento dati'!$B$3=$J$2, Tabella1[[#This Row],[MER]]="X"), "X",IF(AND('Inserimento dati'!$B$3=$K$2, Tabella1[[#This Row],[GIO]]="X"), "X", IF(AND('Inserimento dati'!$B$3=$L$2, Tabella1[[#This Row],[VEN]]="X"), "X","")))))</f>
        <v/>
      </c>
      <c r="U86" s="146" t="str">
        <f t="shared" ca="1" si="5"/>
        <v/>
      </c>
    </row>
    <row r="87" spans="1:21" ht="30" x14ac:dyDescent="0.25">
      <c r="A87" s="84"/>
      <c r="B87" s="84"/>
      <c r="C87" s="84" t="str">
        <f>IF(OR(Tabella1[[#This Row],[LUN]]="X",Tabella1[[#This Row],[MAR]]="X",Tabella1[[#This Row],[MER]]="X",Tabella1[[#This Row],[GIO]]="X",Tabella1[[#This Row],[VEN]]="X",),"X","")</f>
        <v/>
      </c>
      <c r="D87" s="85" t="s">
        <v>147</v>
      </c>
      <c r="E87" s="81" t="s">
        <v>1204</v>
      </c>
      <c r="F87" s="81">
        <v>500</v>
      </c>
      <c r="G87" s="81" t="s">
        <v>1205</v>
      </c>
      <c r="H87" s="83"/>
      <c r="I87" s="83"/>
      <c r="J87" s="83"/>
      <c r="K87" s="83"/>
      <c r="L87" s="83"/>
      <c r="M87" s="82" t="s">
        <v>52</v>
      </c>
      <c r="N87" s="82"/>
      <c r="O87" s="103"/>
      <c r="P87" s="82"/>
      <c r="Q87" s="81" t="s">
        <v>1206</v>
      </c>
      <c r="R87" s="82"/>
      <c r="S87" s="82"/>
      <c r="T87" s="132" t="str">
        <f ca="1">IF(AND('Inserimento dati'!$B$3=$H$2, Tabella1[[#This Row],[LUN]]="X"), "X",IF(AND('Inserimento dati'!$B$3=$I$2, Tabella1[[#This Row],[MAR]]="X"), "X", IF(AND('Inserimento dati'!$B$3=$J$2, Tabella1[[#This Row],[MER]]="X"), "X",IF(AND('Inserimento dati'!$B$3=$K$2, Tabella1[[#This Row],[GIO]]="X"), "X", IF(AND('Inserimento dati'!$B$3=$L$2, Tabella1[[#This Row],[VEN]]="X"), "X","")))))</f>
        <v/>
      </c>
      <c r="U87" s="148" t="str">
        <f t="shared" ca="1" si="5"/>
        <v/>
      </c>
    </row>
    <row r="88" spans="1:21" ht="23.25" x14ac:dyDescent="0.25">
      <c r="A88" s="84"/>
      <c r="B88" s="84"/>
      <c r="C88" s="84" t="str">
        <f>IF(OR(Tabella1[[#This Row],[LUN]]="X",Tabella1[[#This Row],[MAR]]="X",Tabella1[[#This Row],[MER]]="X",Tabella1[[#This Row],[GIO]]="X",Tabella1[[#This Row],[VEN]]="X",),"X","")</f>
        <v/>
      </c>
      <c r="D88" s="85" t="s">
        <v>147</v>
      </c>
      <c r="E88" s="81" t="s">
        <v>1207</v>
      </c>
      <c r="F88" s="81">
        <v>1000</v>
      </c>
      <c r="G88" s="81" t="s">
        <v>1208</v>
      </c>
      <c r="H88" s="83"/>
      <c r="I88" s="83"/>
      <c r="J88" s="83"/>
      <c r="K88" s="83"/>
      <c r="L88" s="83"/>
      <c r="M88" s="82" t="s">
        <v>52</v>
      </c>
      <c r="N88" s="82"/>
      <c r="O88" s="103"/>
      <c r="P88" s="82"/>
      <c r="Q88" s="81"/>
      <c r="R88" s="82"/>
      <c r="S88" s="82"/>
      <c r="T88" s="132" t="str">
        <f ca="1">IF(AND('Inserimento dati'!$B$3=$H$2, Tabella1[[#This Row],[LUN]]="X"), "X",IF(AND('Inserimento dati'!$B$3=$I$2, Tabella1[[#This Row],[MAR]]="X"), "X", IF(AND('Inserimento dati'!$B$3=$J$2, Tabella1[[#This Row],[MER]]="X"), "X",IF(AND('Inserimento dati'!$B$3=$K$2, Tabella1[[#This Row],[GIO]]="X"), "X", IF(AND('Inserimento dati'!$B$3=$L$2, Tabella1[[#This Row],[VEN]]="X"), "X","")))))</f>
        <v/>
      </c>
      <c r="U88" s="148" t="str">
        <f t="shared" ca="1" si="5"/>
        <v/>
      </c>
    </row>
    <row r="89" spans="1:21" ht="30" x14ac:dyDescent="0.25">
      <c r="A89" s="84"/>
      <c r="B89" s="84" t="str">
        <f>IF(OR(A89="x",A89="X"),"",IF(ISBLANK(A89),"X",""))</f>
        <v>X</v>
      </c>
      <c r="C89" s="84" t="str">
        <f>IF(OR(Tabella1[[#This Row],[LUN]]="X",Tabella1[[#This Row],[MAR]]="X",Tabella1[[#This Row],[MER]]="X",Tabella1[[#This Row],[GIO]]="X",Tabella1[[#This Row],[VEN]]="X",),"X","")</f>
        <v/>
      </c>
      <c r="D89" s="85" t="s">
        <v>147</v>
      </c>
      <c r="E89" s="81" t="s">
        <v>1209</v>
      </c>
      <c r="F89" s="81">
        <v>500</v>
      </c>
      <c r="G89" s="81" t="s">
        <v>1210</v>
      </c>
      <c r="H89" s="83"/>
      <c r="I89" s="83"/>
      <c r="J89" s="83"/>
      <c r="K89" s="83"/>
      <c r="L89" s="83"/>
      <c r="M89" s="82" t="s">
        <v>52</v>
      </c>
      <c r="N89" s="82"/>
      <c r="O89" s="103"/>
      <c r="P89" s="82"/>
      <c r="Q89" s="81"/>
      <c r="R89" s="82">
        <v>45812</v>
      </c>
      <c r="S89" s="82" t="s">
        <v>1211</v>
      </c>
      <c r="T89" s="132" t="str">
        <f ca="1">IF(AND('Inserimento dati'!$B$3=$H$2, Tabella1[[#This Row],[LUN]]="X"), "X",IF(AND('Inserimento dati'!$B$3=$I$2, Tabella1[[#This Row],[MAR]]="X"), "X", IF(AND('Inserimento dati'!$B$3=$J$2, Tabella1[[#This Row],[MER]]="X"), "X",IF(AND('Inserimento dati'!$B$3=$K$2, Tabella1[[#This Row],[GIO]]="X"), "X", IF(AND('Inserimento dati'!$B$3=$L$2, Tabella1[[#This Row],[VEN]]="X"), "X","")))))</f>
        <v/>
      </c>
      <c r="U89" s="148" t="str">
        <f t="shared" ca="1" si="5"/>
        <v/>
      </c>
    </row>
    <row r="90" spans="1:21" ht="45" x14ac:dyDescent="0.25">
      <c r="A90" s="84"/>
      <c r="B90" s="84"/>
      <c r="C90" s="84" t="str">
        <f>IF(OR(Tabella1[[#This Row],[LUN]]="X",Tabella1[[#This Row],[MAR]]="X",Tabella1[[#This Row],[MER]]="X",Tabella1[[#This Row],[GIO]]="X",Tabella1[[#This Row],[VEN]]="X",),"X","")</f>
        <v/>
      </c>
      <c r="D90" s="85" t="s">
        <v>147</v>
      </c>
      <c r="E90" s="81" t="s">
        <v>1212</v>
      </c>
      <c r="F90" s="81">
        <v>500</v>
      </c>
      <c r="G90" s="81" t="s">
        <v>1213</v>
      </c>
      <c r="H90" s="83"/>
      <c r="I90" s="83"/>
      <c r="J90" s="83"/>
      <c r="K90" s="83"/>
      <c r="L90" s="83"/>
      <c r="M90" s="82" t="s">
        <v>52</v>
      </c>
      <c r="N90" s="82"/>
      <c r="O90" s="103"/>
      <c r="P90" s="82"/>
      <c r="Q90" s="81" t="s">
        <v>1214</v>
      </c>
      <c r="R90" s="82">
        <v>45797</v>
      </c>
      <c r="S90" s="82" t="s">
        <v>20</v>
      </c>
      <c r="T90" s="135" t="str">
        <f ca="1">IF(AND('Inserimento dati'!$B$3=$H$2, Tabella1[[#This Row],[LUN]]="X"), "X",IF(AND('Inserimento dati'!$B$3=$I$2, Tabella1[[#This Row],[MAR]]="X"), "X", IF(AND('Inserimento dati'!$B$3=$J$2, Tabella1[[#This Row],[MER]]="X"), "X",IF(AND('Inserimento dati'!$B$3=$K$2, Tabella1[[#This Row],[GIO]]="X"), "X", IF(AND('Inserimento dati'!$B$3=$L$2, Tabella1[[#This Row],[VEN]]="X"), "X","")))))</f>
        <v/>
      </c>
      <c r="U90" s="146" t="str">
        <f t="shared" ca="1" si="5"/>
        <v/>
      </c>
    </row>
    <row r="91" spans="1:21" ht="23.25" x14ac:dyDescent="0.25">
      <c r="A91" s="84"/>
      <c r="B91" s="84" t="str">
        <f>IF(OR(A91="x",A91="X"),"",IF(ISBLANK(A91),"X",""))</f>
        <v>X</v>
      </c>
      <c r="C91" s="84" t="str">
        <f>IF(OR(Tabella1[[#This Row],[LUN]]="X",Tabella1[[#This Row],[MAR]]="X",Tabella1[[#This Row],[MER]]="X",Tabella1[[#This Row],[GIO]]="X",Tabella1[[#This Row],[VEN]]="X",),"X","")</f>
        <v/>
      </c>
      <c r="D91" s="85" t="s">
        <v>147</v>
      </c>
      <c r="E91" s="81" t="s">
        <v>1215</v>
      </c>
      <c r="F91" s="81">
        <v>500</v>
      </c>
      <c r="G91" s="81" t="s">
        <v>1216</v>
      </c>
      <c r="H91" s="83"/>
      <c r="I91" s="83"/>
      <c r="J91" s="83"/>
      <c r="K91" s="83"/>
      <c r="L91" s="83"/>
      <c r="M91" s="82" t="s">
        <v>52</v>
      </c>
      <c r="N91" s="82"/>
      <c r="O91" s="103"/>
      <c r="P91" s="82"/>
      <c r="Q91" s="81"/>
      <c r="R91" s="82">
        <v>45812</v>
      </c>
      <c r="S91" s="82" t="s">
        <v>45</v>
      </c>
      <c r="T91" s="132" t="str">
        <f ca="1">IF(AND('Inserimento dati'!$B$3=$H$2, Tabella1[[#This Row],[LUN]]="X"), "X",IF(AND('Inserimento dati'!$B$3=$I$2, Tabella1[[#This Row],[MAR]]="X"), "X", IF(AND('Inserimento dati'!$B$3=$J$2, Tabella1[[#This Row],[MER]]="X"), "X",IF(AND('Inserimento dati'!$B$3=$K$2, Tabella1[[#This Row],[GIO]]="X"), "X", IF(AND('Inserimento dati'!$B$3=$L$2, Tabella1[[#This Row],[VEN]]="X"), "X","")))))</f>
        <v/>
      </c>
      <c r="U91" s="145" t="str">
        <f t="shared" ca="1" si="5"/>
        <v/>
      </c>
    </row>
    <row r="92" spans="1:21" ht="23.25" x14ac:dyDescent="0.25">
      <c r="A92" s="84"/>
      <c r="B92" s="84" t="str">
        <f>IF(OR(A92="x",A92="X"),"",IF(ISBLANK(A92),"X",""))</f>
        <v>X</v>
      </c>
      <c r="C92" s="84" t="str">
        <f>IF(OR(Tabella1[[#This Row],[LUN]]="X",Tabella1[[#This Row],[MAR]]="X",Tabella1[[#This Row],[MER]]="X",Tabella1[[#This Row],[GIO]]="X",Tabella1[[#This Row],[VEN]]="X",),"X","")</f>
        <v/>
      </c>
      <c r="D92" s="85" t="s">
        <v>147</v>
      </c>
      <c r="E92" s="81" t="s">
        <v>1217</v>
      </c>
      <c r="F92" s="81">
        <v>500</v>
      </c>
      <c r="G92" s="81" t="s">
        <v>1218</v>
      </c>
      <c r="H92" s="83"/>
      <c r="I92" s="83"/>
      <c r="J92" s="83"/>
      <c r="K92" s="83"/>
      <c r="L92" s="83"/>
      <c r="M92" s="142" t="s">
        <v>52</v>
      </c>
      <c r="N92" s="82"/>
      <c r="O92" s="103"/>
      <c r="P92" s="82"/>
      <c r="Q92" s="81" t="s">
        <v>427</v>
      </c>
      <c r="R92" s="82">
        <v>45817</v>
      </c>
      <c r="S92" s="82" t="s">
        <v>23</v>
      </c>
      <c r="T92" s="132" t="str">
        <f ca="1">IF(AND('Inserimento dati'!$B$3=$H$2, Tabella1[[#This Row],[LUN]]="X"), "X",IF(AND('Inserimento dati'!$B$3=$I$2, Tabella1[[#This Row],[MAR]]="X"), "X", IF(AND('Inserimento dati'!$B$3=$J$2, Tabella1[[#This Row],[MER]]="X"), "X",IF(AND('Inserimento dati'!$B$3=$K$2, Tabella1[[#This Row],[GIO]]="X"), "X", IF(AND('Inserimento dati'!$B$3=$L$2, Tabella1[[#This Row],[VEN]]="X"), "X","")))))</f>
        <v/>
      </c>
      <c r="U92" s="145" t="str">
        <f t="shared" ca="1" si="5"/>
        <v/>
      </c>
    </row>
    <row r="93" spans="1:21" ht="30" x14ac:dyDescent="0.25">
      <c r="A93" s="84"/>
      <c r="B93" s="84"/>
      <c r="C93" s="84" t="str">
        <f>IF(OR(Tabella1[[#This Row],[LUN]]="X",Tabella1[[#This Row],[MAR]]="X",Tabella1[[#This Row],[MER]]="X",Tabella1[[#This Row],[GIO]]="X",Tabella1[[#This Row],[VEN]]="X",),"X","")</f>
        <v/>
      </c>
      <c r="D93" s="85" t="s">
        <v>147</v>
      </c>
      <c r="E93" s="81" t="s">
        <v>1219</v>
      </c>
      <c r="F93" s="81">
        <v>600</v>
      </c>
      <c r="G93" s="81" t="s">
        <v>1220</v>
      </c>
      <c r="H93" s="83"/>
      <c r="I93" s="83"/>
      <c r="J93" s="83"/>
      <c r="K93" s="83"/>
      <c r="L93" s="83"/>
      <c r="M93" s="82" t="s">
        <v>52</v>
      </c>
      <c r="N93" s="82"/>
      <c r="O93" s="103"/>
      <c r="P93" s="82"/>
      <c r="Q93" s="81"/>
      <c r="R93" s="82"/>
      <c r="S93" s="82"/>
      <c r="T93" s="132" t="str">
        <f ca="1">IF(AND('Inserimento dati'!$B$3=$H$2, Tabella1[[#This Row],[LUN]]="X"), "X",IF(AND('Inserimento dati'!$B$3=$I$2, Tabella1[[#This Row],[MAR]]="X"), "X", IF(AND('Inserimento dati'!$B$3=$J$2, Tabella1[[#This Row],[MER]]="X"), "X",IF(AND('Inserimento dati'!$B$3=$K$2, Tabella1[[#This Row],[GIO]]="X"), "X", IF(AND('Inserimento dati'!$B$3=$L$2, Tabella1[[#This Row],[VEN]]="X"), "X","")))))</f>
        <v/>
      </c>
      <c r="U93" s="145" t="str">
        <f t="shared" ca="1" si="5"/>
        <v/>
      </c>
    </row>
    <row r="94" spans="1:21" ht="30" x14ac:dyDescent="0.25">
      <c r="A94" s="84"/>
      <c r="B94" s="84" t="str">
        <f>IF(OR(A94="x",A94="X"),"",IF(ISBLANK(A94),"X",""))</f>
        <v>X</v>
      </c>
      <c r="C94" s="84" t="str">
        <f>IF(OR(Tabella1[[#This Row],[LUN]]="X",Tabella1[[#This Row],[MAR]]="X",Tabella1[[#This Row],[MER]]="X",Tabella1[[#This Row],[GIO]]="X",Tabella1[[#This Row],[VEN]]="X",),"X","")</f>
        <v/>
      </c>
      <c r="D94" s="85" t="s">
        <v>147</v>
      </c>
      <c r="E94" s="81" t="s">
        <v>1221</v>
      </c>
      <c r="F94" s="81">
        <v>500</v>
      </c>
      <c r="G94" s="81" t="s">
        <v>1222</v>
      </c>
      <c r="H94" s="83"/>
      <c r="I94" s="83"/>
      <c r="J94" s="83"/>
      <c r="K94" s="83"/>
      <c r="L94" s="83"/>
      <c r="M94" s="142" t="s">
        <v>52</v>
      </c>
      <c r="N94" s="82"/>
      <c r="O94" s="103"/>
      <c r="P94" s="82"/>
      <c r="Q94" s="81"/>
      <c r="R94" s="82">
        <v>45817</v>
      </c>
      <c r="S94" s="82" t="s">
        <v>20</v>
      </c>
      <c r="T94" s="132" t="str">
        <f ca="1">IF(AND('Inserimento dati'!$B$3=$H$2, Tabella1[[#This Row],[LUN]]="X"), "X",IF(AND('Inserimento dati'!$B$3=$I$2, Tabella1[[#This Row],[MAR]]="X"), "X", IF(AND('Inserimento dati'!$B$3=$J$2, Tabella1[[#This Row],[MER]]="X"), "X",IF(AND('Inserimento dati'!$B$3=$K$2, Tabella1[[#This Row],[GIO]]="X"), "X", IF(AND('Inserimento dati'!$B$3=$L$2, Tabella1[[#This Row],[VEN]]="X"), "X","")))))</f>
        <v/>
      </c>
      <c r="U94" s="145" t="str">
        <f t="shared" ca="1" si="5"/>
        <v/>
      </c>
    </row>
    <row r="95" spans="1:21" ht="45" x14ac:dyDescent="0.25">
      <c r="A95" s="84"/>
      <c r="B95" s="84"/>
      <c r="C95" s="84" t="str">
        <f>IF(OR(Tabella1[[#This Row],[LUN]]="X",Tabella1[[#This Row],[MAR]]="X",Tabella1[[#This Row],[MER]]="X",Tabella1[[#This Row],[GIO]]="X",Tabella1[[#This Row],[VEN]]="X",),"X","")</f>
        <v/>
      </c>
      <c r="D95" s="85" t="s">
        <v>147</v>
      </c>
      <c r="E95" s="81" t="s">
        <v>1223</v>
      </c>
      <c r="F95" s="81">
        <v>500</v>
      </c>
      <c r="G95" s="81" t="s">
        <v>1224</v>
      </c>
      <c r="H95" s="83"/>
      <c r="I95" s="83"/>
      <c r="J95" s="83"/>
      <c r="K95" s="83"/>
      <c r="L95" s="83"/>
      <c r="M95" s="142" t="s">
        <v>52</v>
      </c>
      <c r="N95" s="82"/>
      <c r="O95" s="103"/>
      <c r="P95" s="82"/>
      <c r="Q95" s="81" t="s">
        <v>1225</v>
      </c>
      <c r="R95" s="82">
        <v>45824</v>
      </c>
      <c r="S95" s="82" t="s">
        <v>227</v>
      </c>
      <c r="T95" s="132" t="str">
        <f ca="1">IF(AND('Inserimento dati'!$B$3=$H$2, Tabella1[[#This Row],[LUN]]="X"), "X",IF(AND('Inserimento dati'!$B$3=$I$2, Tabella1[[#This Row],[MAR]]="X"), "X", IF(AND('Inserimento dati'!$B$3=$J$2, Tabella1[[#This Row],[MER]]="X"), "X",IF(AND('Inserimento dati'!$B$3=$K$2, Tabella1[[#This Row],[GIO]]="X"), "X", IF(AND('Inserimento dati'!$B$3=$L$2, Tabella1[[#This Row],[VEN]]="X"), "X","")))))</f>
        <v/>
      </c>
      <c r="U95" s="145" t="str">
        <f t="shared" ca="1" si="5"/>
        <v/>
      </c>
    </row>
    <row r="96" spans="1:21" ht="45" x14ac:dyDescent="0.25">
      <c r="A96" s="84"/>
      <c r="B96" s="84"/>
      <c r="C96" s="84" t="str">
        <f>IF(OR(Tabella1[[#This Row],[LUN]]="X",Tabella1[[#This Row],[MAR]]="X",Tabella1[[#This Row],[MER]]="X",Tabella1[[#This Row],[GIO]]="X",Tabella1[[#This Row],[VEN]]="X",),"X","")</f>
        <v/>
      </c>
      <c r="D96" s="85" t="s">
        <v>147</v>
      </c>
      <c r="E96" s="81" t="s">
        <v>1226</v>
      </c>
      <c r="F96" s="81">
        <v>1000</v>
      </c>
      <c r="G96" s="81" t="s">
        <v>1227</v>
      </c>
      <c r="H96" s="83"/>
      <c r="I96" s="83"/>
      <c r="J96" s="83"/>
      <c r="K96" s="83"/>
      <c r="L96" s="83"/>
      <c r="M96" s="142" t="s">
        <v>52</v>
      </c>
      <c r="N96" s="82"/>
      <c r="O96" s="103"/>
      <c r="P96" s="82"/>
      <c r="Q96" s="81" t="s">
        <v>1228</v>
      </c>
      <c r="R96" s="82">
        <v>45825</v>
      </c>
      <c r="S96" s="82" t="s">
        <v>9</v>
      </c>
      <c r="T96" s="132" t="str">
        <f ca="1">IF(AND('Inserimento dati'!$B$3=$H$2, Tabella1[[#This Row],[LUN]]="X"), "X",IF(AND('Inserimento dati'!$B$3=$I$2, Tabella1[[#This Row],[MAR]]="X"), "X", IF(AND('Inserimento dati'!$B$3=$J$2, Tabella1[[#This Row],[MER]]="X"), "X",IF(AND('Inserimento dati'!$B$3=$K$2, Tabella1[[#This Row],[GIO]]="X"), "X", IF(AND('Inserimento dati'!$B$3=$L$2, Tabella1[[#This Row],[VEN]]="X"), "X","")))))</f>
        <v/>
      </c>
      <c r="U96" s="149" t="str">
        <f t="shared" ca="1" si="5"/>
        <v/>
      </c>
    </row>
    <row r="97" spans="1:21" ht="45" x14ac:dyDescent="0.25">
      <c r="A97" s="84"/>
      <c r="B97" s="84"/>
      <c r="C97" s="84" t="str">
        <f>IF(OR(Tabella1[[#This Row],[LUN]]="X",Tabella1[[#This Row],[MAR]]="X",Tabella1[[#This Row],[MER]]="X",Tabella1[[#This Row],[GIO]]="X",Tabella1[[#This Row],[VEN]]="X",),"X","")</f>
        <v/>
      </c>
      <c r="D97" s="85" t="s">
        <v>147</v>
      </c>
      <c r="E97" s="81" t="s">
        <v>1229</v>
      </c>
      <c r="F97" s="81">
        <v>1000</v>
      </c>
      <c r="G97" s="81" t="s">
        <v>1230</v>
      </c>
      <c r="H97" s="83"/>
      <c r="I97" s="83"/>
      <c r="J97" s="83"/>
      <c r="K97" s="83"/>
      <c r="L97" s="83"/>
      <c r="M97" s="142" t="s">
        <v>52</v>
      </c>
      <c r="N97" s="82"/>
      <c r="O97" s="103"/>
      <c r="P97" s="82"/>
      <c r="Q97" s="81" t="s">
        <v>1231</v>
      </c>
      <c r="R97" s="82">
        <v>45825</v>
      </c>
      <c r="S97" s="82" t="s">
        <v>23</v>
      </c>
      <c r="T97" s="132" t="str">
        <f ca="1">IF(AND('Inserimento dati'!$B$3=$H$2, Tabella1[[#This Row],[LUN]]="X"), "X",IF(AND('Inserimento dati'!$B$3=$I$2, Tabella1[[#This Row],[MAR]]="X"), "X", IF(AND('Inserimento dati'!$B$3=$J$2, Tabella1[[#This Row],[MER]]="X"), "X",IF(AND('Inserimento dati'!$B$3=$K$2, Tabella1[[#This Row],[GIO]]="X"), "X", IF(AND('Inserimento dati'!$B$3=$L$2, Tabella1[[#This Row],[VEN]]="X"), "X","")))))</f>
        <v/>
      </c>
      <c r="U97" s="149" t="str">
        <f t="shared" ca="1" si="5"/>
        <v/>
      </c>
    </row>
    <row r="98" spans="1:21" ht="45" x14ac:dyDescent="0.25">
      <c r="A98" s="84"/>
      <c r="B98" s="84"/>
      <c r="C98" s="84" t="str">
        <f>IF(OR(Tabella1[[#This Row],[LUN]]="X",Tabella1[[#This Row],[MAR]]="X",Tabella1[[#This Row],[MER]]="X",Tabella1[[#This Row],[GIO]]="X",Tabella1[[#This Row],[VEN]]="X",),"X","")</f>
        <v/>
      </c>
      <c r="D98" s="85" t="s">
        <v>147</v>
      </c>
      <c r="E98" s="81" t="s">
        <v>1232</v>
      </c>
      <c r="F98" s="81">
        <v>500</v>
      </c>
      <c r="G98" s="81" t="s">
        <v>1233</v>
      </c>
      <c r="H98" s="83"/>
      <c r="I98" s="83"/>
      <c r="J98" s="83"/>
      <c r="K98" s="83"/>
      <c r="L98" s="83"/>
      <c r="M98" s="142" t="s">
        <v>52</v>
      </c>
      <c r="N98" s="82"/>
      <c r="O98" s="103"/>
      <c r="P98" s="82"/>
      <c r="Q98" s="81" t="s">
        <v>1234</v>
      </c>
      <c r="R98" s="82">
        <v>45832</v>
      </c>
      <c r="S98" s="82" t="s">
        <v>1235</v>
      </c>
      <c r="T98" s="132" t="str">
        <f ca="1">IF(AND('Inserimento dati'!$B$3=$H$2, Tabella1[[#This Row],[LUN]]="X"), "X",IF(AND('Inserimento dati'!$B$3=$I$2, Tabella1[[#This Row],[MAR]]="X"), "X", IF(AND('Inserimento dati'!$B$3=$J$2, Tabella1[[#This Row],[MER]]="X"), "X",IF(AND('Inserimento dati'!$B$3=$K$2, Tabella1[[#This Row],[GIO]]="X"), "X", IF(AND('Inserimento dati'!$B$3=$L$2, Tabella1[[#This Row],[VEN]]="X"), "X","")))))</f>
        <v/>
      </c>
      <c r="U98" s="149" t="str">
        <f t="shared" ca="1" si="5"/>
        <v/>
      </c>
    </row>
    <row r="99" spans="1:21" ht="30" x14ac:dyDescent="0.25">
      <c r="A99" s="84"/>
      <c r="B99" s="84" t="str">
        <f>IF(OR(A99="x",A99="X"),"",IF(ISBLANK(A99),"X",""))</f>
        <v>X</v>
      </c>
      <c r="C99" s="84" t="str">
        <f>IF(OR(Tabella1[[#This Row],[LUN]]="X",Tabella1[[#This Row],[MAR]]="X",Tabella1[[#This Row],[MER]]="X",Tabella1[[#This Row],[GIO]]="X",Tabella1[[#This Row],[VEN]]="X",),"X","")</f>
        <v/>
      </c>
      <c r="D99" s="85" t="s">
        <v>147</v>
      </c>
      <c r="E99" s="81" t="s">
        <v>1236</v>
      </c>
      <c r="F99" s="81">
        <v>600</v>
      </c>
      <c r="G99" s="81" t="s">
        <v>1237</v>
      </c>
      <c r="H99" s="83"/>
      <c r="I99" s="83"/>
      <c r="J99" s="83"/>
      <c r="K99" s="83"/>
      <c r="L99" s="83"/>
      <c r="M99" s="82" t="s">
        <v>52</v>
      </c>
      <c r="N99" s="82"/>
      <c r="O99" s="103"/>
      <c r="P99" s="82"/>
      <c r="Q99" s="81" t="s">
        <v>1238</v>
      </c>
      <c r="R99" s="82">
        <v>45832</v>
      </c>
      <c r="S99" s="82" t="s">
        <v>1235</v>
      </c>
      <c r="T99" s="132" t="str">
        <f ca="1">IF(AND('Inserimento dati'!$B$3=$H$2, Tabella1[[#This Row],[LUN]]="X"), "X",IF(AND('Inserimento dati'!$B$3=$I$2, Tabella1[[#This Row],[MAR]]="X"), "X", IF(AND('Inserimento dati'!$B$3=$J$2, Tabella1[[#This Row],[MER]]="X"), "X",IF(AND('Inserimento dati'!$B$3=$K$2, Tabella1[[#This Row],[GIO]]="X"), "X", IF(AND('Inserimento dati'!$B$3=$L$2, Tabella1[[#This Row],[VEN]]="X"), "X","")))))</f>
        <v/>
      </c>
      <c r="U99" s="146" t="str">
        <f t="shared" ca="1" si="5"/>
        <v/>
      </c>
    </row>
    <row r="100" spans="1:21" ht="45" x14ac:dyDescent="0.25">
      <c r="A100" s="84"/>
      <c r="B100" s="84"/>
      <c r="C100" s="84" t="str">
        <f>IF(OR(Tabella1[[#This Row],[LUN]]="X",Tabella1[[#This Row],[MAR]]="X",Tabella1[[#This Row],[MER]]="X",Tabella1[[#This Row],[GIO]]="X",Tabella1[[#This Row],[VEN]]="X",),"X","")</f>
        <v/>
      </c>
      <c r="D100" s="85" t="s">
        <v>147</v>
      </c>
      <c r="E100" s="81" t="s">
        <v>1239</v>
      </c>
      <c r="F100" s="81">
        <v>500</v>
      </c>
      <c r="G100" s="81" t="s">
        <v>1240</v>
      </c>
      <c r="H100" s="83"/>
      <c r="I100" s="83"/>
      <c r="J100" s="83"/>
      <c r="K100" s="83"/>
      <c r="L100" s="83"/>
      <c r="M100" s="142" t="s">
        <v>52</v>
      </c>
      <c r="N100" s="82"/>
      <c r="O100" s="103"/>
      <c r="P100" s="82"/>
      <c r="Q100" s="81" t="s">
        <v>1241</v>
      </c>
      <c r="R100" s="82">
        <v>45820</v>
      </c>
      <c r="S100" s="82" t="s">
        <v>652</v>
      </c>
      <c r="T100" s="132" t="str">
        <f ca="1">IF(AND('Inserimento dati'!$B$3=$H$2, Tabella1[[#This Row],[LUN]]="X"), "X",IF(AND('Inserimento dati'!$B$3=$I$2, Tabella1[[#This Row],[MAR]]="X"), "X", IF(AND('Inserimento dati'!$B$3=$J$2, Tabella1[[#This Row],[MER]]="X"), "X",IF(AND('Inserimento dati'!$B$3=$K$2, Tabella1[[#This Row],[GIO]]="X"), "X", IF(AND('Inserimento dati'!$B$3=$L$2, Tabella1[[#This Row],[VEN]]="X"), "X","")))))</f>
        <v/>
      </c>
      <c r="U100" s="145" t="str">
        <f t="shared" ca="1" si="5"/>
        <v/>
      </c>
    </row>
    <row r="101" spans="1:21" ht="30" x14ac:dyDescent="0.25">
      <c r="A101" s="84"/>
      <c r="B101" s="84"/>
      <c r="C101" s="84" t="str">
        <f>IF(OR(Tabella1[[#This Row],[LUN]]="X",Tabella1[[#This Row],[MAR]]="X",Tabella1[[#This Row],[MER]]="X",Tabella1[[#This Row],[GIO]]="X",Tabella1[[#This Row],[VEN]]="X",),"X","")</f>
        <v/>
      </c>
      <c r="D101" s="85" t="s">
        <v>147</v>
      </c>
      <c r="E101" s="81" t="s">
        <v>1242</v>
      </c>
      <c r="F101" s="81">
        <v>600</v>
      </c>
      <c r="G101" s="81" t="s">
        <v>1243</v>
      </c>
      <c r="H101" s="83"/>
      <c r="I101" s="83"/>
      <c r="J101" s="83"/>
      <c r="K101" s="83"/>
      <c r="L101" s="83"/>
      <c r="M101" s="142" t="s">
        <v>52</v>
      </c>
      <c r="N101" s="82"/>
      <c r="O101" s="103"/>
      <c r="P101" s="82"/>
      <c r="Q101" s="81" t="s">
        <v>1244</v>
      </c>
      <c r="R101" s="82">
        <v>45839</v>
      </c>
      <c r="S101" s="82" t="s">
        <v>20</v>
      </c>
      <c r="T101" s="132" t="str">
        <f ca="1">IF(AND('Inserimento dati'!$B$3=$H$2, Tabella1[[#This Row],[LUN]]="X"), "X",IF(AND('Inserimento dati'!$B$3=$I$2, Tabella1[[#This Row],[MAR]]="X"), "X", IF(AND('Inserimento dati'!$B$3=$J$2, Tabella1[[#This Row],[MER]]="X"), "X",IF(AND('Inserimento dati'!$B$3=$K$2, Tabella1[[#This Row],[GIO]]="X"), "X", IF(AND('Inserimento dati'!$B$3=$L$2, Tabella1[[#This Row],[VEN]]="X"), "X","")))))</f>
        <v/>
      </c>
      <c r="U101" s="149" t="str">
        <f t="shared" ca="1" si="5"/>
        <v/>
      </c>
    </row>
    <row r="102" spans="1:21" ht="30" x14ac:dyDescent="0.25">
      <c r="A102" s="84"/>
      <c r="B102" s="84"/>
      <c r="C102" s="84" t="str">
        <f>IF(OR(Tabella1[[#This Row],[LUN]]="X",Tabella1[[#This Row],[MAR]]="X",Tabella1[[#This Row],[MER]]="X",Tabella1[[#This Row],[GIO]]="X",Tabella1[[#This Row],[VEN]]="X",),"X","")</f>
        <v/>
      </c>
      <c r="D102" s="85" t="s">
        <v>147</v>
      </c>
      <c r="E102" s="81" t="s">
        <v>1245</v>
      </c>
      <c r="F102" s="81">
        <v>600</v>
      </c>
      <c r="G102" s="81" t="s">
        <v>1246</v>
      </c>
      <c r="H102" s="83"/>
      <c r="I102" s="83"/>
      <c r="J102" s="83"/>
      <c r="K102" s="83"/>
      <c r="L102" s="83"/>
      <c r="M102" s="142" t="s">
        <v>52</v>
      </c>
      <c r="N102" s="82"/>
      <c r="O102" s="103"/>
      <c r="P102" s="82"/>
      <c r="Q102" s="81" t="s">
        <v>1033</v>
      </c>
      <c r="R102" s="82">
        <v>45839</v>
      </c>
      <c r="S102" s="82" t="s">
        <v>20</v>
      </c>
      <c r="T102" s="132" t="str">
        <f ca="1">IF(AND('Inserimento dati'!$B$3=$H$2, Tabella1[[#This Row],[LUN]]="X"), "X",IF(AND('Inserimento dati'!$B$3=$I$2, Tabella1[[#This Row],[MAR]]="X"), "X", IF(AND('Inserimento dati'!$B$3=$J$2, Tabella1[[#This Row],[MER]]="X"), "X",IF(AND('Inserimento dati'!$B$3=$K$2, Tabella1[[#This Row],[GIO]]="X"), "X", IF(AND('Inserimento dati'!$B$3=$L$2, Tabella1[[#This Row],[VEN]]="X"), "X","")))))</f>
        <v/>
      </c>
      <c r="U102" s="149" t="str">
        <f t="shared" ca="1" si="5"/>
        <v/>
      </c>
    </row>
    <row r="103" spans="1:21" ht="30" x14ac:dyDescent="0.25">
      <c r="A103" s="84"/>
      <c r="B103" s="84"/>
      <c r="C103" s="84" t="str">
        <f>IF(OR(Tabella1[[#This Row],[LUN]]="X",Tabella1[[#This Row],[MAR]]="X",Tabella1[[#This Row],[MER]]="X",Tabella1[[#This Row],[GIO]]="X",Tabella1[[#This Row],[VEN]]="X",),"X","")</f>
        <v/>
      </c>
      <c r="D103" s="85" t="s">
        <v>147</v>
      </c>
      <c r="E103" s="81" t="s">
        <v>1247</v>
      </c>
      <c r="F103" s="81">
        <v>500</v>
      </c>
      <c r="G103" s="81" t="s">
        <v>1248</v>
      </c>
      <c r="H103" s="83"/>
      <c r="I103" s="83"/>
      <c r="J103" s="83"/>
      <c r="K103" s="83"/>
      <c r="L103" s="83"/>
      <c r="M103" s="142" t="s">
        <v>52</v>
      </c>
      <c r="N103" s="82"/>
      <c r="O103" s="103"/>
      <c r="P103" s="82"/>
      <c r="Q103" s="81" t="s">
        <v>1249</v>
      </c>
      <c r="R103" s="82">
        <v>45847</v>
      </c>
      <c r="S103" s="82" t="s">
        <v>11</v>
      </c>
      <c r="T103" s="132" t="str">
        <f ca="1">IF(AND('Inserimento dati'!$B$3=$H$2, Tabella1[[#This Row],[LUN]]="X"), "X",IF(AND('Inserimento dati'!$B$3=$I$2, Tabella1[[#This Row],[MAR]]="X"), "X", IF(AND('Inserimento dati'!$B$3=$J$2, Tabella1[[#This Row],[MER]]="X"), "X",IF(AND('Inserimento dati'!$B$3=$K$2, Tabella1[[#This Row],[GIO]]="X"), "X", IF(AND('Inserimento dati'!$B$3=$L$2, Tabella1[[#This Row],[VEN]]="X"), "X","")))))</f>
        <v/>
      </c>
      <c r="U103" s="149"/>
    </row>
    <row r="104" spans="1:21" ht="30" x14ac:dyDescent="0.25">
      <c r="A104" s="84"/>
      <c r="B104" s="84"/>
      <c r="C104" s="84" t="str">
        <f>IF(OR(Tabella1[[#This Row],[LUN]]="X",Tabella1[[#This Row],[MAR]]="X",Tabella1[[#This Row],[MER]]="X",Tabella1[[#This Row],[GIO]]="X",Tabella1[[#This Row],[VEN]]="X",),"X","")</f>
        <v/>
      </c>
      <c r="D104" s="85" t="s">
        <v>147</v>
      </c>
      <c r="E104" s="81" t="s">
        <v>1250</v>
      </c>
      <c r="F104" s="81">
        <v>1000</v>
      </c>
      <c r="G104" s="81" t="s">
        <v>1251</v>
      </c>
      <c r="H104" s="83"/>
      <c r="I104" s="83"/>
      <c r="J104" s="83"/>
      <c r="K104" s="83"/>
      <c r="L104" s="83"/>
      <c r="M104" s="142" t="s">
        <v>52</v>
      </c>
      <c r="N104" s="82"/>
      <c r="O104" s="103"/>
      <c r="P104" s="82"/>
      <c r="Q104" s="81" t="s">
        <v>1238</v>
      </c>
      <c r="R104" s="82">
        <v>45852</v>
      </c>
      <c r="S104" s="82" t="s">
        <v>1252</v>
      </c>
      <c r="T104" s="132" t="str">
        <f ca="1">IF(AND('Inserimento dati'!$B$3=$H$2, Tabella1[[#This Row],[LUN]]="X"), "X",IF(AND('Inserimento dati'!$B$3=$I$2, Tabella1[[#This Row],[MAR]]="X"), "X", IF(AND('Inserimento dati'!$B$3=$J$2, Tabella1[[#This Row],[MER]]="X"), "X",IF(AND('Inserimento dati'!$B$3=$K$2, Tabella1[[#This Row],[GIO]]="X"), "X", IF(AND('Inserimento dati'!$B$3=$L$2, Tabella1[[#This Row],[VEN]]="X"), "X","")))))</f>
        <v/>
      </c>
      <c r="U104" s="66"/>
    </row>
    <row r="105" spans="1:21" ht="30" x14ac:dyDescent="0.25">
      <c r="A105" s="84"/>
      <c r="B105" s="84"/>
      <c r="C105" s="84" t="str">
        <f>IF(OR(Tabella1[[#This Row],[LUN]]="X",Tabella1[[#This Row],[MAR]]="X",Tabella1[[#This Row],[MER]]="X",Tabella1[[#This Row],[GIO]]="X",Tabella1[[#This Row],[VEN]]="X",),"X","")</f>
        <v/>
      </c>
      <c r="D105" s="85" t="s">
        <v>147</v>
      </c>
      <c r="E105" s="81" t="s">
        <v>1253</v>
      </c>
      <c r="F105" s="81">
        <v>500</v>
      </c>
      <c r="G105" s="81" t="s">
        <v>1254</v>
      </c>
      <c r="H105" s="83"/>
      <c r="I105" s="83"/>
      <c r="J105" s="83"/>
      <c r="K105" s="83"/>
      <c r="L105" s="83"/>
      <c r="M105" s="142" t="s">
        <v>52</v>
      </c>
      <c r="N105" s="82"/>
      <c r="O105" s="103"/>
      <c r="P105" s="82"/>
      <c r="Q105" s="81" t="s">
        <v>1255</v>
      </c>
      <c r="R105" s="82">
        <v>45852</v>
      </c>
      <c r="S105" s="82" t="s">
        <v>1256</v>
      </c>
      <c r="T105" s="132" t="str">
        <f ca="1">IF(AND('Inserimento dati'!$B$3=$H$2, Tabella1[[#This Row],[LUN]]="X"), "X",IF(AND('Inserimento dati'!$B$3=$I$2, Tabella1[[#This Row],[MAR]]="X"), "X", IF(AND('Inserimento dati'!$B$3=$J$2, Tabella1[[#This Row],[MER]]="X"), "X",IF(AND('Inserimento dati'!$B$3=$K$2, Tabella1[[#This Row],[GIO]]="X"), "X", IF(AND('Inserimento dati'!$B$3=$L$2, Tabella1[[#This Row],[VEN]]="X"), "X","")))))</f>
        <v/>
      </c>
      <c r="U105" s="66"/>
    </row>
    <row r="106" spans="1:21" ht="30" x14ac:dyDescent="0.25">
      <c r="A106" s="84"/>
      <c r="B106" s="84"/>
      <c r="C106" s="84" t="str">
        <f>IF(OR(Tabella1[[#This Row],[LUN]]="X",Tabella1[[#This Row],[MAR]]="X",Tabella1[[#This Row],[MER]]="X",Tabella1[[#This Row],[GIO]]="X",Tabella1[[#This Row],[VEN]]="X",),"X","")</f>
        <v/>
      </c>
      <c r="D106" s="85" t="s">
        <v>147</v>
      </c>
      <c r="E106" s="81" t="s">
        <v>1257</v>
      </c>
      <c r="F106" s="81">
        <v>1000</v>
      </c>
      <c r="G106" s="81" t="s">
        <v>1258</v>
      </c>
      <c r="H106" s="83"/>
      <c r="I106" s="83"/>
      <c r="J106" s="83"/>
      <c r="K106" s="83"/>
      <c r="L106" s="83"/>
      <c r="M106" s="142" t="s">
        <v>52</v>
      </c>
      <c r="N106" s="82"/>
      <c r="O106" s="103"/>
      <c r="P106" s="82"/>
      <c r="Q106" s="81" t="s">
        <v>1259</v>
      </c>
      <c r="R106" s="82">
        <v>45853</v>
      </c>
      <c r="S106" s="82" t="s">
        <v>45</v>
      </c>
      <c r="T106" s="132" t="str">
        <f ca="1">IF(AND('Inserimento dati'!$B$3=$H$2, Tabella1[[#This Row],[LUN]]="X"), "X",IF(AND('Inserimento dati'!$B$3=$I$2, Tabella1[[#This Row],[MAR]]="X"), "X", IF(AND('Inserimento dati'!$B$3=$J$2, Tabella1[[#This Row],[MER]]="X"), "X",IF(AND('Inserimento dati'!$B$3=$K$2, Tabella1[[#This Row],[GIO]]="X"), "X", IF(AND('Inserimento dati'!$B$3=$L$2, Tabella1[[#This Row],[VEN]]="X"), "X","")))))</f>
        <v/>
      </c>
      <c r="U106" s="66"/>
    </row>
    <row r="107" spans="1:21" ht="30" x14ac:dyDescent="0.25">
      <c r="A107" s="84"/>
      <c r="B107" s="84"/>
      <c r="C107" s="84" t="str">
        <f>IF(OR(Tabella1[[#This Row],[LUN]]="X",Tabella1[[#This Row],[MAR]]="X",Tabella1[[#This Row],[MER]]="X",Tabella1[[#This Row],[GIO]]="X",Tabella1[[#This Row],[VEN]]="X",),"X","")</f>
        <v/>
      </c>
      <c r="D107" s="85" t="s">
        <v>147</v>
      </c>
      <c r="E107" s="81" t="s">
        <v>1260</v>
      </c>
      <c r="F107" s="81">
        <v>500</v>
      </c>
      <c r="G107" s="81" t="s">
        <v>1261</v>
      </c>
      <c r="H107" s="83"/>
      <c r="I107" s="83"/>
      <c r="J107" s="83"/>
      <c r="K107" s="83"/>
      <c r="L107" s="83"/>
      <c r="M107" s="142" t="s">
        <v>52</v>
      </c>
      <c r="N107" s="82"/>
      <c r="O107" s="103"/>
      <c r="P107" s="82"/>
      <c r="Q107" s="81" t="s">
        <v>1262</v>
      </c>
      <c r="R107" s="82">
        <v>45854</v>
      </c>
      <c r="S107" s="82" t="s">
        <v>45</v>
      </c>
      <c r="T107" s="132" t="str">
        <f ca="1">IF(AND('Inserimento dati'!$B$3=$H$2, Tabella1[[#This Row],[LUN]]="X"), "X",IF(AND('Inserimento dati'!$B$3=$I$2, Tabella1[[#This Row],[MAR]]="X"), "X", IF(AND('Inserimento dati'!$B$3=$J$2, Tabella1[[#This Row],[MER]]="X"), "X",IF(AND('Inserimento dati'!$B$3=$K$2, Tabella1[[#This Row],[GIO]]="X"), "X", IF(AND('Inserimento dati'!$B$3=$L$2, Tabella1[[#This Row],[VEN]]="X"), "X","")))))</f>
        <v/>
      </c>
      <c r="U107" s="66"/>
    </row>
    <row r="108" spans="1:21" ht="30" x14ac:dyDescent="0.25">
      <c r="A108" s="84"/>
      <c r="B108" s="84"/>
      <c r="C108" s="84" t="str">
        <f>IF(OR(Tabella1[[#This Row],[LUN]]="X",Tabella1[[#This Row],[MAR]]="X",Tabella1[[#This Row],[MER]]="X",Tabella1[[#This Row],[GIO]]="X",Tabella1[[#This Row],[VEN]]="X",),"X","")</f>
        <v/>
      </c>
      <c r="D108" s="85" t="s">
        <v>147</v>
      </c>
      <c r="E108" s="81" t="s">
        <v>1263</v>
      </c>
      <c r="F108" s="81">
        <v>1000</v>
      </c>
      <c r="G108" s="81" t="s">
        <v>1264</v>
      </c>
      <c r="H108" s="83"/>
      <c r="I108" s="83"/>
      <c r="J108" s="83"/>
      <c r="K108" s="83"/>
      <c r="L108" s="83"/>
      <c r="M108" s="142" t="s">
        <v>52</v>
      </c>
      <c r="N108" s="82"/>
      <c r="O108" s="103"/>
      <c r="P108" s="82"/>
      <c r="Q108" s="81"/>
      <c r="R108" s="82"/>
      <c r="S108" s="82"/>
      <c r="T108" s="132" t="str">
        <f ca="1">IF(AND('Inserimento dati'!$B$3=$H$2, Tabella1[[#This Row],[LUN]]="X"), "X",IF(AND('Inserimento dati'!$B$3=$I$2, Tabella1[[#This Row],[MAR]]="X"), "X", IF(AND('Inserimento dati'!$B$3=$J$2, Tabella1[[#This Row],[MER]]="X"), "X",IF(AND('Inserimento dati'!$B$3=$K$2, Tabella1[[#This Row],[GIO]]="X"), "X", IF(AND('Inserimento dati'!$B$3=$L$2, Tabella1[[#This Row],[VEN]]="X"), "X","")))))</f>
        <v/>
      </c>
      <c r="U108" s="66"/>
    </row>
    <row r="109" spans="1:21" ht="30" x14ac:dyDescent="0.25">
      <c r="A109" s="84"/>
      <c r="B109" s="84"/>
      <c r="C109" s="84" t="str">
        <f>IF(OR(Tabella1[[#This Row],[LUN]]="X",Tabella1[[#This Row],[MAR]]="X",Tabella1[[#This Row],[MER]]="X",Tabella1[[#This Row],[GIO]]="X",Tabella1[[#This Row],[VEN]]="X",),"X","")</f>
        <v/>
      </c>
      <c r="D109" s="85" t="s">
        <v>147</v>
      </c>
      <c r="E109" s="81" t="s">
        <v>1265</v>
      </c>
      <c r="F109" s="81">
        <v>600</v>
      </c>
      <c r="G109" s="81" t="s">
        <v>1266</v>
      </c>
      <c r="H109" s="83"/>
      <c r="I109" s="83"/>
      <c r="J109" s="83"/>
      <c r="K109" s="83"/>
      <c r="L109" s="83"/>
      <c r="M109" s="142" t="s">
        <v>52</v>
      </c>
      <c r="N109" s="82"/>
      <c r="O109" s="103"/>
      <c r="P109" s="82"/>
      <c r="Q109" s="81" t="s">
        <v>1267</v>
      </c>
      <c r="R109" s="82">
        <v>45856</v>
      </c>
      <c r="S109" s="82" t="s">
        <v>45</v>
      </c>
      <c r="T109" s="132" t="str">
        <f ca="1">IF(AND('Inserimento dati'!$B$3=$H$2, Tabella1[[#This Row],[LUN]]="X"), "X",IF(AND('Inserimento dati'!$B$3=$I$2, Tabella1[[#This Row],[MAR]]="X"), "X", IF(AND('Inserimento dati'!$B$3=$J$2, Tabella1[[#This Row],[MER]]="X"), "X",IF(AND('Inserimento dati'!$B$3=$K$2, Tabella1[[#This Row],[GIO]]="X"), "X", IF(AND('Inserimento dati'!$B$3=$L$2, Tabella1[[#This Row],[VEN]]="X"), "X","")))))</f>
        <v/>
      </c>
      <c r="U109" s="66"/>
    </row>
    <row r="110" spans="1:21" ht="23.25" x14ac:dyDescent="0.25">
      <c r="A110" s="84"/>
      <c r="B110" s="84"/>
      <c r="C110" s="84" t="str">
        <f>IF(OR(Tabella1[[#This Row],[LUN]]="X",Tabella1[[#This Row],[MAR]]="X",Tabella1[[#This Row],[MER]]="X",Tabella1[[#This Row],[GIO]]="X",Tabella1[[#This Row],[VEN]]="X",),"X","")</f>
        <v/>
      </c>
      <c r="D110" s="85" t="s">
        <v>147</v>
      </c>
      <c r="E110" s="81" t="s">
        <v>1268</v>
      </c>
      <c r="F110" s="81">
        <v>1000</v>
      </c>
      <c r="G110" s="81" t="s">
        <v>1269</v>
      </c>
      <c r="H110" s="83"/>
      <c r="I110" s="83"/>
      <c r="J110" s="83"/>
      <c r="K110" s="83"/>
      <c r="L110" s="83"/>
      <c r="M110" s="142" t="s">
        <v>52</v>
      </c>
      <c r="N110" s="82"/>
      <c r="O110" s="103"/>
      <c r="P110" s="82"/>
      <c r="Q110" s="81" t="s">
        <v>1270</v>
      </c>
      <c r="R110" s="82">
        <v>45862</v>
      </c>
      <c r="S110" s="82" t="s">
        <v>674</v>
      </c>
      <c r="T110" s="132" t="str">
        <f ca="1">IF(AND('Inserimento dati'!$B$3=$H$2, Tabella1[[#This Row],[LUN]]="X"), "X",IF(AND('Inserimento dati'!$B$3=$I$2, Tabella1[[#This Row],[MAR]]="X"), "X", IF(AND('Inserimento dati'!$B$3=$J$2, Tabella1[[#This Row],[MER]]="X"), "X",IF(AND('Inserimento dati'!$B$3=$K$2, Tabella1[[#This Row],[GIO]]="X"), "X", IF(AND('Inserimento dati'!$B$3=$L$2, Tabella1[[#This Row],[VEN]]="X"), "X","")))))</f>
        <v/>
      </c>
      <c r="U110" s="66"/>
    </row>
    <row r="111" spans="1:21" ht="30" x14ac:dyDescent="0.25">
      <c r="A111" s="84"/>
      <c r="B111" s="84"/>
      <c r="C111" s="84" t="str">
        <f>IF(OR(Tabella1[[#This Row],[LUN]]="X",Tabella1[[#This Row],[MAR]]="X",Tabella1[[#This Row],[MER]]="X",Tabella1[[#This Row],[GIO]]="X",Tabella1[[#This Row],[VEN]]="X",),"X","")</f>
        <v/>
      </c>
      <c r="D111" s="85" t="s">
        <v>147</v>
      </c>
      <c r="E111" s="81" t="s">
        <v>1271</v>
      </c>
      <c r="F111" s="81">
        <v>1000</v>
      </c>
      <c r="G111" s="81" t="s">
        <v>1272</v>
      </c>
      <c r="H111" s="83"/>
      <c r="I111" s="83"/>
      <c r="J111" s="83"/>
      <c r="K111" s="83"/>
      <c r="L111" s="83"/>
      <c r="M111" s="142" t="s">
        <v>52</v>
      </c>
      <c r="N111" s="82"/>
      <c r="O111" s="103"/>
      <c r="P111" s="82"/>
      <c r="Q111" s="81" t="s">
        <v>1273</v>
      </c>
      <c r="R111" s="82">
        <v>45882</v>
      </c>
      <c r="S111" s="82" t="s">
        <v>20</v>
      </c>
      <c r="T111" s="132" t="str">
        <f ca="1">IF(AND('Inserimento dati'!$B$3=$H$2, Tabella1[[#This Row],[LUN]]="X"), "X",IF(AND('Inserimento dati'!$B$3=$I$2, Tabella1[[#This Row],[MAR]]="X"), "X", IF(AND('Inserimento dati'!$B$3=$J$2, Tabella1[[#This Row],[MER]]="X"), "X",IF(AND('Inserimento dati'!$B$3=$K$2, Tabella1[[#This Row],[GIO]]="X"), "X", IF(AND('Inserimento dati'!$B$3=$L$2, Tabella1[[#This Row],[VEN]]="X"), "X","")))))</f>
        <v/>
      </c>
      <c r="U111" s="66"/>
    </row>
    <row r="112" spans="1:21" ht="23.25" x14ac:dyDescent="0.25">
      <c r="A112" s="84"/>
      <c r="B112" s="84"/>
      <c r="C112" s="84" t="str">
        <f>IF(OR(Tabella1[[#This Row],[LUN]]="X",Tabella1[[#This Row],[MAR]]="X",Tabella1[[#This Row],[MER]]="X",Tabella1[[#This Row],[GIO]]="X",Tabella1[[#This Row],[VEN]]="X",),"X","")</f>
        <v/>
      </c>
      <c r="D112" s="85" t="s">
        <v>147</v>
      </c>
      <c r="E112" s="81" t="s">
        <v>1274</v>
      </c>
      <c r="F112" s="81">
        <v>600</v>
      </c>
      <c r="G112" s="81" t="s">
        <v>1275</v>
      </c>
      <c r="H112" s="83"/>
      <c r="I112" s="83"/>
      <c r="J112" s="83"/>
      <c r="K112" s="83"/>
      <c r="L112" s="83"/>
      <c r="M112" s="142" t="s">
        <v>52</v>
      </c>
      <c r="N112" s="82"/>
      <c r="O112" s="103"/>
      <c r="P112" s="82"/>
      <c r="Q112" s="81" t="s">
        <v>1276</v>
      </c>
      <c r="R112" s="82">
        <v>45883</v>
      </c>
      <c r="S112" s="82" t="s">
        <v>20</v>
      </c>
      <c r="T112" s="132" t="str">
        <f ca="1">IF(AND('Inserimento dati'!$B$3=$H$2, Tabella1[[#This Row],[LUN]]="X"), "X",IF(AND('Inserimento dati'!$B$3=$I$2, Tabella1[[#This Row],[MAR]]="X"), "X", IF(AND('Inserimento dati'!$B$3=$J$2, Tabella1[[#This Row],[MER]]="X"), "X",IF(AND('Inserimento dati'!$B$3=$K$2, Tabella1[[#This Row],[GIO]]="X"), "X", IF(AND('Inserimento dati'!$B$3=$L$2, Tabella1[[#This Row],[VEN]]="X"), "X","")))))</f>
        <v/>
      </c>
      <c r="U112" s="66"/>
    </row>
    <row r="113" spans="1:21" ht="23.25" x14ac:dyDescent="0.25">
      <c r="A113" s="84"/>
      <c r="B113" s="84"/>
      <c r="C113" s="84" t="str">
        <f>IF(OR(Tabella1[[#This Row],[LUN]]="X",Tabella1[[#This Row],[MAR]]="X",Tabella1[[#This Row],[MER]]="X",Tabella1[[#This Row],[GIO]]="X",Tabella1[[#This Row],[VEN]]="X",),"X","")</f>
        <v/>
      </c>
      <c r="D113" s="85" t="s">
        <v>147</v>
      </c>
      <c r="E113" s="81" t="s">
        <v>1277</v>
      </c>
      <c r="F113" s="81">
        <v>1000</v>
      </c>
      <c r="G113" s="81" t="s">
        <v>1278</v>
      </c>
      <c r="H113" s="83"/>
      <c r="I113" s="83"/>
      <c r="J113" s="83"/>
      <c r="K113" s="83"/>
      <c r="L113" s="83"/>
      <c r="M113" s="142" t="s">
        <v>52</v>
      </c>
      <c r="N113" s="82"/>
      <c r="O113" s="103"/>
      <c r="P113" s="82"/>
      <c r="Q113" s="81" t="s">
        <v>1279</v>
      </c>
      <c r="R113" s="82">
        <v>45895</v>
      </c>
      <c r="S113" s="82" t="s">
        <v>20</v>
      </c>
      <c r="T113" s="132" t="str">
        <f ca="1">IF(AND('Inserimento dati'!$B$3=$H$2, Tabella1[[#This Row],[LUN]]="X"), "X",IF(AND('Inserimento dati'!$B$3=$I$2, Tabella1[[#This Row],[MAR]]="X"), "X", IF(AND('Inserimento dati'!$B$3=$J$2, Tabella1[[#This Row],[MER]]="X"), "X",IF(AND('Inserimento dati'!$B$3=$K$2, Tabella1[[#This Row],[GIO]]="X"), "X", IF(AND('Inserimento dati'!$B$3=$L$2, Tabella1[[#This Row],[VEN]]="X"), "X","")))))</f>
        <v/>
      </c>
      <c r="U113" s="66"/>
    </row>
    <row r="114" spans="1:21" ht="30" x14ac:dyDescent="0.25">
      <c r="A114" s="84"/>
      <c r="B114" s="84"/>
      <c r="C114" s="84" t="str">
        <f>IF(OR(Tabella1[[#This Row],[LUN]]="X",Tabella1[[#This Row],[MAR]]="X",Tabella1[[#This Row],[MER]]="X",Tabella1[[#This Row],[GIO]]="X",Tabella1[[#This Row],[VEN]]="X",),"X","")</f>
        <v/>
      </c>
      <c r="D114" s="85" t="s">
        <v>147</v>
      </c>
      <c r="E114" s="81" t="s">
        <v>1280</v>
      </c>
      <c r="F114" s="81">
        <v>1000</v>
      </c>
      <c r="G114" s="81" t="s">
        <v>1281</v>
      </c>
      <c r="H114" s="83"/>
      <c r="I114" s="83"/>
      <c r="J114" s="83"/>
      <c r="K114" s="83"/>
      <c r="L114" s="83"/>
      <c r="M114" s="142" t="s">
        <v>52</v>
      </c>
      <c r="N114" s="82"/>
      <c r="O114" s="103"/>
      <c r="P114" s="82"/>
      <c r="Q114" s="81"/>
      <c r="R114" s="82">
        <v>45895</v>
      </c>
      <c r="S114" s="82" t="s">
        <v>20</v>
      </c>
      <c r="T114" s="132" t="str">
        <f ca="1">IF(AND('Inserimento dati'!$B$3=$H$2, Tabella1[[#This Row],[LUN]]="X"), "X",IF(AND('Inserimento dati'!$B$3=$I$2, Tabella1[[#This Row],[MAR]]="X"), "X", IF(AND('Inserimento dati'!$B$3=$J$2, Tabella1[[#This Row],[MER]]="X"), "X",IF(AND('Inserimento dati'!$B$3=$K$2, Tabella1[[#This Row],[GIO]]="X"), "X", IF(AND('Inserimento dati'!$B$3=$L$2, Tabella1[[#This Row],[VEN]]="X"), "X","")))))</f>
        <v/>
      </c>
      <c r="U114" s="66"/>
    </row>
    <row r="115" spans="1:21" ht="23.25" x14ac:dyDescent="0.25">
      <c r="A115" s="84"/>
      <c r="B115" s="84"/>
      <c r="C115" s="84" t="str">
        <f>IF(OR(Tabella1[[#This Row],[LUN]]="X",Tabella1[[#This Row],[MAR]]="X",Tabella1[[#This Row],[MER]]="X",Tabella1[[#This Row],[GIO]]="X",Tabella1[[#This Row],[VEN]]="X",),"X","")</f>
        <v/>
      </c>
      <c r="D115" s="85" t="s">
        <v>147</v>
      </c>
      <c r="E115" s="81" t="s">
        <v>1282</v>
      </c>
      <c r="F115" s="81">
        <v>1000</v>
      </c>
      <c r="G115" s="81" t="s">
        <v>1283</v>
      </c>
      <c r="H115" s="83"/>
      <c r="I115" s="83"/>
      <c r="J115" s="83"/>
      <c r="K115" s="83"/>
      <c r="L115" s="83"/>
      <c r="M115" s="142" t="s">
        <v>52</v>
      </c>
      <c r="N115" s="82"/>
      <c r="O115" s="103"/>
      <c r="P115" s="82"/>
      <c r="Q115" s="81" t="s">
        <v>1284</v>
      </c>
      <c r="R115" s="82">
        <v>45897</v>
      </c>
      <c r="S115" s="82" t="s">
        <v>20</v>
      </c>
      <c r="T115" s="132" t="str">
        <f ca="1">IF(AND('Inserimento dati'!$B$3=$H$2, Tabella1[[#This Row],[LUN]]="X"), "X",IF(AND('Inserimento dati'!$B$3=$I$2, Tabella1[[#This Row],[MAR]]="X"), "X", IF(AND('Inserimento dati'!$B$3=$J$2, Tabella1[[#This Row],[MER]]="X"), "X",IF(AND('Inserimento dati'!$B$3=$K$2, Tabella1[[#This Row],[GIO]]="X"), "X", IF(AND('Inserimento dati'!$B$3=$L$2, Tabella1[[#This Row],[VEN]]="X"), "X","")))))</f>
        <v/>
      </c>
      <c r="U115" s="66"/>
    </row>
    <row r="116" spans="1:21" ht="30" x14ac:dyDescent="0.25">
      <c r="A116" s="84"/>
      <c r="B116" s="84"/>
      <c r="C116" s="84" t="str">
        <f>IF(OR(Tabella1[[#This Row],[LUN]]="X",Tabella1[[#This Row],[MAR]]="X",Tabella1[[#This Row],[MER]]="X",Tabella1[[#This Row],[GIO]]="X",Tabella1[[#This Row],[VEN]]="X",),"X","")</f>
        <v/>
      </c>
      <c r="D116" s="85" t="s">
        <v>147</v>
      </c>
      <c r="E116" s="81" t="s">
        <v>1285</v>
      </c>
      <c r="F116" s="81">
        <v>500</v>
      </c>
      <c r="G116" s="81" t="s">
        <v>1286</v>
      </c>
      <c r="H116" s="83"/>
      <c r="I116" s="83"/>
      <c r="J116" s="83"/>
      <c r="K116" s="83"/>
      <c r="L116" s="83"/>
      <c r="M116" s="142" t="s">
        <v>52</v>
      </c>
      <c r="N116" s="82"/>
      <c r="O116" s="103"/>
      <c r="P116" s="82"/>
      <c r="Q116" s="81" t="s">
        <v>1287</v>
      </c>
      <c r="R116" s="82">
        <v>45903</v>
      </c>
      <c r="S116" s="82" t="s">
        <v>20</v>
      </c>
      <c r="T116" s="132" t="str">
        <f ca="1">IF(AND('Inserimento dati'!$B$3=$H$2, Tabella1[[#This Row],[LUN]]="X"), "X",IF(AND('Inserimento dati'!$B$3=$I$2, Tabella1[[#This Row],[MAR]]="X"), "X", IF(AND('Inserimento dati'!$B$3=$J$2, Tabella1[[#This Row],[MER]]="X"), "X",IF(AND('Inserimento dati'!$B$3=$K$2, Tabella1[[#This Row],[GIO]]="X"), "X", IF(AND('Inserimento dati'!$B$3=$L$2, Tabella1[[#This Row],[VEN]]="X"), "X","")))))</f>
        <v/>
      </c>
      <c r="U116" s="66"/>
    </row>
    <row r="117" spans="1:21" ht="30" x14ac:dyDescent="0.25">
      <c r="A117" s="84"/>
      <c r="B117" s="84"/>
      <c r="C117" s="84" t="str">
        <f>IF(OR(Tabella1[[#This Row],[LUN]]="X",Tabella1[[#This Row],[MAR]]="X",Tabella1[[#This Row],[MER]]="X",Tabella1[[#This Row],[GIO]]="X",Tabella1[[#This Row],[VEN]]="X",),"X","")</f>
        <v/>
      </c>
      <c r="D117" s="85" t="s">
        <v>147</v>
      </c>
      <c r="E117" s="81" t="s">
        <v>1288</v>
      </c>
      <c r="F117" s="81">
        <v>500</v>
      </c>
      <c r="G117" s="81" t="s">
        <v>1289</v>
      </c>
      <c r="H117" s="83"/>
      <c r="I117" s="83"/>
      <c r="J117" s="83"/>
      <c r="K117" s="83"/>
      <c r="L117" s="83"/>
      <c r="M117" s="142" t="s">
        <v>52</v>
      </c>
      <c r="N117" s="82"/>
      <c r="O117" s="103"/>
      <c r="P117" s="82"/>
      <c r="Q117" s="81" t="s">
        <v>1290</v>
      </c>
      <c r="R117" s="82">
        <v>45903</v>
      </c>
      <c r="S117" s="82" t="s">
        <v>20</v>
      </c>
      <c r="T117" s="132" t="str">
        <f ca="1">IF(AND('Inserimento dati'!$B$3=$H$2, Tabella1[[#This Row],[LUN]]="X"), "X",IF(AND('Inserimento dati'!$B$3=$I$2, Tabella1[[#This Row],[MAR]]="X"), "X", IF(AND('Inserimento dati'!$B$3=$J$2, Tabella1[[#This Row],[MER]]="X"), "X",IF(AND('Inserimento dati'!$B$3=$K$2, Tabella1[[#This Row],[GIO]]="X"), "X", IF(AND('Inserimento dati'!$B$3=$L$2, Tabella1[[#This Row],[VEN]]="X"), "X","")))))</f>
        <v/>
      </c>
      <c r="U117" s="66"/>
    </row>
    <row r="118" spans="1:21" ht="23.25" x14ac:dyDescent="0.25">
      <c r="A118" s="84"/>
      <c r="B118" s="84"/>
      <c r="C118" s="84" t="str">
        <f>IF(OR(Tabella1[[#This Row],[LUN]]="X",Tabella1[[#This Row],[MAR]]="X",Tabella1[[#This Row],[MER]]="X",Tabella1[[#This Row],[GIO]]="X",Tabella1[[#This Row],[VEN]]="X",),"X","")</f>
        <v/>
      </c>
      <c r="D118" s="85" t="s">
        <v>147</v>
      </c>
      <c r="E118" s="81" t="s">
        <v>1291</v>
      </c>
      <c r="F118" s="81">
        <v>1000</v>
      </c>
      <c r="G118" s="81" t="s">
        <v>1292</v>
      </c>
      <c r="H118" s="83"/>
      <c r="I118" s="83"/>
      <c r="J118" s="83"/>
      <c r="K118" s="83"/>
      <c r="L118" s="83"/>
      <c r="M118" s="142" t="s">
        <v>52</v>
      </c>
      <c r="N118" s="82"/>
      <c r="O118" s="103"/>
      <c r="P118" s="82"/>
      <c r="Q118" s="81" t="s">
        <v>1293</v>
      </c>
      <c r="R118" s="82">
        <v>45903</v>
      </c>
      <c r="S118" s="82" t="s">
        <v>20</v>
      </c>
      <c r="T118" s="132" t="str">
        <f ca="1">IF(AND('Inserimento dati'!$B$3=$H$2, Tabella1[[#This Row],[LUN]]="X"), "X",IF(AND('Inserimento dati'!$B$3=$I$2, Tabella1[[#This Row],[MAR]]="X"), "X", IF(AND('Inserimento dati'!$B$3=$J$2, Tabella1[[#This Row],[MER]]="X"), "X",IF(AND('Inserimento dati'!$B$3=$K$2, Tabella1[[#This Row],[GIO]]="X"), "X", IF(AND('Inserimento dati'!$B$3=$L$2, Tabella1[[#This Row],[VEN]]="X"), "X","")))))</f>
        <v/>
      </c>
      <c r="U118" s="66"/>
    </row>
    <row r="119" spans="1:21" ht="30" x14ac:dyDescent="0.25">
      <c r="A119" s="84"/>
      <c r="B119" s="84"/>
      <c r="C119" s="84" t="str">
        <f>IF(OR(Tabella1[[#This Row],[LUN]]="X",Tabella1[[#This Row],[MAR]]="X",Tabella1[[#This Row],[MER]]="X",Tabella1[[#This Row],[GIO]]="X",Tabella1[[#This Row],[VEN]]="X",),"X","")</f>
        <v/>
      </c>
      <c r="D119" s="85" t="s">
        <v>147</v>
      </c>
      <c r="E119" s="81" t="s">
        <v>1294</v>
      </c>
      <c r="F119" s="81">
        <v>1000</v>
      </c>
      <c r="G119" s="81" t="s">
        <v>1295</v>
      </c>
      <c r="H119" s="83"/>
      <c r="I119" s="83"/>
      <c r="J119" s="83"/>
      <c r="K119" s="83"/>
      <c r="L119" s="83"/>
      <c r="M119" s="142" t="s">
        <v>52</v>
      </c>
      <c r="N119" s="82"/>
      <c r="O119" s="103"/>
      <c r="P119" s="82"/>
      <c r="Q119" s="81"/>
      <c r="R119" s="82"/>
      <c r="S119" s="82"/>
      <c r="T119" s="132" t="str">
        <f ca="1">IF(AND('Inserimento dati'!$B$3=$H$2, Tabella1[[#This Row],[LUN]]="X"), "X",IF(AND('Inserimento dati'!$B$3=$I$2, Tabella1[[#This Row],[MAR]]="X"), "X", IF(AND('Inserimento dati'!$B$3=$J$2, Tabella1[[#This Row],[MER]]="X"), "X",IF(AND('Inserimento dati'!$B$3=$K$2, Tabella1[[#This Row],[GIO]]="X"), "X", IF(AND('Inserimento dati'!$B$3=$L$2, Tabella1[[#This Row],[VEN]]="X"), "X","")))))</f>
        <v/>
      </c>
      <c r="U119" s="66"/>
    </row>
    <row r="120" spans="1:21" ht="23.25" x14ac:dyDescent="0.25">
      <c r="A120" s="84"/>
      <c r="B120" s="84"/>
      <c r="C120" s="84" t="str">
        <f>IF(OR(Tabella1[[#This Row],[LUN]]="X",Tabella1[[#This Row],[MAR]]="X",Tabella1[[#This Row],[MER]]="X",Tabella1[[#This Row],[GIO]]="X",Tabella1[[#This Row],[VEN]]="X",),"X","")</f>
        <v/>
      </c>
      <c r="D120" s="85" t="s">
        <v>147</v>
      </c>
      <c r="E120" s="81" t="s">
        <v>1296</v>
      </c>
      <c r="F120" s="81">
        <v>1000</v>
      </c>
      <c r="G120" s="81" t="s">
        <v>1297</v>
      </c>
      <c r="H120" s="83"/>
      <c r="I120" s="83"/>
      <c r="J120" s="83"/>
      <c r="K120" s="83"/>
      <c r="L120" s="83"/>
      <c r="M120" s="142" t="s">
        <v>52</v>
      </c>
      <c r="N120" s="82"/>
      <c r="O120" s="103"/>
      <c r="P120" s="82"/>
      <c r="Q120" s="81"/>
      <c r="R120" s="82">
        <v>45905</v>
      </c>
      <c r="S120" s="82" t="s">
        <v>45</v>
      </c>
      <c r="T120" s="132" t="str">
        <f ca="1">IF(AND('Inserimento dati'!$B$3=$H$2, Tabella1[[#This Row],[LUN]]="X"), "X",IF(AND('Inserimento dati'!$B$3=$I$2, Tabella1[[#This Row],[MAR]]="X"), "X", IF(AND('Inserimento dati'!$B$3=$J$2, Tabella1[[#This Row],[MER]]="X"), "X",IF(AND('Inserimento dati'!$B$3=$K$2, Tabella1[[#This Row],[GIO]]="X"), "X", IF(AND('Inserimento dati'!$B$3=$L$2, Tabella1[[#This Row],[VEN]]="X"), "X","")))))</f>
        <v/>
      </c>
      <c r="U120" s="66"/>
    </row>
    <row r="121" spans="1:21" ht="23.25" x14ac:dyDescent="0.25">
      <c r="A121" s="84"/>
      <c r="B121" s="84"/>
      <c r="C121" s="84" t="str">
        <f>IF(OR(Tabella1[[#This Row],[LUN]]="X",Tabella1[[#This Row],[MAR]]="X",Tabella1[[#This Row],[MER]]="X",Tabella1[[#This Row],[GIO]]="X",Tabella1[[#This Row],[VEN]]="X",),"X","")</f>
        <v/>
      </c>
      <c r="D121" s="85" t="s">
        <v>147</v>
      </c>
      <c r="E121" s="81" t="s">
        <v>1298</v>
      </c>
      <c r="F121" s="81">
        <v>500</v>
      </c>
      <c r="G121" s="81" t="s">
        <v>1299</v>
      </c>
      <c r="H121" s="83"/>
      <c r="I121" s="83"/>
      <c r="J121" s="83"/>
      <c r="K121" s="83"/>
      <c r="L121" s="83"/>
      <c r="M121" s="142" t="s">
        <v>52</v>
      </c>
      <c r="N121" s="82"/>
      <c r="O121" s="103"/>
      <c r="P121" s="82"/>
      <c r="Q121" s="81"/>
      <c r="R121" s="82"/>
      <c r="S121" s="82"/>
      <c r="T121" s="132" t="str">
        <f ca="1">IF(AND('Inserimento dati'!$B$3=$H$2, Tabella1[[#This Row],[LUN]]="X"), "X",IF(AND('Inserimento dati'!$B$3=$I$2, Tabella1[[#This Row],[MAR]]="X"), "X", IF(AND('Inserimento dati'!$B$3=$J$2, Tabella1[[#This Row],[MER]]="X"), "X",IF(AND('Inserimento dati'!$B$3=$K$2, Tabella1[[#This Row],[GIO]]="X"), "X", IF(AND('Inserimento dati'!$B$3=$L$2, Tabella1[[#This Row],[VEN]]="X"), "X","")))))</f>
        <v/>
      </c>
      <c r="U121" s="66"/>
    </row>
    <row r="122" spans="1:21" ht="30" x14ac:dyDescent="0.25">
      <c r="A122" s="84"/>
      <c r="B122" s="84"/>
      <c r="C122" s="84" t="str">
        <f>IF(OR(Tabella1[[#This Row],[LUN]]="X",Tabella1[[#This Row],[MAR]]="X",Tabella1[[#This Row],[MER]]="X",Tabella1[[#This Row],[GIO]]="X",Tabella1[[#This Row],[VEN]]="X",),"X","")</f>
        <v/>
      </c>
      <c r="D122" s="85" t="s">
        <v>147</v>
      </c>
      <c r="E122" s="81" t="s">
        <v>1300</v>
      </c>
      <c r="F122" s="81">
        <v>600</v>
      </c>
      <c r="G122" s="81" t="s">
        <v>1301</v>
      </c>
      <c r="H122" s="83"/>
      <c r="I122" s="83"/>
      <c r="J122" s="83"/>
      <c r="K122" s="83"/>
      <c r="L122" s="83"/>
      <c r="M122" s="142" t="s">
        <v>52</v>
      </c>
      <c r="N122" s="82"/>
      <c r="O122" s="103"/>
      <c r="P122" s="82"/>
      <c r="Q122" s="81" t="s">
        <v>1302</v>
      </c>
      <c r="R122" s="82">
        <v>45916</v>
      </c>
      <c r="S122" s="82" t="s">
        <v>20</v>
      </c>
      <c r="T122" s="132" t="str">
        <f ca="1">IF(AND('Inserimento dati'!$B$3=$H$2, Tabella1[[#This Row],[LUN]]="X"), "X",IF(AND('Inserimento dati'!$B$3=$I$2, Tabella1[[#This Row],[MAR]]="X"), "X", IF(AND('Inserimento dati'!$B$3=$J$2, Tabella1[[#This Row],[MER]]="X"), "X",IF(AND('Inserimento dati'!$B$3=$K$2, Tabella1[[#This Row],[GIO]]="X"), "X", IF(AND('Inserimento dati'!$B$3=$L$2, Tabella1[[#This Row],[VEN]]="X"), "X","")))))</f>
        <v/>
      </c>
      <c r="U122" s="66"/>
    </row>
    <row r="123" spans="1:21" ht="23.25" x14ac:dyDescent="0.25">
      <c r="A123" s="84"/>
      <c r="B123" s="84"/>
      <c r="C123" s="84" t="str">
        <f>IF(OR(Tabella1[[#This Row],[LUN]]="X",Tabella1[[#This Row],[MAR]]="X",Tabella1[[#This Row],[MER]]="X",Tabella1[[#This Row],[GIO]]="X",Tabella1[[#This Row],[VEN]]="X",),"X","")</f>
        <v/>
      </c>
      <c r="D123" s="85" t="s">
        <v>147</v>
      </c>
      <c r="E123" s="81" t="s">
        <v>1303</v>
      </c>
      <c r="F123" s="81">
        <v>600</v>
      </c>
      <c r="G123" s="81" t="s">
        <v>1304</v>
      </c>
      <c r="H123" s="83"/>
      <c r="I123" s="83"/>
      <c r="J123" s="83"/>
      <c r="K123" s="83"/>
      <c r="L123" s="83"/>
      <c r="M123" s="142" t="s">
        <v>52</v>
      </c>
      <c r="N123" s="82"/>
      <c r="O123" s="103"/>
      <c r="P123" s="82"/>
      <c r="Q123" s="81" t="s">
        <v>1305</v>
      </c>
      <c r="R123" s="82">
        <v>45918</v>
      </c>
      <c r="S123" s="82" t="s">
        <v>20</v>
      </c>
      <c r="T123" s="132" t="str">
        <f ca="1">IF(AND('Inserimento dati'!$B$3=$H$2, Tabella1[[#This Row],[LUN]]="X"), "X",IF(AND('Inserimento dati'!$B$3=$I$2, Tabella1[[#This Row],[MAR]]="X"), "X", IF(AND('Inserimento dati'!$B$3=$J$2, Tabella1[[#This Row],[MER]]="X"), "X",IF(AND('Inserimento dati'!$B$3=$K$2, Tabella1[[#This Row],[GIO]]="X"), "X", IF(AND('Inserimento dati'!$B$3=$L$2, Tabella1[[#This Row],[VEN]]="X"), "X","")))))</f>
        <v/>
      </c>
      <c r="U123" s="66"/>
    </row>
    <row r="124" spans="1:21" ht="23.25" x14ac:dyDescent="0.25">
      <c r="A124" s="84"/>
      <c r="B124" s="84"/>
      <c r="C124" s="84" t="str">
        <f>IF(OR(Tabella1[[#This Row],[LUN]]="X",Tabella1[[#This Row],[MAR]]="X",Tabella1[[#This Row],[MER]]="X",Tabella1[[#This Row],[GIO]]="X",Tabella1[[#This Row],[VEN]]="X",),"X","")</f>
        <v/>
      </c>
      <c r="D124" s="85" t="s">
        <v>147</v>
      </c>
      <c r="E124" s="81" t="s">
        <v>1306</v>
      </c>
      <c r="F124" s="81">
        <v>1000</v>
      </c>
      <c r="G124" s="81" t="s">
        <v>1307</v>
      </c>
      <c r="H124" s="83"/>
      <c r="I124" s="83"/>
      <c r="J124" s="83"/>
      <c r="K124" s="83"/>
      <c r="L124" s="83"/>
      <c r="M124" s="142" t="s">
        <v>52</v>
      </c>
      <c r="N124" s="82"/>
      <c r="O124" s="103"/>
      <c r="P124" s="82"/>
      <c r="Q124" s="81" t="s">
        <v>1308</v>
      </c>
      <c r="R124" s="82">
        <v>45918</v>
      </c>
      <c r="S124" s="82" t="s">
        <v>20</v>
      </c>
      <c r="T124" s="132" t="str">
        <f ca="1">IF(AND('Inserimento dati'!$B$3=$H$2, Tabella1[[#This Row],[LUN]]="X"), "X",IF(AND('Inserimento dati'!$B$3=$I$2, Tabella1[[#This Row],[MAR]]="X"), "X", IF(AND('Inserimento dati'!$B$3=$J$2, Tabella1[[#This Row],[MER]]="X"), "X",IF(AND('Inserimento dati'!$B$3=$K$2, Tabella1[[#This Row],[GIO]]="X"), "X", IF(AND('Inserimento dati'!$B$3=$L$2, Tabella1[[#This Row],[VEN]]="X"), "X","")))))</f>
        <v/>
      </c>
      <c r="U124" s="66"/>
    </row>
    <row r="125" spans="1:21" ht="60" x14ac:dyDescent="0.25">
      <c r="A125" s="84"/>
      <c r="B125" s="84"/>
      <c r="C125" s="84" t="str">
        <f>IF(OR(Tabella1[[#This Row],[LUN]]="X",Tabella1[[#This Row],[MAR]]="X",Tabella1[[#This Row],[MER]]="X",Tabella1[[#This Row],[GIO]]="X",Tabella1[[#This Row],[VEN]]="X",),"X","")</f>
        <v/>
      </c>
      <c r="D125" s="85" t="s">
        <v>147</v>
      </c>
      <c r="E125" s="81" t="s">
        <v>1309</v>
      </c>
      <c r="F125" s="81">
        <v>1000</v>
      </c>
      <c r="G125" s="81" t="s">
        <v>1310</v>
      </c>
      <c r="H125" s="83"/>
      <c r="I125" s="83"/>
      <c r="J125" s="83"/>
      <c r="K125" s="83"/>
      <c r="L125" s="83"/>
      <c r="M125" s="142" t="s">
        <v>52</v>
      </c>
      <c r="N125" s="82"/>
      <c r="O125" s="103"/>
      <c r="P125" s="82"/>
      <c r="Q125" s="81" t="s">
        <v>1311</v>
      </c>
      <c r="R125" s="82">
        <v>45918</v>
      </c>
      <c r="S125" s="82" t="s">
        <v>23</v>
      </c>
      <c r="T125" s="132" t="str">
        <f ca="1">IF(AND('Inserimento dati'!$B$3=$H$2, Tabella1[[#This Row],[LUN]]="X"), "X",IF(AND('Inserimento dati'!$B$3=$I$2, Tabella1[[#This Row],[MAR]]="X"), "X", IF(AND('Inserimento dati'!$B$3=$J$2, Tabella1[[#This Row],[MER]]="X"), "X",IF(AND('Inserimento dati'!$B$3=$K$2, Tabella1[[#This Row],[GIO]]="X"), "X", IF(AND('Inserimento dati'!$B$3=$L$2, Tabella1[[#This Row],[VEN]]="X"), "X","")))))</f>
        <v/>
      </c>
      <c r="U125" s="66"/>
    </row>
    <row r="126" spans="1:21" ht="30" x14ac:dyDescent="0.25">
      <c r="A126" s="84"/>
      <c r="B126" s="84"/>
      <c r="C126" s="84" t="str">
        <f>IF(OR(Tabella1[[#This Row],[LUN]]="X",Tabella1[[#This Row],[MAR]]="X",Tabella1[[#This Row],[MER]]="X",Tabella1[[#This Row],[GIO]]="X",Tabella1[[#This Row],[VEN]]="X",),"X","")</f>
        <v/>
      </c>
      <c r="D126" s="85" t="s">
        <v>147</v>
      </c>
      <c r="E126" s="81" t="s">
        <v>1312</v>
      </c>
      <c r="F126" s="81">
        <v>500</v>
      </c>
      <c r="G126" s="81" t="s">
        <v>1313</v>
      </c>
      <c r="H126" s="83"/>
      <c r="I126" s="83"/>
      <c r="J126" s="83"/>
      <c r="K126" s="83"/>
      <c r="L126" s="83"/>
      <c r="M126" s="142" t="s">
        <v>52</v>
      </c>
      <c r="N126" s="82"/>
      <c r="O126" s="103"/>
      <c r="P126" s="82"/>
      <c r="Q126" s="81" t="s">
        <v>1314</v>
      </c>
      <c r="R126" s="82">
        <v>45919</v>
      </c>
      <c r="S126" s="82" t="s">
        <v>20</v>
      </c>
      <c r="T126" s="132" t="str">
        <f ca="1">IF(AND('Inserimento dati'!$B$3=$H$2, Tabella1[[#This Row],[LUN]]="X"), "X",IF(AND('Inserimento dati'!$B$3=$I$2, Tabella1[[#This Row],[MAR]]="X"), "X", IF(AND('Inserimento dati'!$B$3=$J$2, Tabella1[[#This Row],[MER]]="X"), "X",IF(AND('Inserimento dati'!$B$3=$K$2, Tabella1[[#This Row],[GIO]]="X"), "X", IF(AND('Inserimento dati'!$B$3=$L$2, Tabella1[[#This Row],[VEN]]="X"), "X","")))))</f>
        <v/>
      </c>
      <c r="U126" s="66"/>
    </row>
    <row r="127" spans="1:21" ht="45" x14ac:dyDescent="0.25">
      <c r="A127" s="84"/>
      <c r="B127" s="84"/>
      <c r="C127" s="84" t="str">
        <f>IF(OR(Tabella1[[#This Row],[LUN]]="X",Tabella1[[#This Row],[MAR]]="X",Tabella1[[#This Row],[MER]]="X",Tabella1[[#This Row],[GIO]]="X",Tabella1[[#This Row],[VEN]]="X",),"X","")</f>
        <v/>
      </c>
      <c r="D127" s="85" t="s">
        <v>147</v>
      </c>
      <c r="E127" s="81" t="s">
        <v>1315</v>
      </c>
      <c r="F127" s="81">
        <v>1000</v>
      </c>
      <c r="G127" s="81" t="s">
        <v>1316</v>
      </c>
      <c r="H127" s="83"/>
      <c r="I127" s="83"/>
      <c r="J127" s="83"/>
      <c r="K127" s="83"/>
      <c r="L127" s="83"/>
      <c r="M127" s="142" t="s">
        <v>52</v>
      </c>
      <c r="N127" s="82"/>
      <c r="O127" s="103"/>
      <c r="P127" s="82"/>
      <c r="Q127" s="81" t="s">
        <v>1317</v>
      </c>
      <c r="R127" s="82">
        <v>45919</v>
      </c>
      <c r="S127" s="82" t="s">
        <v>20</v>
      </c>
      <c r="T127" s="132" t="str">
        <f ca="1">IF(AND('Inserimento dati'!$B$3=$H$2, Tabella1[[#This Row],[LUN]]="X"), "X",IF(AND('Inserimento dati'!$B$3=$I$2, Tabella1[[#This Row],[MAR]]="X"), "X", IF(AND('Inserimento dati'!$B$3=$J$2, Tabella1[[#This Row],[MER]]="X"), "X",IF(AND('Inserimento dati'!$B$3=$K$2, Tabella1[[#This Row],[GIO]]="X"), "X", IF(AND('Inserimento dati'!$B$3=$L$2, Tabella1[[#This Row],[VEN]]="X"), "X","")))))</f>
        <v/>
      </c>
      <c r="U127" s="66"/>
    </row>
    <row r="128" spans="1:21" ht="90" x14ac:dyDescent="0.25">
      <c r="A128" s="84"/>
      <c r="B128" s="84"/>
      <c r="C128" s="84" t="str">
        <f>IF(OR(Tabella1[[#This Row],[LUN]]="X",Tabella1[[#This Row],[MAR]]="X",Tabella1[[#This Row],[MER]]="X",Tabella1[[#This Row],[GIO]]="X",Tabella1[[#This Row],[VEN]]="X",),"X","")</f>
        <v/>
      </c>
      <c r="D128" s="85" t="s">
        <v>147</v>
      </c>
      <c r="E128" s="81" t="s">
        <v>1318</v>
      </c>
      <c r="F128" s="81">
        <v>500</v>
      </c>
      <c r="G128" s="81" t="s">
        <v>1319</v>
      </c>
      <c r="H128" s="83"/>
      <c r="I128" s="83"/>
      <c r="J128" s="83"/>
      <c r="K128" s="83"/>
      <c r="L128" s="83"/>
      <c r="M128" s="142" t="s">
        <v>52</v>
      </c>
      <c r="N128" s="82"/>
      <c r="O128" s="103"/>
      <c r="P128" s="82"/>
      <c r="Q128" s="81" t="s">
        <v>1320</v>
      </c>
      <c r="R128" s="82">
        <v>45923</v>
      </c>
      <c r="S128" s="82" t="s">
        <v>20</v>
      </c>
      <c r="T128" s="132" t="str">
        <f ca="1">IF(AND('Inserimento dati'!$B$3=$H$2, Tabella1[[#This Row],[LUN]]="X"), "X",IF(AND('Inserimento dati'!$B$3=$I$2, Tabella1[[#This Row],[MAR]]="X"), "X", IF(AND('Inserimento dati'!$B$3=$J$2, Tabella1[[#This Row],[MER]]="X"), "X",IF(AND('Inserimento dati'!$B$3=$K$2, Tabella1[[#This Row],[GIO]]="X"), "X", IF(AND('Inserimento dati'!$B$3=$L$2, Tabella1[[#This Row],[VEN]]="X"), "X","")))))</f>
        <v/>
      </c>
      <c r="U128" s="66"/>
    </row>
    <row r="129" spans="1:21" ht="30" x14ac:dyDescent="0.25">
      <c r="A129" s="84"/>
      <c r="B129" s="84"/>
      <c r="C129" s="84" t="str">
        <f>IF(OR(Tabella1[[#This Row],[LUN]]="X",Tabella1[[#This Row],[MAR]]="X",Tabella1[[#This Row],[MER]]="X",Tabella1[[#This Row],[GIO]]="X",Tabella1[[#This Row],[VEN]]="X",),"X","")</f>
        <v/>
      </c>
      <c r="D129" s="85" t="s">
        <v>147</v>
      </c>
      <c r="E129" s="81" t="s">
        <v>1321</v>
      </c>
      <c r="F129" s="81">
        <v>1000</v>
      </c>
      <c r="G129" s="81" t="s">
        <v>1322</v>
      </c>
      <c r="H129" s="83"/>
      <c r="I129" s="83"/>
      <c r="J129" s="83"/>
      <c r="K129" s="83"/>
      <c r="L129" s="83"/>
      <c r="M129" s="142" t="s">
        <v>52</v>
      </c>
      <c r="N129" s="82"/>
      <c r="O129" s="103"/>
      <c r="P129" s="82"/>
      <c r="Q129" s="81" t="s">
        <v>1323</v>
      </c>
      <c r="R129" s="82">
        <v>45923</v>
      </c>
      <c r="S129" s="82" t="s">
        <v>238</v>
      </c>
      <c r="T129" s="132" t="str">
        <f ca="1">IF(AND('Inserimento dati'!$B$3=$H$2, Tabella1[[#This Row],[LUN]]="X"), "X",IF(AND('Inserimento dati'!$B$3=$I$2, Tabella1[[#This Row],[MAR]]="X"), "X", IF(AND('Inserimento dati'!$B$3=$J$2, Tabella1[[#This Row],[MER]]="X"), "X",IF(AND('Inserimento dati'!$B$3=$K$2, Tabella1[[#This Row],[GIO]]="X"), "X", IF(AND('Inserimento dati'!$B$3=$L$2, Tabella1[[#This Row],[VEN]]="X"), "X","")))))</f>
        <v/>
      </c>
      <c r="U129" s="66"/>
    </row>
    <row r="130" spans="1:21" ht="90" x14ac:dyDescent="0.25">
      <c r="A130" s="84"/>
      <c r="B130" s="84"/>
      <c r="C130" s="84" t="str">
        <f>IF(OR(Tabella1[[#This Row],[LUN]]="X",Tabella1[[#This Row],[MAR]]="X",Tabella1[[#This Row],[MER]]="X",Tabella1[[#This Row],[GIO]]="X",Tabella1[[#This Row],[VEN]]="X",),"X","")</f>
        <v/>
      </c>
      <c r="D130" s="85" t="s">
        <v>147</v>
      </c>
      <c r="E130" s="81" t="s">
        <v>1324</v>
      </c>
      <c r="F130" s="81">
        <v>1000</v>
      </c>
      <c r="G130" s="81" t="s">
        <v>1325</v>
      </c>
      <c r="H130" s="83"/>
      <c r="I130" s="83"/>
      <c r="J130" s="83"/>
      <c r="K130" s="83"/>
      <c r="L130" s="83"/>
      <c r="M130" s="142" t="s">
        <v>52</v>
      </c>
      <c r="N130" s="82"/>
      <c r="O130" s="103"/>
      <c r="P130" s="82"/>
      <c r="Q130" s="81" t="s">
        <v>1326</v>
      </c>
      <c r="R130" s="82">
        <v>45929</v>
      </c>
      <c r="S130" s="82" t="s">
        <v>11</v>
      </c>
      <c r="T130" s="132" t="str">
        <f ca="1">IF(AND('Inserimento dati'!$B$3=$H$2, Tabella1[[#This Row],[LUN]]="X"), "X",IF(AND('Inserimento dati'!$B$3=$I$2, Tabella1[[#This Row],[MAR]]="X"), "X", IF(AND('Inserimento dati'!$B$3=$J$2, Tabella1[[#This Row],[MER]]="X"), "X",IF(AND('Inserimento dati'!$B$3=$K$2, Tabella1[[#This Row],[GIO]]="X"), "X", IF(AND('Inserimento dati'!$B$3=$L$2, Tabella1[[#This Row],[VEN]]="X"), "X","")))))</f>
        <v/>
      </c>
      <c r="U130" s="66"/>
    </row>
    <row r="131" spans="1:21" ht="23.25" x14ac:dyDescent="0.25">
      <c r="A131" s="84"/>
      <c r="B131" s="84"/>
      <c r="C131" s="84" t="str">
        <f>IF(OR(Tabella1[[#This Row],[LUN]]="X",Tabella1[[#This Row],[MAR]]="X",Tabella1[[#This Row],[MER]]="X",Tabella1[[#This Row],[GIO]]="X",Tabella1[[#This Row],[VEN]]="X",),"X","")</f>
        <v/>
      </c>
      <c r="D131" s="85" t="s">
        <v>147</v>
      </c>
      <c r="E131" s="81" t="s">
        <v>1327</v>
      </c>
      <c r="F131" s="81">
        <v>1000</v>
      </c>
      <c r="G131" s="81" t="s">
        <v>1328</v>
      </c>
      <c r="H131" s="83"/>
      <c r="I131" s="83"/>
      <c r="J131" s="83"/>
      <c r="K131" s="83"/>
      <c r="L131" s="83"/>
      <c r="M131" s="142" t="s">
        <v>52</v>
      </c>
      <c r="N131" s="82"/>
      <c r="O131" s="103"/>
      <c r="P131" s="82"/>
      <c r="Q131" s="81" t="s">
        <v>1329</v>
      </c>
      <c r="R131" s="82">
        <v>45931</v>
      </c>
      <c r="S131" s="82" t="s">
        <v>45</v>
      </c>
      <c r="T131" s="132" t="str">
        <f ca="1">IF(AND('Inserimento dati'!$B$3=$H$2, Tabella1[[#This Row],[LUN]]="X"), "X",IF(AND('Inserimento dati'!$B$3=$I$2, Tabella1[[#This Row],[MAR]]="X"), "X", IF(AND('Inserimento dati'!$B$3=$J$2, Tabella1[[#This Row],[MER]]="X"), "X",IF(AND('Inserimento dati'!$B$3=$K$2, Tabella1[[#This Row],[GIO]]="X"), "X", IF(AND('Inserimento dati'!$B$3=$L$2, Tabella1[[#This Row],[VEN]]="X"), "X","")))))</f>
        <v/>
      </c>
      <c r="U131" s="66"/>
    </row>
    <row r="132" spans="1:21" ht="30" x14ac:dyDescent="0.25">
      <c r="A132" s="84"/>
      <c r="B132" s="84"/>
      <c r="C132" s="84" t="str">
        <f>IF(OR(Tabella1[[#This Row],[LUN]]="X",Tabella1[[#This Row],[MAR]]="X",Tabella1[[#This Row],[MER]]="X",Tabella1[[#This Row],[GIO]]="X",Tabella1[[#This Row],[VEN]]="X",),"X","")</f>
        <v/>
      </c>
      <c r="D132" s="85" t="s">
        <v>147</v>
      </c>
      <c r="E132" s="81" t="s">
        <v>1330</v>
      </c>
      <c r="F132" s="81">
        <v>600</v>
      </c>
      <c r="G132" s="81" t="s">
        <v>1331</v>
      </c>
      <c r="H132" s="83"/>
      <c r="I132" s="83"/>
      <c r="J132" s="83"/>
      <c r="K132" s="83"/>
      <c r="L132" s="83"/>
      <c r="M132" s="142" t="s">
        <v>52</v>
      </c>
      <c r="N132" s="82"/>
      <c r="O132" s="103"/>
      <c r="P132" s="82"/>
      <c r="Q132" s="81" t="s">
        <v>1332</v>
      </c>
      <c r="R132" s="82">
        <v>45937</v>
      </c>
      <c r="S132" s="82" t="s">
        <v>23</v>
      </c>
      <c r="T132" s="132" t="str">
        <f ca="1">IF(AND('Inserimento dati'!$B$3=$H$2, Tabella1[[#This Row],[LUN]]="X"), "X",IF(AND('Inserimento dati'!$B$3=$I$2, Tabella1[[#This Row],[MAR]]="X"), "X", IF(AND('Inserimento dati'!$B$3=$J$2, Tabella1[[#This Row],[MER]]="X"), "X",IF(AND('Inserimento dati'!$B$3=$K$2, Tabella1[[#This Row],[GIO]]="X"), "X", IF(AND('Inserimento dati'!$B$3=$L$2, Tabella1[[#This Row],[VEN]]="X"), "X","")))))</f>
        <v/>
      </c>
      <c r="U132" s="66"/>
    </row>
    <row r="133" spans="1:21" ht="45" x14ac:dyDescent="0.25">
      <c r="A133" s="84"/>
      <c r="B133" s="84"/>
      <c r="C133" s="84" t="str">
        <f>IF(OR(Tabella1[[#This Row],[LUN]]="X",Tabella1[[#This Row],[MAR]]="X",Tabella1[[#This Row],[MER]]="X",Tabella1[[#This Row],[GIO]]="X",Tabella1[[#This Row],[VEN]]="X",),"X","")</f>
        <v/>
      </c>
      <c r="D133" s="85" t="s">
        <v>147</v>
      </c>
      <c r="E133" s="81" t="s">
        <v>1333</v>
      </c>
      <c r="F133" s="81">
        <v>600</v>
      </c>
      <c r="G133" s="81" t="s">
        <v>1334</v>
      </c>
      <c r="H133" s="83"/>
      <c r="I133" s="83"/>
      <c r="J133" s="83"/>
      <c r="K133" s="83"/>
      <c r="L133" s="83"/>
      <c r="M133" s="142" t="s">
        <v>52</v>
      </c>
      <c r="N133" s="82"/>
      <c r="O133" s="103"/>
      <c r="P133" s="82"/>
      <c r="Q133" s="81" t="s">
        <v>1335</v>
      </c>
      <c r="R133" s="82">
        <v>45944</v>
      </c>
      <c r="S133" s="82" t="s">
        <v>623</v>
      </c>
      <c r="T133" s="132" t="str">
        <f ca="1">IF(AND('Inserimento dati'!$B$3=$H$2, Tabella1[[#This Row],[LUN]]="X"), "X",IF(AND('Inserimento dati'!$B$3=$I$2, Tabella1[[#This Row],[MAR]]="X"), "X", IF(AND('Inserimento dati'!$B$3=$J$2, Tabella1[[#This Row],[MER]]="X"), "X",IF(AND('Inserimento dati'!$B$3=$K$2, Tabella1[[#This Row],[GIO]]="X"), "X", IF(AND('Inserimento dati'!$B$3=$L$2, Tabella1[[#This Row],[VEN]]="X"), "X","")))))</f>
        <v/>
      </c>
      <c r="U133" s="125"/>
    </row>
    <row r="134" spans="1:21" ht="23.25" x14ac:dyDescent="0.25">
      <c r="A134" s="84"/>
      <c r="B134" s="84"/>
      <c r="C134" s="84" t="str">
        <f>IF(OR(Tabella1[[#This Row],[LUN]]="X",Tabella1[[#This Row],[MAR]]="X",Tabella1[[#This Row],[MER]]="X",Tabella1[[#This Row],[GIO]]="X",Tabella1[[#This Row],[VEN]]="X",),"X","")</f>
        <v/>
      </c>
      <c r="D134" s="85" t="s">
        <v>147</v>
      </c>
      <c r="E134" s="81" t="s">
        <v>3564</v>
      </c>
      <c r="F134" s="81">
        <v>600</v>
      </c>
      <c r="G134" s="81" t="s">
        <v>3565</v>
      </c>
      <c r="H134" s="83"/>
      <c r="I134" s="83"/>
      <c r="J134" s="83"/>
      <c r="K134" s="83"/>
      <c r="L134" s="83"/>
      <c r="M134" s="142" t="s">
        <v>43</v>
      </c>
      <c r="N134" s="82"/>
      <c r="O134" s="103"/>
      <c r="P134" s="82"/>
      <c r="Q134" s="81"/>
      <c r="R134" s="82"/>
      <c r="S134" s="82"/>
      <c r="T134" s="132" t="str">
        <f ca="1">IF(AND('Inserimento dati'!$B$3=$H$2, Tabella1[[#This Row],[LUN]]="X"), "X",IF(AND('Inserimento dati'!$B$3=$I$2, Tabella1[[#This Row],[MAR]]="X"), "X", IF(AND('Inserimento dati'!$B$3=$J$2, Tabella1[[#This Row],[MER]]="X"), "X",IF(AND('Inserimento dati'!$B$3=$K$2, Tabella1[[#This Row],[GIO]]="X"), "X", IF(AND('Inserimento dati'!$B$3=$L$2, Tabella1[[#This Row],[VEN]]="X"), "X","")))))</f>
        <v/>
      </c>
      <c r="U134" s="66"/>
    </row>
    <row r="135" spans="1:21" ht="30" x14ac:dyDescent="0.25">
      <c r="A135" s="84"/>
      <c r="B135" s="84"/>
      <c r="C135" s="84" t="str">
        <f>IF(OR(Tabella1[[#This Row],[LUN]]="X",Tabella1[[#This Row],[MAR]]="X",Tabella1[[#This Row],[MER]]="X",Tabella1[[#This Row],[GIO]]="X",Tabella1[[#This Row],[VEN]]="X",),"X","")</f>
        <v/>
      </c>
      <c r="D135" s="85" t="s">
        <v>147</v>
      </c>
      <c r="E135" s="81" t="s">
        <v>3288</v>
      </c>
      <c r="F135" s="81">
        <v>500</v>
      </c>
      <c r="G135" s="81" t="s">
        <v>3289</v>
      </c>
      <c r="H135" s="83"/>
      <c r="I135" s="83"/>
      <c r="J135" s="83"/>
      <c r="K135" s="83"/>
      <c r="L135" s="83"/>
      <c r="M135" s="142" t="s">
        <v>43</v>
      </c>
      <c r="N135" s="82"/>
      <c r="O135" s="103"/>
      <c r="P135" s="82"/>
      <c r="Q135" s="81"/>
      <c r="R135" s="82"/>
      <c r="S135" s="82"/>
      <c r="T135" s="132" t="str">
        <f ca="1">IF(AND('Inserimento dati'!$B$3=$H$2, Tabella1[[#This Row],[LUN]]="X"), "X",IF(AND('Inserimento dati'!$B$3=$I$2, Tabella1[[#This Row],[MAR]]="X"), "X", IF(AND('Inserimento dati'!$B$3=$J$2, Tabella1[[#This Row],[MER]]="X"), "X",IF(AND('Inserimento dati'!$B$3=$K$2, Tabella1[[#This Row],[GIO]]="X"), "X", IF(AND('Inserimento dati'!$B$3=$L$2, Tabella1[[#This Row],[VEN]]="X"), "X","")))))</f>
        <v/>
      </c>
      <c r="U135" s="66"/>
    </row>
    <row r="136" spans="1:21" ht="23.25" x14ac:dyDescent="0.25">
      <c r="A136" s="84"/>
      <c r="B136" s="84"/>
      <c r="C136" s="84" t="str">
        <f>IF(OR(Tabella1[[#This Row],[LUN]]="X",Tabella1[[#This Row],[MAR]]="X",Tabella1[[#This Row],[MER]]="X",Tabella1[[#This Row],[GIO]]="X",Tabella1[[#This Row],[VEN]]="X",),"X","")</f>
        <v>X</v>
      </c>
      <c r="D136" s="85" t="s">
        <v>147</v>
      </c>
      <c r="E136" s="81" t="s">
        <v>1338</v>
      </c>
      <c r="F136" s="81">
        <v>1000</v>
      </c>
      <c r="G136" s="81" t="s">
        <v>1339</v>
      </c>
      <c r="H136" s="83"/>
      <c r="I136" s="83"/>
      <c r="J136" s="83"/>
      <c r="K136" s="83"/>
      <c r="L136" s="83" t="s">
        <v>8</v>
      </c>
      <c r="M136" s="142" t="s">
        <v>43</v>
      </c>
      <c r="N136" s="82"/>
      <c r="O136" s="103"/>
      <c r="P136" s="82"/>
      <c r="Q136" s="81"/>
      <c r="R136" s="82"/>
      <c r="S136" s="82"/>
      <c r="T136" s="132" t="str">
        <f ca="1">IF(AND('Inserimento dati'!$B$3=$H$2, Tabella1[[#This Row],[LUN]]="X"), "X",IF(AND('Inserimento dati'!$B$3=$I$2, Tabella1[[#This Row],[MAR]]="X"), "X", IF(AND('Inserimento dati'!$B$3=$J$2, Tabella1[[#This Row],[MER]]="X"), "X",IF(AND('Inserimento dati'!$B$3=$K$2, Tabella1[[#This Row],[GIO]]="X"), "X", IF(AND('Inserimento dati'!$B$3=$L$2, Tabella1[[#This Row],[VEN]]="X"), "X","")))))</f>
        <v/>
      </c>
      <c r="U136" s="125"/>
    </row>
    <row r="137" spans="1:21" ht="23.25" x14ac:dyDescent="0.25">
      <c r="A137" s="84"/>
      <c r="B137" s="84"/>
      <c r="C137" s="84" t="str">
        <f>IF(OR(Tabella1[[#This Row],[LUN]]="X",Tabella1[[#This Row],[MAR]]="X",Tabella1[[#This Row],[MER]]="X",Tabella1[[#This Row],[GIO]]="X",Tabella1[[#This Row],[VEN]]="X",),"X","")</f>
        <v/>
      </c>
      <c r="D137" s="85" t="s">
        <v>147</v>
      </c>
      <c r="E137" s="81" t="s">
        <v>1340</v>
      </c>
      <c r="F137" s="81">
        <v>1000</v>
      </c>
      <c r="G137" s="81" t="s">
        <v>1341</v>
      </c>
      <c r="H137" s="83"/>
      <c r="I137" s="83"/>
      <c r="J137" s="83"/>
      <c r="K137" s="83"/>
      <c r="L137" s="83"/>
      <c r="M137" s="142" t="s">
        <v>43</v>
      </c>
      <c r="N137" s="82"/>
      <c r="O137" s="103"/>
      <c r="P137" s="82"/>
      <c r="Q137" s="81"/>
      <c r="R137" s="82"/>
      <c r="S137" s="82"/>
      <c r="T137" s="132" t="str">
        <f ca="1">IF(AND('Inserimento dati'!$B$3=$H$2, Tabella1[[#This Row],[LUN]]="X"), "X",IF(AND('Inserimento dati'!$B$3=$I$2, Tabella1[[#This Row],[MAR]]="X"), "X", IF(AND('Inserimento dati'!$B$3=$J$2, Tabella1[[#This Row],[MER]]="X"), "X",IF(AND('Inserimento dati'!$B$3=$K$2, Tabella1[[#This Row],[GIO]]="X"), "X", IF(AND('Inserimento dati'!$B$3=$L$2, Tabella1[[#This Row],[VEN]]="X"), "X","")))))</f>
        <v/>
      </c>
      <c r="U137" s="66"/>
    </row>
    <row r="138" spans="1:21" ht="23.25" x14ac:dyDescent="0.25">
      <c r="A138" s="84"/>
      <c r="B138" s="84"/>
      <c r="C138" s="84" t="str">
        <f>IF(OR(Tabella1[[#This Row],[LUN]]="X",Tabella1[[#This Row],[MAR]]="X",Tabella1[[#This Row],[MER]]="X",Tabella1[[#This Row],[GIO]]="X",Tabella1[[#This Row],[VEN]]="X",),"X","")</f>
        <v/>
      </c>
      <c r="D138" s="85" t="s">
        <v>147</v>
      </c>
      <c r="E138" s="81" t="s">
        <v>1342</v>
      </c>
      <c r="F138" s="81">
        <v>1000</v>
      </c>
      <c r="G138" s="81" t="s">
        <v>1343</v>
      </c>
      <c r="H138" s="83"/>
      <c r="I138" s="83"/>
      <c r="J138" s="83"/>
      <c r="K138" s="83"/>
      <c r="L138" s="83"/>
      <c r="M138" s="142" t="s">
        <v>43</v>
      </c>
      <c r="N138" s="82"/>
      <c r="O138" s="103"/>
      <c r="P138" s="82"/>
      <c r="Q138" s="81"/>
      <c r="R138" s="82">
        <v>45891</v>
      </c>
      <c r="S138" s="82"/>
      <c r="T138" s="132" t="str">
        <f ca="1">IF(AND('Inserimento dati'!$B$3=$H$2, Tabella1[[#This Row],[LUN]]="X"), "X",IF(AND('Inserimento dati'!$B$3=$I$2, Tabella1[[#This Row],[MAR]]="X"), "X", IF(AND('Inserimento dati'!$B$3=$J$2, Tabella1[[#This Row],[MER]]="X"), "X",IF(AND('Inserimento dati'!$B$3=$K$2, Tabella1[[#This Row],[GIO]]="X"), "X", IF(AND('Inserimento dati'!$B$3=$L$2, Tabella1[[#This Row],[VEN]]="X"), "X","")))))</f>
        <v/>
      </c>
      <c r="U138" s="66"/>
    </row>
    <row r="139" spans="1:21" ht="30" x14ac:dyDescent="0.25">
      <c r="A139" s="84"/>
      <c r="B139" s="84"/>
      <c r="C139" s="84" t="str">
        <f>IF(OR(Tabella1[[#This Row],[LUN]]="X",Tabella1[[#This Row],[MAR]]="X",Tabella1[[#This Row],[MER]]="X",Tabella1[[#This Row],[GIO]]="X",Tabella1[[#This Row],[VEN]]="X",),"X","")</f>
        <v/>
      </c>
      <c r="D139" s="85" t="s">
        <v>147</v>
      </c>
      <c r="E139" s="81" t="s">
        <v>1344</v>
      </c>
      <c r="F139" s="81">
        <v>600</v>
      </c>
      <c r="G139" s="81" t="s">
        <v>1345</v>
      </c>
      <c r="H139" s="83"/>
      <c r="I139" s="83"/>
      <c r="J139" s="83"/>
      <c r="K139" s="83"/>
      <c r="L139" s="83"/>
      <c r="M139" s="142" t="s">
        <v>43</v>
      </c>
      <c r="N139" s="82"/>
      <c r="O139" s="103"/>
      <c r="P139" s="82"/>
      <c r="Q139" s="81"/>
      <c r="R139" s="82"/>
      <c r="S139" s="82"/>
      <c r="T139" s="132" t="str">
        <f ca="1">IF(AND('Inserimento dati'!$B$3=$H$2, Tabella1[[#This Row],[LUN]]="X"), "X",IF(AND('Inserimento dati'!$B$3=$I$2, Tabella1[[#This Row],[MAR]]="X"), "X", IF(AND('Inserimento dati'!$B$3=$J$2, Tabella1[[#This Row],[MER]]="X"), "X",IF(AND('Inserimento dati'!$B$3=$K$2, Tabella1[[#This Row],[GIO]]="X"), "X", IF(AND('Inserimento dati'!$B$3=$L$2, Tabella1[[#This Row],[VEN]]="X"), "X","")))))</f>
        <v/>
      </c>
      <c r="U139" s="66"/>
    </row>
    <row r="140" spans="1:21" ht="30" x14ac:dyDescent="0.25">
      <c r="A140" s="84"/>
      <c r="B140" s="84"/>
      <c r="C140" s="84" t="str">
        <f>IF(OR(Tabella1[[#This Row],[LUN]]="X",Tabella1[[#This Row],[MAR]]="X",Tabella1[[#This Row],[MER]]="X",Tabella1[[#This Row],[GIO]]="X",Tabella1[[#This Row],[VEN]]="X",),"X","")</f>
        <v/>
      </c>
      <c r="D140" s="85" t="s">
        <v>147</v>
      </c>
      <c r="E140" s="81" t="s">
        <v>1346</v>
      </c>
      <c r="F140" s="81">
        <v>600</v>
      </c>
      <c r="G140" s="81" t="s">
        <v>1347</v>
      </c>
      <c r="H140" s="83"/>
      <c r="I140" s="83"/>
      <c r="J140" s="83"/>
      <c r="K140" s="83"/>
      <c r="L140" s="83"/>
      <c r="M140" s="142" t="s">
        <v>43</v>
      </c>
      <c r="N140" s="82"/>
      <c r="O140" s="103"/>
      <c r="P140" s="82"/>
      <c r="Q140" s="81" t="s">
        <v>1348</v>
      </c>
      <c r="R140" s="82">
        <v>45866</v>
      </c>
      <c r="S140" s="82" t="s">
        <v>11</v>
      </c>
      <c r="T140" s="132" t="str">
        <f ca="1">IF(AND('Inserimento dati'!$B$3=$H$2, Tabella1[[#This Row],[LUN]]="X"), "X",IF(AND('Inserimento dati'!$B$3=$I$2, Tabella1[[#This Row],[MAR]]="X"), "X", IF(AND('Inserimento dati'!$B$3=$J$2, Tabella1[[#This Row],[MER]]="X"), "X",IF(AND('Inserimento dati'!$B$3=$K$2, Tabella1[[#This Row],[GIO]]="X"), "X", IF(AND('Inserimento dati'!$B$3=$L$2, Tabella1[[#This Row],[VEN]]="X"), "X","")))))</f>
        <v/>
      </c>
      <c r="U140" s="66"/>
    </row>
    <row r="141" spans="1:21" ht="30" x14ac:dyDescent="0.25">
      <c r="A141" s="84"/>
      <c r="B141" s="84"/>
      <c r="C141" s="84" t="str">
        <f>IF(OR(Tabella1[[#This Row],[LUN]]="X",Tabella1[[#This Row],[MAR]]="X",Tabella1[[#This Row],[MER]]="X",Tabella1[[#This Row],[GIO]]="X",Tabella1[[#This Row],[VEN]]="X",),"X","")</f>
        <v/>
      </c>
      <c r="D141" s="85" t="s">
        <v>147</v>
      </c>
      <c r="E141" s="81" t="s">
        <v>1349</v>
      </c>
      <c r="F141" s="81">
        <v>1000</v>
      </c>
      <c r="G141" s="81" t="s">
        <v>1350</v>
      </c>
      <c r="H141" s="83"/>
      <c r="I141" s="83"/>
      <c r="J141" s="83"/>
      <c r="K141" s="83"/>
      <c r="L141" s="83"/>
      <c r="M141" s="142" t="s">
        <v>43</v>
      </c>
      <c r="N141" s="82"/>
      <c r="O141" s="103"/>
      <c r="P141" s="82"/>
      <c r="Q141" s="81"/>
      <c r="R141" s="82"/>
      <c r="S141" s="82"/>
      <c r="T141" s="132" t="str">
        <f ca="1">IF(AND('Inserimento dati'!$B$3=$H$2, Tabella1[[#This Row],[LUN]]="X"), "X",IF(AND('Inserimento dati'!$B$3=$I$2, Tabella1[[#This Row],[MAR]]="X"), "X", IF(AND('Inserimento dati'!$B$3=$J$2, Tabella1[[#This Row],[MER]]="X"), "X",IF(AND('Inserimento dati'!$B$3=$K$2, Tabella1[[#This Row],[GIO]]="X"), "X", IF(AND('Inserimento dati'!$B$3=$L$2, Tabella1[[#This Row],[VEN]]="X"), "X","")))))</f>
        <v/>
      </c>
      <c r="U141" s="66"/>
    </row>
    <row r="142" spans="1:21" ht="30" x14ac:dyDescent="0.25">
      <c r="A142" s="84"/>
      <c r="B142" s="84"/>
      <c r="C142" s="84" t="str">
        <f>IF(OR(Tabella1[[#This Row],[LUN]]="X",Tabella1[[#This Row],[MAR]]="X",Tabella1[[#This Row],[MER]]="X",Tabella1[[#This Row],[GIO]]="X",Tabella1[[#This Row],[VEN]]="X",),"X","")</f>
        <v/>
      </c>
      <c r="D142" s="85" t="s">
        <v>147</v>
      </c>
      <c r="E142" s="81" t="s">
        <v>1351</v>
      </c>
      <c r="F142" s="81">
        <v>1000</v>
      </c>
      <c r="G142" s="81" t="s">
        <v>1352</v>
      </c>
      <c r="H142" s="83"/>
      <c r="I142" s="83"/>
      <c r="J142" s="83"/>
      <c r="K142" s="83"/>
      <c r="L142" s="83"/>
      <c r="M142" s="142" t="s">
        <v>43</v>
      </c>
      <c r="N142" s="82"/>
      <c r="O142" s="103"/>
      <c r="P142" s="82"/>
      <c r="Q142" s="81"/>
      <c r="R142" s="82"/>
      <c r="S142" s="82"/>
      <c r="T142" s="132" t="str">
        <f ca="1">IF(AND('Inserimento dati'!$B$3=$H$2, Tabella1[[#This Row],[LUN]]="X"), "X",IF(AND('Inserimento dati'!$B$3=$I$2, Tabella1[[#This Row],[MAR]]="X"), "X", IF(AND('Inserimento dati'!$B$3=$J$2, Tabella1[[#This Row],[MER]]="X"), "X",IF(AND('Inserimento dati'!$B$3=$K$2, Tabella1[[#This Row],[GIO]]="X"), "X", IF(AND('Inserimento dati'!$B$3=$L$2, Tabella1[[#This Row],[VEN]]="X"), "X","")))))</f>
        <v/>
      </c>
      <c r="U142" s="66"/>
    </row>
    <row r="143" spans="1:21" ht="23.25" x14ac:dyDescent="0.25">
      <c r="A143" s="84"/>
      <c r="B143" s="84"/>
      <c r="C143" s="84" t="str">
        <f>IF(OR(Tabella1[[#This Row],[LUN]]="X",Tabella1[[#This Row],[MAR]]="X",Tabella1[[#This Row],[MER]]="X",Tabella1[[#This Row],[GIO]]="X",Tabella1[[#This Row],[VEN]]="X",),"X","")</f>
        <v/>
      </c>
      <c r="D143" s="85" t="s">
        <v>147</v>
      </c>
      <c r="E143" s="81" t="s">
        <v>1353</v>
      </c>
      <c r="F143" s="81">
        <v>1000</v>
      </c>
      <c r="G143" s="81" t="s">
        <v>1354</v>
      </c>
      <c r="H143" s="83"/>
      <c r="I143" s="83"/>
      <c r="J143" s="83"/>
      <c r="K143" s="83"/>
      <c r="L143" s="83"/>
      <c r="M143" s="142" t="s">
        <v>43</v>
      </c>
      <c r="N143" s="82"/>
      <c r="O143" s="103"/>
      <c r="P143" s="82"/>
      <c r="Q143" s="81" t="s">
        <v>1355</v>
      </c>
      <c r="R143" s="82">
        <v>45754</v>
      </c>
      <c r="S143" s="82" t="s">
        <v>20</v>
      </c>
      <c r="T143" s="132" t="str">
        <f ca="1">IF(AND('Inserimento dati'!$B$3=$H$2, Tabella1[[#This Row],[LUN]]="X"), "X",IF(AND('Inserimento dati'!$B$3=$I$2, Tabella1[[#This Row],[MAR]]="X"), "X", IF(AND('Inserimento dati'!$B$3=$J$2, Tabella1[[#This Row],[MER]]="X"), "X",IF(AND('Inserimento dati'!$B$3=$K$2, Tabella1[[#This Row],[GIO]]="X"), "X", IF(AND('Inserimento dati'!$B$3=$L$2, Tabella1[[#This Row],[VEN]]="X"), "X","")))))</f>
        <v/>
      </c>
      <c r="U143" s="149"/>
    </row>
    <row r="144" spans="1:21" ht="23.25" x14ac:dyDescent="0.25">
      <c r="A144" s="84"/>
      <c r="B144" s="84"/>
      <c r="C144" s="84" t="str">
        <f>IF(OR(Tabella1[[#This Row],[LUN]]="X",Tabella1[[#This Row],[MAR]]="X",Tabella1[[#This Row],[MER]]="X",Tabella1[[#This Row],[GIO]]="X",Tabella1[[#This Row],[VEN]]="X",),"X","")</f>
        <v/>
      </c>
      <c r="D144" s="85" t="s">
        <v>147</v>
      </c>
      <c r="E144" s="81" t="s">
        <v>1356</v>
      </c>
      <c r="F144" s="81">
        <v>500</v>
      </c>
      <c r="G144" s="81" t="s">
        <v>1357</v>
      </c>
      <c r="H144" s="83"/>
      <c r="I144" s="83"/>
      <c r="J144" s="83"/>
      <c r="K144" s="83"/>
      <c r="L144" s="83"/>
      <c r="M144" s="142" t="s">
        <v>43</v>
      </c>
      <c r="N144" s="82"/>
      <c r="O144" s="103"/>
      <c r="P144" s="82"/>
      <c r="Q144" s="81"/>
      <c r="R144" s="82">
        <v>45820</v>
      </c>
      <c r="S144" s="82" t="s">
        <v>227</v>
      </c>
      <c r="T144" s="132" t="str">
        <f ca="1">IF(AND('Inserimento dati'!$B$3=$H$2, Tabella1[[#This Row],[LUN]]="X"), "X",IF(AND('Inserimento dati'!$B$3=$I$2, Tabella1[[#This Row],[MAR]]="X"), "X", IF(AND('Inserimento dati'!$B$3=$J$2, Tabella1[[#This Row],[MER]]="X"), "X",IF(AND('Inserimento dati'!$B$3=$K$2, Tabella1[[#This Row],[GIO]]="X"), "X", IF(AND('Inserimento dati'!$B$3=$L$2, Tabella1[[#This Row],[VEN]]="X"), "X","")))))</f>
        <v/>
      </c>
      <c r="U144" s="145" t="str">
        <f t="shared" ref="U144:U157" ca="1" si="6">IFERROR(MID(G144,_xlfn.AGGREGATE(15,6,(ROW(INDIRECT("1:"&amp;LEN(G144)-7)))/(ISNUMBER(--MID(G144,ROW(INDIRECT("1:"&amp;LEN(G144)-7)),8))),1),8),"")</f>
        <v/>
      </c>
    </row>
    <row r="145" spans="1:21" ht="30" x14ac:dyDescent="0.25">
      <c r="A145" s="84"/>
      <c r="B145" s="84" t="str">
        <f>IF(OR(A145="x",A145="X"),"",IF(ISBLANK(A145),"X",""))</f>
        <v>X</v>
      </c>
      <c r="C145" s="84" t="str">
        <f>IF(OR(Tabella1[[#This Row],[LUN]]="X",Tabella1[[#This Row],[MAR]]="X",Tabella1[[#This Row],[MER]]="X",Tabella1[[#This Row],[GIO]]="X",Tabella1[[#This Row],[VEN]]="X",),"X","")</f>
        <v/>
      </c>
      <c r="D145" s="85" t="s">
        <v>147</v>
      </c>
      <c r="E145" s="81" t="s">
        <v>1358</v>
      </c>
      <c r="F145" s="81">
        <v>1000</v>
      </c>
      <c r="G145" s="81" t="s">
        <v>1359</v>
      </c>
      <c r="H145" s="83"/>
      <c r="I145" s="83"/>
      <c r="J145" s="83"/>
      <c r="K145" s="83"/>
      <c r="L145" s="83"/>
      <c r="M145" s="82" t="s">
        <v>43</v>
      </c>
      <c r="N145" s="82"/>
      <c r="O145" s="103"/>
      <c r="P145" s="82"/>
      <c r="Q145" s="81"/>
      <c r="R145" s="82"/>
      <c r="S145" s="82"/>
      <c r="T145" s="132" t="str">
        <f ca="1">IF(AND('Inserimento dati'!$B$3=$H$2, Tabella1[[#This Row],[LUN]]="X"), "X",IF(AND('Inserimento dati'!$B$3=$I$2, Tabella1[[#This Row],[MAR]]="X"), "X", IF(AND('Inserimento dati'!$B$3=$J$2, Tabella1[[#This Row],[MER]]="X"), "X",IF(AND('Inserimento dati'!$B$3=$K$2, Tabella1[[#This Row],[GIO]]="X"), "X", IF(AND('Inserimento dati'!$B$3=$L$2, Tabella1[[#This Row],[VEN]]="X"), "X","")))))</f>
        <v/>
      </c>
      <c r="U145" s="146" t="str">
        <f t="shared" ca="1" si="6"/>
        <v/>
      </c>
    </row>
    <row r="146" spans="1:21" ht="45" x14ac:dyDescent="0.25">
      <c r="A146" s="84"/>
      <c r="B146" s="84" t="str">
        <f>IF(OR(A146="x",A146="X"),"",IF(ISBLANK(A146),"X",""))</f>
        <v>X</v>
      </c>
      <c r="C146" s="84" t="str">
        <f>IF(OR(Tabella1[[#This Row],[LUN]]="X",Tabella1[[#This Row],[MAR]]="X",Tabella1[[#This Row],[MER]]="X",Tabella1[[#This Row],[GIO]]="X",Tabella1[[#This Row],[VEN]]="X",),"X","")</f>
        <v/>
      </c>
      <c r="D146" s="85" t="s">
        <v>147</v>
      </c>
      <c r="E146" s="81" t="s">
        <v>1360</v>
      </c>
      <c r="F146" s="81">
        <v>500</v>
      </c>
      <c r="G146" s="81" t="s">
        <v>1361</v>
      </c>
      <c r="H146" s="83"/>
      <c r="I146" s="83"/>
      <c r="J146" s="83"/>
      <c r="K146" s="83"/>
      <c r="L146" s="83"/>
      <c r="M146" s="82" t="s">
        <v>43</v>
      </c>
      <c r="N146" s="82"/>
      <c r="O146" s="103"/>
      <c r="P146" s="82"/>
      <c r="Q146" s="81"/>
      <c r="R146" s="82"/>
      <c r="S146" s="82"/>
      <c r="T146" s="84" t="str">
        <f ca="1">IF(AND('Inserimento dati'!$B$3=$H$2, Tabella1[[#This Row],[LUN]]="X"), "X",IF(AND('Inserimento dati'!$B$3=$I$2, Tabella1[[#This Row],[MAR]]="X"), "X", IF(AND('Inserimento dati'!$B$3=$J$2, Tabella1[[#This Row],[MER]]="X"), "X",IF(AND('Inserimento dati'!$B$3=$K$2, Tabella1[[#This Row],[GIO]]="X"), "X", IF(AND('Inserimento dati'!$B$3=$L$2, Tabella1[[#This Row],[VEN]]="X"), "X","")))))</f>
        <v/>
      </c>
      <c r="U146" s="146" t="str">
        <f t="shared" ca="1" si="6"/>
        <v/>
      </c>
    </row>
    <row r="147" spans="1:21" ht="45" x14ac:dyDescent="0.25">
      <c r="A147" s="84"/>
      <c r="B147" s="84" t="str">
        <f>IF(OR(A147="x",A147="X"),"",IF(ISBLANK(A147),"X",""))</f>
        <v>X</v>
      </c>
      <c r="C147" s="84" t="str">
        <f>IF(OR(Tabella1[[#This Row],[LUN]]="X",Tabella1[[#This Row],[MAR]]="X",Tabella1[[#This Row],[MER]]="X",Tabella1[[#This Row],[GIO]]="X",Tabella1[[#This Row],[VEN]]="X",),"X","")</f>
        <v/>
      </c>
      <c r="D147" s="85" t="s">
        <v>147</v>
      </c>
      <c r="E147" s="81" t="s">
        <v>1362</v>
      </c>
      <c r="F147" s="81">
        <v>500</v>
      </c>
      <c r="G147" s="81" t="s">
        <v>1363</v>
      </c>
      <c r="H147" s="83"/>
      <c r="I147" s="83"/>
      <c r="J147" s="83"/>
      <c r="K147" s="83"/>
      <c r="L147" s="83"/>
      <c r="M147" s="82" t="s">
        <v>43</v>
      </c>
      <c r="N147" s="82"/>
      <c r="O147" s="103"/>
      <c r="P147" s="82"/>
      <c r="Q147" s="81"/>
      <c r="R147" s="82"/>
      <c r="S147" s="82"/>
      <c r="T147" s="84" t="str">
        <f ca="1">IF(AND('Inserimento dati'!$B$3=$H$2, Tabella1[[#This Row],[LUN]]="X"), "X",IF(AND('Inserimento dati'!$B$3=$I$2, Tabella1[[#This Row],[MAR]]="X"), "X", IF(AND('Inserimento dati'!$B$3=$J$2, Tabella1[[#This Row],[MER]]="X"), "X",IF(AND('Inserimento dati'!$B$3=$K$2, Tabella1[[#This Row],[GIO]]="X"), "X", IF(AND('Inserimento dati'!$B$3=$L$2, Tabella1[[#This Row],[VEN]]="X"), "X","")))))</f>
        <v/>
      </c>
      <c r="U147" s="146" t="str">
        <f t="shared" ca="1" si="6"/>
        <v/>
      </c>
    </row>
    <row r="148" spans="1:21" ht="23.25" x14ac:dyDescent="0.25">
      <c r="A148" s="84"/>
      <c r="B148" s="84" t="str">
        <f>IF(OR(A148="x",A148="X"),"",IF(ISBLANK(A148),"X",""))</f>
        <v>X</v>
      </c>
      <c r="C148" s="84" t="str">
        <f>IF(OR(Tabella1[[#This Row],[LUN]]="X",Tabella1[[#This Row],[MAR]]="X",Tabella1[[#This Row],[MER]]="X",Tabella1[[#This Row],[GIO]]="X",Tabella1[[#This Row],[VEN]]="X",),"X","")</f>
        <v/>
      </c>
      <c r="D148" s="85" t="s">
        <v>147</v>
      </c>
      <c r="E148" s="81" t="s">
        <v>1364</v>
      </c>
      <c r="F148" s="81">
        <v>500</v>
      </c>
      <c r="G148" s="81" t="s">
        <v>1365</v>
      </c>
      <c r="H148" s="83"/>
      <c r="I148" s="83"/>
      <c r="J148" s="83"/>
      <c r="K148" s="83"/>
      <c r="L148" s="83"/>
      <c r="M148" s="82" t="s">
        <v>43</v>
      </c>
      <c r="N148" s="82"/>
      <c r="O148" s="103"/>
      <c r="P148" s="82"/>
      <c r="Q148" s="82"/>
      <c r="R148" s="82"/>
      <c r="S148" s="82"/>
      <c r="T148" s="84" t="str">
        <f ca="1">IF(AND('Inserimento dati'!$B$3=$H$2, Tabella1[[#This Row],[LUN]]="X"), "X",IF(AND('Inserimento dati'!$B$3=$I$2, Tabella1[[#This Row],[MAR]]="X"), "X", IF(AND('Inserimento dati'!$B$3=$J$2, Tabella1[[#This Row],[MER]]="X"), "X",IF(AND('Inserimento dati'!$B$3=$K$2, Tabella1[[#This Row],[GIO]]="X"), "X", IF(AND('Inserimento dati'!$B$3=$L$2, Tabella1[[#This Row],[VEN]]="X"), "X","")))))</f>
        <v/>
      </c>
      <c r="U148" s="146" t="str">
        <f t="shared" ca="1" si="6"/>
        <v/>
      </c>
    </row>
    <row r="149" spans="1:21" ht="23.25" x14ac:dyDescent="0.25">
      <c r="A149" s="84"/>
      <c r="B149" s="84" t="str">
        <f>IF(OR(A149="x",A149="X"),"",IF(ISBLANK(A149),"X",""))</f>
        <v>X</v>
      </c>
      <c r="C149" s="84" t="str">
        <f>IF(OR(Tabella1[[#This Row],[LUN]]="X",Tabella1[[#This Row],[MAR]]="X",Tabella1[[#This Row],[MER]]="X",Tabella1[[#This Row],[GIO]]="X",Tabella1[[#This Row],[VEN]]="X",),"X","")</f>
        <v/>
      </c>
      <c r="D149" s="85" t="s">
        <v>147</v>
      </c>
      <c r="E149" s="81" t="s">
        <v>1366</v>
      </c>
      <c r="F149" s="81">
        <v>1000</v>
      </c>
      <c r="G149" s="81" t="s">
        <v>1367</v>
      </c>
      <c r="H149" s="83"/>
      <c r="I149" s="83"/>
      <c r="J149" s="83"/>
      <c r="K149" s="83"/>
      <c r="L149" s="83"/>
      <c r="M149" s="82" t="s">
        <v>43</v>
      </c>
      <c r="N149" s="82"/>
      <c r="O149" s="103"/>
      <c r="P149" s="82"/>
      <c r="Q149" s="81" t="s">
        <v>1368</v>
      </c>
      <c r="R149" s="82"/>
      <c r="S149" s="82"/>
      <c r="T149" s="132" t="str">
        <f ca="1">IF(AND('Inserimento dati'!$B$3=$H$2, Tabella1[[#This Row],[LUN]]="X"), "X",IF(AND('Inserimento dati'!$B$3=$I$2, Tabella1[[#This Row],[MAR]]="X"), "X", IF(AND('Inserimento dati'!$B$3=$J$2, Tabella1[[#This Row],[MER]]="X"), "X",IF(AND('Inserimento dati'!$B$3=$K$2, Tabella1[[#This Row],[GIO]]="X"), "X", IF(AND('Inserimento dati'!$B$3=$L$2, Tabella1[[#This Row],[VEN]]="X"), "X","")))))</f>
        <v/>
      </c>
      <c r="U149" s="147" t="str">
        <f t="shared" ca="1" si="6"/>
        <v/>
      </c>
    </row>
    <row r="150" spans="1:21" ht="45" x14ac:dyDescent="0.25">
      <c r="A150" s="84"/>
      <c r="B150" s="84"/>
      <c r="C150" s="84" t="str">
        <f>IF(OR(Tabella1[[#This Row],[LUN]]="X",Tabella1[[#This Row],[MAR]]="X",Tabella1[[#This Row],[MER]]="X",Tabella1[[#This Row],[GIO]]="X",Tabella1[[#This Row],[VEN]]="X",),"X","")</f>
        <v/>
      </c>
      <c r="D150" s="85" t="s">
        <v>147</v>
      </c>
      <c r="E150" s="81" t="s">
        <v>1369</v>
      </c>
      <c r="F150" s="81">
        <v>500</v>
      </c>
      <c r="G150" s="81" t="s">
        <v>1370</v>
      </c>
      <c r="H150" s="83"/>
      <c r="I150" s="83"/>
      <c r="J150" s="83"/>
      <c r="K150" s="83"/>
      <c r="L150" s="83"/>
      <c r="M150" s="82" t="s">
        <v>43</v>
      </c>
      <c r="N150" s="82"/>
      <c r="O150" s="103"/>
      <c r="P150" s="82"/>
      <c r="Q150" s="81"/>
      <c r="R150" s="82"/>
      <c r="S150" s="82"/>
      <c r="T150" s="132" t="str">
        <f ca="1">IF(AND('Inserimento dati'!$B$3=$H$2, Tabella1[[#This Row],[LUN]]="X"), "X",IF(AND('Inserimento dati'!$B$3=$I$2, Tabella1[[#This Row],[MAR]]="X"), "X", IF(AND('Inserimento dati'!$B$3=$J$2, Tabella1[[#This Row],[MER]]="X"), "X",IF(AND('Inserimento dati'!$B$3=$K$2, Tabella1[[#This Row],[GIO]]="X"), "X", IF(AND('Inserimento dati'!$B$3=$L$2, Tabella1[[#This Row],[VEN]]="X"), "X","")))))</f>
        <v/>
      </c>
      <c r="U150" s="148" t="str">
        <f t="shared" ca="1" si="6"/>
        <v/>
      </c>
    </row>
    <row r="151" spans="1:21" ht="30" x14ac:dyDescent="0.25">
      <c r="A151" s="84"/>
      <c r="B151" s="84"/>
      <c r="C151" s="84" t="str">
        <f>IF(OR(Tabella1[[#This Row],[LUN]]="X",Tabella1[[#This Row],[MAR]]="X",Tabella1[[#This Row],[MER]]="X",Tabella1[[#This Row],[GIO]]="X",Tabella1[[#This Row],[VEN]]="X",),"X","")</f>
        <v/>
      </c>
      <c r="D151" s="85" t="s">
        <v>147</v>
      </c>
      <c r="E151" s="81" t="s">
        <v>1371</v>
      </c>
      <c r="F151" s="81">
        <v>600</v>
      </c>
      <c r="G151" s="81" t="s">
        <v>1220</v>
      </c>
      <c r="H151" s="83"/>
      <c r="I151" s="83"/>
      <c r="J151" s="83"/>
      <c r="K151" s="83"/>
      <c r="L151" s="83"/>
      <c r="M151" s="142" t="s">
        <v>43</v>
      </c>
      <c r="N151" s="82"/>
      <c r="O151" s="103"/>
      <c r="P151" s="82"/>
      <c r="Q151" s="81"/>
      <c r="R151" s="82"/>
      <c r="S151" s="82"/>
      <c r="T151" s="132" t="str">
        <f ca="1">IF(AND('Inserimento dati'!$B$3=$H$2, Tabella1[[#This Row],[LUN]]="X"), "X",IF(AND('Inserimento dati'!$B$3=$I$2, Tabella1[[#This Row],[MAR]]="X"), "X", IF(AND('Inserimento dati'!$B$3=$J$2, Tabella1[[#This Row],[MER]]="X"), "X",IF(AND('Inserimento dati'!$B$3=$K$2, Tabella1[[#This Row],[GIO]]="X"), "X", IF(AND('Inserimento dati'!$B$3=$L$2, Tabella1[[#This Row],[VEN]]="X"), "X","")))))</f>
        <v/>
      </c>
      <c r="U151" s="145" t="str">
        <f t="shared" ca="1" si="6"/>
        <v/>
      </c>
    </row>
    <row r="152" spans="1:21" ht="30" x14ac:dyDescent="0.25">
      <c r="A152" s="84"/>
      <c r="B152" s="84"/>
      <c r="C152" s="84" t="str">
        <f>IF(OR(Tabella1[[#This Row],[LUN]]="X",Tabella1[[#This Row],[MAR]]="X",Tabella1[[#This Row],[MER]]="X",Tabella1[[#This Row],[GIO]]="X",Tabella1[[#This Row],[VEN]]="X",),"X","")</f>
        <v/>
      </c>
      <c r="D152" s="85" t="s">
        <v>147</v>
      </c>
      <c r="E152" s="81" t="s">
        <v>1372</v>
      </c>
      <c r="F152" s="81">
        <v>500</v>
      </c>
      <c r="G152" s="81" t="s">
        <v>1373</v>
      </c>
      <c r="H152" s="83"/>
      <c r="I152" s="83"/>
      <c r="J152" s="83"/>
      <c r="K152" s="83"/>
      <c r="L152" s="83"/>
      <c r="M152" s="82" t="s">
        <v>43</v>
      </c>
      <c r="N152" s="82"/>
      <c r="O152" s="103"/>
      <c r="P152" s="82"/>
      <c r="Q152" s="81" t="s">
        <v>1374</v>
      </c>
      <c r="R152" s="82">
        <v>45813</v>
      </c>
      <c r="S152" s="82" t="s">
        <v>1375</v>
      </c>
      <c r="T152" s="132" t="str">
        <f ca="1">IF(AND('Inserimento dati'!$B$3=$H$2, Tabella1[[#This Row],[LUN]]="X"), "X",IF(AND('Inserimento dati'!$B$3=$I$2, Tabella1[[#This Row],[MAR]]="X"), "X", IF(AND('Inserimento dati'!$B$3=$J$2, Tabella1[[#This Row],[MER]]="X"), "X",IF(AND('Inserimento dati'!$B$3=$K$2, Tabella1[[#This Row],[GIO]]="X"), "X", IF(AND('Inserimento dati'!$B$3=$L$2, Tabella1[[#This Row],[VEN]]="X"), "X","")))))</f>
        <v/>
      </c>
      <c r="U152" s="148" t="str">
        <f t="shared" ca="1" si="6"/>
        <v/>
      </c>
    </row>
    <row r="153" spans="1:21" ht="30" x14ac:dyDescent="0.25">
      <c r="A153" s="84"/>
      <c r="B153" s="84" t="str">
        <f>IF(OR(A153="x",A153="X"),"",IF(ISBLANK(A153),"X",""))</f>
        <v>X</v>
      </c>
      <c r="C153" s="84" t="str">
        <f>IF(OR(Tabella1[[#This Row],[LUN]]="X",Tabella1[[#This Row],[MAR]]="X",Tabella1[[#This Row],[MER]]="X",Tabella1[[#This Row],[GIO]]="X",Tabella1[[#This Row],[VEN]]="X",),"X","")</f>
        <v/>
      </c>
      <c r="D153" s="85" t="s">
        <v>147</v>
      </c>
      <c r="E153" s="81" t="s">
        <v>1376</v>
      </c>
      <c r="F153" s="81">
        <v>500</v>
      </c>
      <c r="G153" s="81" t="s">
        <v>1377</v>
      </c>
      <c r="H153" s="83"/>
      <c r="I153" s="83"/>
      <c r="J153" s="83"/>
      <c r="K153" s="83"/>
      <c r="L153" s="83"/>
      <c r="M153" s="142" t="s">
        <v>43</v>
      </c>
      <c r="N153" s="82"/>
      <c r="O153" s="103"/>
      <c r="P153" s="82"/>
      <c r="Q153" s="81" t="s">
        <v>1378</v>
      </c>
      <c r="R153" s="82">
        <v>45818</v>
      </c>
      <c r="S153" s="82" t="s">
        <v>45</v>
      </c>
      <c r="T153" s="132" t="str">
        <f ca="1">IF(AND('Inserimento dati'!$B$3=$H$2, Tabella1[[#This Row],[LUN]]="X"), "X",IF(AND('Inserimento dati'!$B$3=$I$2, Tabella1[[#This Row],[MAR]]="X"), "X", IF(AND('Inserimento dati'!$B$3=$J$2, Tabella1[[#This Row],[MER]]="X"), "X",IF(AND('Inserimento dati'!$B$3=$K$2, Tabella1[[#This Row],[GIO]]="X"), "X", IF(AND('Inserimento dati'!$B$3=$L$2, Tabella1[[#This Row],[VEN]]="X"), "X","")))))</f>
        <v/>
      </c>
      <c r="U153" s="145" t="str">
        <f t="shared" ca="1" si="6"/>
        <v/>
      </c>
    </row>
    <row r="154" spans="1:21" ht="23.25" x14ac:dyDescent="0.25">
      <c r="A154" s="84"/>
      <c r="B154" s="84" t="str">
        <f>IF(OR(A154="x",A154="X"),"",IF(ISBLANK(A154),"X",""))</f>
        <v>X</v>
      </c>
      <c r="C154" s="84" t="str">
        <f>IF(OR(Tabella1[[#This Row],[LUN]]="X",Tabella1[[#This Row],[MAR]]="X",Tabella1[[#This Row],[MER]]="X",Tabella1[[#This Row],[GIO]]="X",Tabella1[[#This Row],[VEN]]="X",),"X","")</f>
        <v/>
      </c>
      <c r="D154" s="85" t="s">
        <v>147</v>
      </c>
      <c r="E154" s="81" t="s">
        <v>1379</v>
      </c>
      <c r="F154" s="81">
        <v>500</v>
      </c>
      <c r="G154" s="81" t="s">
        <v>1380</v>
      </c>
      <c r="H154" s="83"/>
      <c r="I154" s="83"/>
      <c r="J154" s="83"/>
      <c r="K154" s="83"/>
      <c r="L154" s="83"/>
      <c r="M154" s="142" t="s">
        <v>43</v>
      </c>
      <c r="N154" s="82"/>
      <c r="O154" s="103"/>
      <c r="P154" s="82"/>
      <c r="Q154" s="81"/>
      <c r="R154" s="82">
        <v>45818</v>
      </c>
      <c r="S154" s="82" t="s">
        <v>23</v>
      </c>
      <c r="T154" s="132" t="str">
        <f ca="1">IF(AND('Inserimento dati'!$B$3=$H$2, Tabella1[[#This Row],[LUN]]="X"), "X",IF(AND('Inserimento dati'!$B$3=$I$2, Tabella1[[#This Row],[MAR]]="X"), "X", IF(AND('Inserimento dati'!$B$3=$J$2, Tabella1[[#This Row],[MER]]="X"), "X",IF(AND('Inserimento dati'!$B$3=$K$2, Tabella1[[#This Row],[GIO]]="X"), "X", IF(AND('Inserimento dati'!$B$3=$L$2, Tabella1[[#This Row],[VEN]]="X"), "X","")))))</f>
        <v/>
      </c>
      <c r="U154" s="145" t="str">
        <f t="shared" ca="1" si="6"/>
        <v/>
      </c>
    </row>
    <row r="155" spans="1:21" ht="30" x14ac:dyDescent="0.25">
      <c r="A155" s="84"/>
      <c r="B155" s="84" t="str">
        <f>IF(OR(A155="x",A155="X"),"",IF(ISBLANK(A155),"X",""))</f>
        <v>X</v>
      </c>
      <c r="C155" s="84" t="str">
        <f>IF(OR(Tabella1[[#This Row],[LUN]]="X",Tabella1[[#This Row],[MAR]]="X",Tabella1[[#This Row],[MER]]="X",Tabella1[[#This Row],[GIO]]="X",Tabella1[[#This Row],[VEN]]="X",),"X","")</f>
        <v/>
      </c>
      <c r="D155" s="85" t="s">
        <v>143</v>
      </c>
      <c r="E155" s="81" t="s">
        <v>1381</v>
      </c>
      <c r="F155" s="81">
        <v>1000</v>
      </c>
      <c r="G155" s="81" t="s">
        <v>1382</v>
      </c>
      <c r="H155" s="83"/>
      <c r="I155" s="83"/>
      <c r="J155" s="83"/>
      <c r="K155" s="83"/>
      <c r="L155" s="83"/>
      <c r="M155" s="81" t="s">
        <v>43</v>
      </c>
      <c r="N155" s="82"/>
      <c r="O155" s="103"/>
      <c r="P155" s="82"/>
      <c r="Q155" s="82"/>
      <c r="R155" s="82"/>
      <c r="S155" s="82"/>
      <c r="T155" s="132" t="str">
        <f ca="1">IF(AND('Inserimento dati'!$B$3=$H$2, Tabella1[[#This Row],[LUN]]="X"), "X",IF(AND('Inserimento dati'!$B$3=$I$2, Tabella1[[#This Row],[MAR]]="X"), "X", IF(AND('Inserimento dati'!$B$3=$J$2, Tabella1[[#This Row],[MER]]="X"), "X",IF(AND('Inserimento dati'!$B$3=$K$2, Tabella1[[#This Row],[GIO]]="X"), "X", IF(AND('Inserimento dati'!$B$3=$L$2, Tabella1[[#This Row],[VEN]]="X"), "X","")))))</f>
        <v/>
      </c>
      <c r="U155" s="140" t="str">
        <f t="shared" ca="1" si="6"/>
        <v/>
      </c>
    </row>
    <row r="156" spans="1:21" ht="30" x14ac:dyDescent="0.25">
      <c r="A156" s="84"/>
      <c r="B156" s="84"/>
      <c r="C156" s="84" t="str">
        <f>IF(OR(Tabella1[[#This Row],[LUN]]="X",Tabella1[[#This Row],[MAR]]="X",Tabella1[[#This Row],[MER]]="X",Tabella1[[#This Row],[GIO]]="X",Tabella1[[#This Row],[VEN]]="X",),"X","")</f>
        <v/>
      </c>
      <c r="D156" s="85" t="s">
        <v>147</v>
      </c>
      <c r="E156" s="81" t="s">
        <v>1383</v>
      </c>
      <c r="F156" s="81">
        <v>600</v>
      </c>
      <c r="G156" s="81" t="s">
        <v>1384</v>
      </c>
      <c r="H156" s="83"/>
      <c r="I156" s="83"/>
      <c r="J156" s="83"/>
      <c r="K156" s="83"/>
      <c r="L156" s="83"/>
      <c r="M156" s="142" t="s">
        <v>43</v>
      </c>
      <c r="N156" s="82"/>
      <c r="O156" s="103"/>
      <c r="P156" s="82"/>
      <c r="Q156" s="81"/>
      <c r="R156" s="82">
        <v>45834</v>
      </c>
      <c r="S156" s="82" t="s">
        <v>1235</v>
      </c>
      <c r="T156" s="132" t="str">
        <f ca="1">IF(AND('Inserimento dati'!$B$3=$H$2, Tabella1[[#This Row],[LUN]]="X"), "X",IF(AND('Inserimento dati'!$B$3=$I$2, Tabella1[[#This Row],[MAR]]="X"), "X", IF(AND('Inserimento dati'!$B$3=$J$2, Tabella1[[#This Row],[MER]]="X"), "X",IF(AND('Inserimento dati'!$B$3=$K$2, Tabella1[[#This Row],[GIO]]="X"), "X", IF(AND('Inserimento dati'!$B$3=$L$2, Tabella1[[#This Row],[VEN]]="X"), "X","")))))</f>
        <v/>
      </c>
      <c r="U156" s="149" t="str">
        <f t="shared" ca="1" si="6"/>
        <v/>
      </c>
    </row>
    <row r="157" spans="1:21" ht="30" x14ac:dyDescent="0.25">
      <c r="A157" s="84"/>
      <c r="B157" s="84"/>
      <c r="C157" s="84" t="str">
        <f>IF(OR(Tabella1[[#This Row],[LUN]]="X",Tabella1[[#This Row],[MAR]]="X",Tabella1[[#This Row],[MER]]="X",Tabella1[[#This Row],[GIO]]="X",Tabella1[[#This Row],[VEN]]="X",),"X","")</f>
        <v/>
      </c>
      <c r="D157" s="85" t="s">
        <v>147</v>
      </c>
      <c r="E157" s="81" t="s">
        <v>1385</v>
      </c>
      <c r="F157" s="81">
        <v>600</v>
      </c>
      <c r="G157" s="81" t="s">
        <v>1386</v>
      </c>
      <c r="H157" s="83"/>
      <c r="I157" s="83"/>
      <c r="J157" s="83"/>
      <c r="K157" s="83"/>
      <c r="L157" s="83"/>
      <c r="M157" s="142" t="s">
        <v>43</v>
      </c>
      <c r="N157" s="82"/>
      <c r="O157" s="103"/>
      <c r="P157" s="82"/>
      <c r="Q157" s="81"/>
      <c r="R157" s="82"/>
      <c r="S157" s="82"/>
      <c r="T157" s="132" t="str">
        <f ca="1">IF(AND('Inserimento dati'!$B$3=$H$2, Tabella1[[#This Row],[LUN]]="X"), "X",IF(AND('Inserimento dati'!$B$3=$I$2, Tabella1[[#This Row],[MAR]]="X"), "X", IF(AND('Inserimento dati'!$B$3=$J$2, Tabella1[[#This Row],[MER]]="X"), "X",IF(AND('Inserimento dati'!$B$3=$K$2, Tabella1[[#This Row],[GIO]]="X"), "X", IF(AND('Inserimento dati'!$B$3=$L$2, Tabella1[[#This Row],[VEN]]="X"), "X","")))))</f>
        <v/>
      </c>
      <c r="U157" s="149" t="str">
        <f t="shared" ca="1" si="6"/>
        <v/>
      </c>
    </row>
    <row r="158" spans="1:21" ht="30" x14ac:dyDescent="0.25">
      <c r="A158" s="84"/>
      <c r="B158" s="84"/>
      <c r="C158" s="84" t="str">
        <f>IF(OR(Tabella1[[#This Row],[LUN]]="X",Tabella1[[#This Row],[MAR]]="X",Tabella1[[#This Row],[MER]]="X",Tabella1[[#This Row],[GIO]]="X",Tabella1[[#This Row],[VEN]]="X",),"X","")</f>
        <v/>
      </c>
      <c r="D158" s="85" t="s">
        <v>147</v>
      </c>
      <c r="E158" s="81" t="s">
        <v>1387</v>
      </c>
      <c r="F158" s="81">
        <v>1000</v>
      </c>
      <c r="G158" s="81" t="s">
        <v>1388</v>
      </c>
      <c r="H158" s="83"/>
      <c r="I158" s="83"/>
      <c r="J158" s="83"/>
      <c r="K158" s="83"/>
      <c r="L158" s="83"/>
      <c r="M158" s="142" t="s">
        <v>43</v>
      </c>
      <c r="N158" s="82"/>
      <c r="O158" s="103"/>
      <c r="P158" s="82"/>
      <c r="Q158" s="81" t="s">
        <v>1389</v>
      </c>
      <c r="R158" s="82"/>
      <c r="S158" s="82">
        <v>45876</v>
      </c>
      <c r="T158" s="132" t="str">
        <f ca="1">IF(AND('Inserimento dati'!$B$3=$H$2, Tabella1[[#This Row],[LUN]]="X"), "X",IF(AND('Inserimento dati'!$B$3=$I$2, Tabella1[[#This Row],[MAR]]="X"), "X", IF(AND('Inserimento dati'!$B$3=$J$2, Tabella1[[#This Row],[MER]]="X"), "X",IF(AND('Inserimento dati'!$B$3=$K$2, Tabella1[[#This Row],[GIO]]="X"), "X", IF(AND('Inserimento dati'!$B$3=$L$2, Tabella1[[#This Row],[VEN]]="X"), "X","")))))</f>
        <v/>
      </c>
      <c r="U158" s="149"/>
    </row>
    <row r="159" spans="1:21" ht="30" x14ac:dyDescent="0.25">
      <c r="A159" s="84"/>
      <c r="B159" s="84"/>
      <c r="C159" s="84" t="str">
        <f>IF(OR(Tabella1[[#This Row],[LUN]]="X",Tabella1[[#This Row],[MAR]]="X",Tabella1[[#This Row],[MER]]="X",Tabella1[[#This Row],[GIO]]="X",Tabella1[[#This Row],[VEN]]="X",),"X","")</f>
        <v/>
      </c>
      <c r="D159" s="85" t="s">
        <v>147</v>
      </c>
      <c r="E159" s="81" t="s">
        <v>1390</v>
      </c>
      <c r="F159" s="81">
        <v>500</v>
      </c>
      <c r="G159" s="81" t="s">
        <v>1391</v>
      </c>
      <c r="H159" s="83"/>
      <c r="I159" s="83"/>
      <c r="J159" s="83"/>
      <c r="K159" s="83"/>
      <c r="L159" s="83"/>
      <c r="M159" s="142" t="s">
        <v>43</v>
      </c>
      <c r="N159" s="82"/>
      <c r="O159" s="103"/>
      <c r="P159" s="82"/>
      <c r="Q159" s="81"/>
      <c r="R159" s="82"/>
      <c r="S159" s="82"/>
      <c r="T159" s="132" t="str">
        <f ca="1">IF(AND('Inserimento dati'!$B$3=$H$2, Tabella1[[#This Row],[LUN]]="X"), "X",IF(AND('Inserimento dati'!$B$3=$I$2, Tabella1[[#This Row],[MAR]]="X"), "X", IF(AND('Inserimento dati'!$B$3=$J$2, Tabella1[[#This Row],[MER]]="X"), "X",IF(AND('Inserimento dati'!$B$3=$K$2, Tabella1[[#This Row],[GIO]]="X"), "X", IF(AND('Inserimento dati'!$B$3=$L$2, Tabella1[[#This Row],[VEN]]="X"), "X","")))))</f>
        <v/>
      </c>
      <c r="U159" s="149"/>
    </row>
    <row r="160" spans="1:21" ht="30" x14ac:dyDescent="0.25">
      <c r="A160" s="84"/>
      <c r="B160" s="84"/>
      <c r="C160" s="84" t="str">
        <f>IF(OR(Tabella1[[#This Row],[LUN]]="X",Tabella1[[#This Row],[MAR]]="X",Tabella1[[#This Row],[MER]]="X",Tabella1[[#This Row],[GIO]]="X",Tabella1[[#This Row],[VEN]]="X",),"X","")</f>
        <v/>
      </c>
      <c r="D160" s="85" t="s">
        <v>147</v>
      </c>
      <c r="E160" s="81" t="s">
        <v>1392</v>
      </c>
      <c r="F160" s="81">
        <v>600</v>
      </c>
      <c r="G160" s="81" t="s">
        <v>1393</v>
      </c>
      <c r="H160" s="83"/>
      <c r="I160" s="83"/>
      <c r="J160" s="83"/>
      <c r="K160" s="83"/>
      <c r="L160" s="83"/>
      <c r="M160" s="142" t="s">
        <v>43</v>
      </c>
      <c r="N160" s="82"/>
      <c r="O160" s="103"/>
      <c r="P160" s="82"/>
      <c r="Q160" s="81"/>
      <c r="R160" s="82"/>
      <c r="S160" s="82"/>
      <c r="T160" s="132" t="str">
        <f ca="1">IF(AND('Inserimento dati'!$B$3=$H$2, Tabella1[[#This Row],[LUN]]="X"), "X",IF(AND('Inserimento dati'!$B$3=$I$2, Tabella1[[#This Row],[MAR]]="X"), "X", IF(AND('Inserimento dati'!$B$3=$J$2, Tabella1[[#This Row],[MER]]="X"), "X",IF(AND('Inserimento dati'!$B$3=$K$2, Tabella1[[#This Row],[GIO]]="X"), "X", IF(AND('Inserimento dati'!$B$3=$L$2, Tabella1[[#This Row],[VEN]]="X"), "X","")))))</f>
        <v/>
      </c>
      <c r="U160" s="149"/>
    </row>
    <row r="161" spans="1:21" ht="23.25" x14ac:dyDescent="0.25">
      <c r="A161" s="84"/>
      <c r="B161" s="84"/>
      <c r="C161" s="84" t="str">
        <f>IF(OR(Tabella1[[#This Row],[LUN]]="X",Tabella1[[#This Row],[MAR]]="X",Tabella1[[#This Row],[MER]]="X",Tabella1[[#This Row],[GIO]]="X",Tabella1[[#This Row],[VEN]]="X",),"X","")</f>
        <v/>
      </c>
      <c r="D161" s="85" t="s">
        <v>147</v>
      </c>
      <c r="E161" s="81" t="s">
        <v>1394</v>
      </c>
      <c r="F161" s="81">
        <v>600</v>
      </c>
      <c r="G161" s="81" t="s">
        <v>1395</v>
      </c>
      <c r="H161" s="83"/>
      <c r="I161" s="83"/>
      <c r="J161" s="83"/>
      <c r="K161" s="83"/>
      <c r="L161" s="83"/>
      <c r="M161" s="142" t="s">
        <v>43</v>
      </c>
      <c r="N161" s="82"/>
      <c r="O161" s="103"/>
      <c r="P161" s="82"/>
      <c r="Q161" s="81"/>
      <c r="R161" s="82"/>
      <c r="S161" s="82"/>
      <c r="T161" s="132" t="str">
        <f ca="1">IF(AND('Inserimento dati'!$B$3=$H$2, Tabella1[[#This Row],[LUN]]="X"), "X",IF(AND('Inserimento dati'!$B$3=$I$2, Tabella1[[#This Row],[MAR]]="X"), "X", IF(AND('Inserimento dati'!$B$3=$J$2, Tabella1[[#This Row],[MER]]="X"), "X",IF(AND('Inserimento dati'!$B$3=$K$2, Tabella1[[#This Row],[GIO]]="X"), "X", IF(AND('Inserimento dati'!$B$3=$L$2, Tabella1[[#This Row],[VEN]]="X"), "X","")))))</f>
        <v/>
      </c>
      <c r="U161" s="66"/>
    </row>
    <row r="162" spans="1:21" ht="23.25" x14ac:dyDescent="0.25">
      <c r="A162" s="84"/>
      <c r="B162" s="84"/>
      <c r="C162" s="84" t="str">
        <f>IF(OR(Tabella1[[#This Row],[LUN]]="X",Tabella1[[#This Row],[MAR]]="X",Tabella1[[#This Row],[MER]]="X",Tabella1[[#This Row],[GIO]]="X",Tabella1[[#This Row],[VEN]]="X",),"X","")</f>
        <v/>
      </c>
      <c r="D162" s="85" t="s">
        <v>147</v>
      </c>
      <c r="E162" s="81" t="s">
        <v>1396</v>
      </c>
      <c r="F162" s="81">
        <v>600</v>
      </c>
      <c r="G162" s="81" t="s">
        <v>1397</v>
      </c>
      <c r="H162" s="83"/>
      <c r="I162" s="83"/>
      <c r="J162" s="83"/>
      <c r="K162" s="83"/>
      <c r="L162" s="83"/>
      <c r="M162" s="142" t="s">
        <v>43</v>
      </c>
      <c r="N162" s="82"/>
      <c r="O162" s="103"/>
      <c r="P162" s="82"/>
      <c r="Q162" s="81"/>
      <c r="R162" s="82"/>
      <c r="S162" s="82"/>
      <c r="T162" s="132" t="str">
        <f ca="1">IF(AND('Inserimento dati'!$B$3=$H$2, Tabella1[[#This Row],[LUN]]="X"), "X",IF(AND('Inserimento dati'!$B$3=$I$2, Tabella1[[#This Row],[MAR]]="X"), "X", IF(AND('Inserimento dati'!$B$3=$J$2, Tabella1[[#This Row],[MER]]="X"), "X",IF(AND('Inserimento dati'!$B$3=$K$2, Tabella1[[#This Row],[GIO]]="X"), "X", IF(AND('Inserimento dati'!$B$3=$L$2, Tabella1[[#This Row],[VEN]]="X"), "X","")))))</f>
        <v/>
      </c>
      <c r="U162" s="66" t="str">
        <f ca="1">IFERROR(MID(G162,_xlfn.AGGREGATE(15,6,(ROW(INDIRECT("1:"&amp;LEN(G162)-7)))/(ISNUMBER(--MID(G162,ROW(INDIRECT("1:"&amp;LEN(G162)-7)),8))),1),8),"")</f>
        <v/>
      </c>
    </row>
    <row r="163" spans="1:21" ht="23.25" x14ac:dyDescent="0.25">
      <c r="A163" s="84"/>
      <c r="B163" s="84"/>
      <c r="C163" s="84" t="str">
        <f>IF(OR(Tabella1[[#This Row],[LUN]]="X",Tabella1[[#This Row],[MAR]]="X",Tabella1[[#This Row],[MER]]="X",Tabella1[[#This Row],[GIO]]="X",Tabella1[[#This Row],[VEN]]="X",),"X","")</f>
        <v/>
      </c>
      <c r="D163" s="85" t="s">
        <v>147</v>
      </c>
      <c r="E163" s="81" t="s">
        <v>1398</v>
      </c>
      <c r="F163" s="81">
        <v>600</v>
      </c>
      <c r="G163" s="81" t="s">
        <v>1399</v>
      </c>
      <c r="H163" s="83"/>
      <c r="I163" s="83"/>
      <c r="J163" s="83"/>
      <c r="K163" s="83"/>
      <c r="L163" s="83"/>
      <c r="M163" s="142" t="s">
        <v>43</v>
      </c>
      <c r="N163" s="82"/>
      <c r="O163" s="103"/>
      <c r="P163" s="82"/>
      <c r="Q163" s="81"/>
      <c r="R163" s="82"/>
      <c r="S163" s="82"/>
      <c r="T163" s="132" t="str">
        <f ca="1">IF(AND('Inserimento dati'!$B$3=$H$2, Tabella1[[#This Row],[LUN]]="X"), "X",IF(AND('Inserimento dati'!$B$3=$I$2, Tabella1[[#This Row],[MAR]]="X"), "X", IF(AND('Inserimento dati'!$B$3=$J$2, Tabella1[[#This Row],[MER]]="X"), "X",IF(AND('Inserimento dati'!$B$3=$K$2, Tabella1[[#This Row],[GIO]]="X"), "X", IF(AND('Inserimento dati'!$B$3=$L$2, Tabella1[[#This Row],[VEN]]="X"), "X","")))))</f>
        <v/>
      </c>
      <c r="U163" s="66"/>
    </row>
    <row r="164" spans="1:21" ht="23.25" x14ac:dyDescent="0.25">
      <c r="A164" s="84"/>
      <c r="B164" s="84"/>
      <c r="C164" s="84" t="str">
        <f>IF(OR(Tabella1[[#This Row],[LUN]]="X",Tabella1[[#This Row],[MAR]]="X",Tabella1[[#This Row],[MER]]="X",Tabella1[[#This Row],[GIO]]="X",Tabella1[[#This Row],[VEN]]="X",),"X","")</f>
        <v/>
      </c>
      <c r="D164" s="85" t="s">
        <v>147</v>
      </c>
      <c r="E164" s="81" t="s">
        <v>1400</v>
      </c>
      <c r="F164" s="81">
        <v>600</v>
      </c>
      <c r="G164" s="81" t="s">
        <v>1401</v>
      </c>
      <c r="H164" s="83"/>
      <c r="I164" s="83"/>
      <c r="J164" s="83"/>
      <c r="K164" s="83"/>
      <c r="L164" s="83"/>
      <c r="M164" s="142" t="s">
        <v>43</v>
      </c>
      <c r="N164" s="82"/>
      <c r="O164" s="103"/>
      <c r="P164" s="82"/>
      <c r="Q164" s="81" t="s">
        <v>1402</v>
      </c>
      <c r="R164" s="82">
        <v>45876</v>
      </c>
      <c r="S164" s="82" t="s">
        <v>1403</v>
      </c>
      <c r="T164" s="132" t="str">
        <f ca="1">IF(AND('Inserimento dati'!$B$3=$H$2, Tabella1[[#This Row],[LUN]]="X"), "X",IF(AND('Inserimento dati'!$B$3=$I$2, Tabella1[[#This Row],[MAR]]="X"), "X", IF(AND('Inserimento dati'!$B$3=$J$2, Tabella1[[#This Row],[MER]]="X"), "X",IF(AND('Inserimento dati'!$B$3=$K$2, Tabella1[[#This Row],[GIO]]="X"), "X", IF(AND('Inserimento dati'!$B$3=$L$2, Tabella1[[#This Row],[VEN]]="X"), "X","")))))</f>
        <v/>
      </c>
      <c r="U164" s="66"/>
    </row>
    <row r="165" spans="1:21" ht="23.25" x14ac:dyDescent="0.25">
      <c r="A165" s="84"/>
      <c r="B165" s="84"/>
      <c r="C165" s="84" t="str">
        <f>IF(OR(Tabella1[[#This Row],[LUN]]="X",Tabella1[[#This Row],[MAR]]="X",Tabella1[[#This Row],[MER]]="X",Tabella1[[#This Row],[GIO]]="X",Tabella1[[#This Row],[VEN]]="X",),"X","")</f>
        <v/>
      </c>
      <c r="D165" s="85" t="s">
        <v>147</v>
      </c>
      <c r="E165" s="81" t="s">
        <v>1404</v>
      </c>
      <c r="F165" s="81">
        <v>500</v>
      </c>
      <c r="G165" s="81" t="s">
        <v>1405</v>
      </c>
      <c r="H165" s="83"/>
      <c r="I165" s="83"/>
      <c r="J165" s="83"/>
      <c r="K165" s="83"/>
      <c r="L165" s="83"/>
      <c r="M165" s="142" t="s">
        <v>43</v>
      </c>
      <c r="N165" s="82"/>
      <c r="O165" s="103"/>
      <c r="P165" s="82"/>
      <c r="Q165" s="81"/>
      <c r="R165" s="82">
        <v>45891</v>
      </c>
      <c r="S165" s="82"/>
      <c r="T165" s="132" t="str">
        <f ca="1">IF(AND('Inserimento dati'!$B$3=$H$2, Tabella1[[#This Row],[LUN]]="X"), "X",IF(AND('Inserimento dati'!$B$3=$I$2, Tabella1[[#This Row],[MAR]]="X"), "X", IF(AND('Inserimento dati'!$B$3=$J$2, Tabella1[[#This Row],[MER]]="X"), "X",IF(AND('Inserimento dati'!$B$3=$K$2, Tabella1[[#This Row],[GIO]]="X"), "X", IF(AND('Inserimento dati'!$B$3=$L$2, Tabella1[[#This Row],[VEN]]="X"), "X","")))))</f>
        <v/>
      </c>
      <c r="U165" s="66"/>
    </row>
    <row r="166" spans="1:21" ht="30" x14ac:dyDescent="0.25">
      <c r="A166" s="84"/>
      <c r="B166" s="84"/>
      <c r="C166" s="84" t="str">
        <f>IF(OR(Tabella1[[#This Row],[LUN]]="X",Tabella1[[#This Row],[MAR]]="X",Tabella1[[#This Row],[MER]]="X",Tabella1[[#This Row],[GIO]]="X",Tabella1[[#This Row],[VEN]]="X",),"X","")</f>
        <v/>
      </c>
      <c r="D166" s="85" t="s">
        <v>147</v>
      </c>
      <c r="E166" s="81" t="s">
        <v>1406</v>
      </c>
      <c r="F166" s="81">
        <v>500</v>
      </c>
      <c r="G166" s="81" t="s">
        <v>1407</v>
      </c>
      <c r="H166" s="83"/>
      <c r="I166" s="83"/>
      <c r="J166" s="83"/>
      <c r="K166" s="83"/>
      <c r="L166" s="83"/>
      <c r="M166" s="142" t="s">
        <v>43</v>
      </c>
      <c r="N166" s="82"/>
      <c r="O166" s="103"/>
      <c r="P166" s="82"/>
      <c r="Q166" s="81"/>
      <c r="R166" s="82"/>
      <c r="S166" s="82"/>
      <c r="T166" s="132" t="str">
        <f ca="1">IF(AND('Inserimento dati'!$B$3=$H$2, Tabella1[[#This Row],[LUN]]="X"), "X",IF(AND('Inserimento dati'!$B$3=$I$2, Tabella1[[#This Row],[MAR]]="X"), "X", IF(AND('Inserimento dati'!$B$3=$J$2, Tabella1[[#This Row],[MER]]="X"), "X",IF(AND('Inserimento dati'!$B$3=$K$2, Tabella1[[#This Row],[GIO]]="X"), "X", IF(AND('Inserimento dati'!$B$3=$L$2, Tabella1[[#This Row],[VEN]]="X"), "X","")))))</f>
        <v/>
      </c>
      <c r="U166" s="66"/>
    </row>
    <row r="167" spans="1:21" ht="30" x14ac:dyDescent="0.25">
      <c r="A167" s="84"/>
      <c r="B167" s="84"/>
      <c r="C167" s="84" t="str">
        <f>IF(OR(Tabella1[[#This Row],[LUN]]="X",Tabella1[[#This Row],[MAR]]="X",Tabella1[[#This Row],[MER]]="X",Tabella1[[#This Row],[GIO]]="X",Tabella1[[#This Row],[VEN]]="X",),"X","")</f>
        <v/>
      </c>
      <c r="D167" s="85" t="s">
        <v>147</v>
      </c>
      <c r="E167" s="81" t="s">
        <v>1408</v>
      </c>
      <c r="F167" s="81">
        <v>1000</v>
      </c>
      <c r="G167" s="81" t="s">
        <v>1409</v>
      </c>
      <c r="H167" s="83"/>
      <c r="I167" s="83"/>
      <c r="J167" s="83"/>
      <c r="K167" s="83"/>
      <c r="L167" s="83"/>
      <c r="M167" s="142" t="s">
        <v>43</v>
      </c>
      <c r="N167" s="82"/>
      <c r="O167" s="103"/>
      <c r="P167" s="82"/>
      <c r="Q167" s="81"/>
      <c r="R167" s="82"/>
      <c r="S167" s="82"/>
      <c r="T167" s="132" t="str">
        <f ca="1">IF(AND('Inserimento dati'!$B$3=$H$2, Tabella1[[#This Row],[LUN]]="X"), "X",IF(AND('Inserimento dati'!$B$3=$I$2, Tabella1[[#This Row],[MAR]]="X"), "X", IF(AND('Inserimento dati'!$B$3=$J$2, Tabella1[[#This Row],[MER]]="X"), "X",IF(AND('Inserimento dati'!$B$3=$K$2, Tabella1[[#This Row],[GIO]]="X"), "X", IF(AND('Inserimento dati'!$B$3=$L$2, Tabella1[[#This Row],[VEN]]="X"), "X","")))))</f>
        <v/>
      </c>
      <c r="U167" s="66"/>
    </row>
    <row r="168" spans="1:21" ht="30" x14ac:dyDescent="0.25">
      <c r="A168" s="84"/>
      <c r="B168" s="84"/>
      <c r="C168" s="84" t="str">
        <f>IF(OR(Tabella1[[#This Row],[LUN]]="X",Tabella1[[#This Row],[MAR]]="X",Tabella1[[#This Row],[MER]]="X",Tabella1[[#This Row],[GIO]]="X",Tabella1[[#This Row],[VEN]]="X",),"X","")</f>
        <v/>
      </c>
      <c r="D168" s="85" t="s">
        <v>147</v>
      </c>
      <c r="E168" s="81" t="s">
        <v>1410</v>
      </c>
      <c r="F168" s="81">
        <v>1000</v>
      </c>
      <c r="G168" s="81" t="s">
        <v>1411</v>
      </c>
      <c r="H168" s="83"/>
      <c r="I168" s="83"/>
      <c r="J168" s="83"/>
      <c r="K168" s="83"/>
      <c r="L168" s="83"/>
      <c r="M168" s="142" t="s">
        <v>43</v>
      </c>
      <c r="N168" s="82"/>
      <c r="O168" s="103"/>
      <c r="P168" s="82"/>
      <c r="Q168" s="81" t="s">
        <v>1412</v>
      </c>
      <c r="R168" s="82">
        <v>45938</v>
      </c>
      <c r="S168" s="82" t="s">
        <v>1413</v>
      </c>
      <c r="T168" s="132" t="str">
        <f ca="1">IF(AND('Inserimento dati'!$B$3=$H$2, Tabella1[[#This Row],[LUN]]="X"), "X",IF(AND('Inserimento dati'!$B$3=$I$2, Tabella1[[#This Row],[MAR]]="X"), "X", IF(AND('Inserimento dati'!$B$3=$J$2, Tabella1[[#This Row],[MER]]="X"), "X",IF(AND('Inserimento dati'!$B$3=$K$2, Tabella1[[#This Row],[GIO]]="X"), "X", IF(AND('Inserimento dati'!$B$3=$L$2, Tabella1[[#This Row],[VEN]]="X"), "X","")))))</f>
        <v/>
      </c>
      <c r="U168" s="66"/>
    </row>
    <row r="169" spans="1:21" ht="23.25" x14ac:dyDescent="0.25">
      <c r="A169" s="84"/>
      <c r="B169" s="84"/>
      <c r="C169" s="84" t="str">
        <f>IF(OR(Tabella1[[#This Row],[LUN]]="X",Tabella1[[#This Row],[MAR]]="X",Tabella1[[#This Row],[MER]]="X",Tabella1[[#This Row],[GIO]]="X",Tabella1[[#This Row],[VEN]]="X",),"X","")</f>
        <v/>
      </c>
      <c r="D169" s="85" t="s">
        <v>147</v>
      </c>
      <c r="E169" s="81" t="s">
        <v>1414</v>
      </c>
      <c r="F169" s="81">
        <v>500</v>
      </c>
      <c r="G169" s="81" t="s">
        <v>1415</v>
      </c>
      <c r="H169" s="83"/>
      <c r="I169" s="83"/>
      <c r="J169" s="83"/>
      <c r="K169" s="83"/>
      <c r="L169" s="83"/>
      <c r="M169" s="142" t="s">
        <v>43</v>
      </c>
      <c r="N169" s="82"/>
      <c r="O169" s="103"/>
      <c r="P169" s="82"/>
      <c r="Q169" s="81"/>
      <c r="R169" s="82"/>
      <c r="S169" s="82"/>
      <c r="T169" s="132" t="str">
        <f ca="1">IF(AND('Inserimento dati'!$B$3=$H$2, Tabella1[[#This Row],[LUN]]="X"), "X",IF(AND('Inserimento dati'!$B$3=$I$2, Tabella1[[#This Row],[MAR]]="X"), "X", IF(AND('Inserimento dati'!$B$3=$J$2, Tabella1[[#This Row],[MER]]="X"), "X",IF(AND('Inserimento dati'!$B$3=$K$2, Tabella1[[#This Row],[GIO]]="X"), "X", IF(AND('Inserimento dati'!$B$3=$L$2, Tabella1[[#This Row],[VEN]]="X"), "X","")))))</f>
        <v/>
      </c>
      <c r="U169" s="66"/>
    </row>
    <row r="170" spans="1:21" ht="23.25" x14ac:dyDescent="0.25">
      <c r="A170" s="84"/>
      <c r="B170" s="84"/>
      <c r="C170" s="84" t="str">
        <f>IF(OR(Tabella1[[#This Row],[LUN]]="X",Tabella1[[#This Row],[MAR]]="X",Tabella1[[#This Row],[MER]]="X",Tabella1[[#This Row],[GIO]]="X",Tabella1[[#This Row],[VEN]]="X",),"X","")</f>
        <v/>
      </c>
      <c r="D170" s="85" t="s">
        <v>147</v>
      </c>
      <c r="E170" s="81" t="s">
        <v>1416</v>
      </c>
      <c r="F170" s="81">
        <v>1000</v>
      </c>
      <c r="G170" s="81" t="s">
        <v>1417</v>
      </c>
      <c r="H170" s="83"/>
      <c r="I170" s="83"/>
      <c r="J170" s="83"/>
      <c r="K170" s="83"/>
      <c r="L170" s="83"/>
      <c r="M170" s="142" t="s">
        <v>43</v>
      </c>
      <c r="N170" s="82"/>
      <c r="O170" s="103"/>
      <c r="P170" s="82"/>
      <c r="Q170" s="81"/>
      <c r="R170" s="82"/>
      <c r="S170" s="82"/>
      <c r="T170" s="132" t="str">
        <f ca="1">IF(AND('Inserimento dati'!$B$3=$H$2, Tabella1[[#This Row],[LUN]]="X"), "X",IF(AND('Inserimento dati'!$B$3=$I$2, Tabella1[[#This Row],[MAR]]="X"), "X", IF(AND('Inserimento dati'!$B$3=$J$2, Tabella1[[#This Row],[MER]]="X"), "X",IF(AND('Inserimento dati'!$B$3=$K$2, Tabella1[[#This Row],[GIO]]="X"), "X", IF(AND('Inserimento dati'!$B$3=$L$2, Tabella1[[#This Row],[VEN]]="X"), "X","")))))</f>
        <v/>
      </c>
      <c r="U170" s="125"/>
    </row>
    <row r="171" spans="1:21" ht="45" x14ac:dyDescent="0.25">
      <c r="A171" s="84"/>
      <c r="B171" s="84"/>
      <c r="C171" s="84" t="str">
        <f>IF(OR(Tabella1[[#This Row],[LUN]]="X",Tabella1[[#This Row],[MAR]]="X",Tabella1[[#This Row],[MER]]="X",Tabella1[[#This Row],[GIO]]="X",Tabella1[[#This Row],[VEN]]="X",),"X","")</f>
        <v/>
      </c>
      <c r="D171" s="85" t="s">
        <v>147</v>
      </c>
      <c r="E171" s="81" t="s">
        <v>1418</v>
      </c>
      <c r="F171" s="81">
        <v>500</v>
      </c>
      <c r="G171" s="81" t="s">
        <v>1419</v>
      </c>
      <c r="H171" s="83"/>
      <c r="I171" s="83"/>
      <c r="J171" s="83"/>
      <c r="K171" s="83"/>
      <c r="L171" s="83"/>
      <c r="M171" s="142" t="s">
        <v>43</v>
      </c>
      <c r="N171" s="82"/>
      <c r="O171" s="103"/>
      <c r="P171" s="82"/>
      <c r="Q171" s="81" t="s">
        <v>1420</v>
      </c>
      <c r="R171" s="82">
        <v>45946</v>
      </c>
      <c r="S171" s="82" t="s">
        <v>20</v>
      </c>
      <c r="T171" s="132" t="str">
        <f ca="1">IF(AND('Inserimento dati'!$B$3=$H$2, Tabella1[[#This Row],[LUN]]="X"), "X",IF(AND('Inserimento dati'!$B$3=$I$2, Tabella1[[#This Row],[MAR]]="X"), "X", IF(AND('Inserimento dati'!$B$3=$J$2, Tabella1[[#This Row],[MER]]="X"), "X",IF(AND('Inserimento dati'!$B$3=$K$2, Tabella1[[#This Row],[GIO]]="X"), "X", IF(AND('Inserimento dati'!$B$3=$L$2, Tabella1[[#This Row],[VEN]]="X"), "X","")))))</f>
        <v/>
      </c>
      <c r="U171" s="125"/>
    </row>
    <row r="172" spans="1:21" ht="23.25" x14ac:dyDescent="0.25">
      <c r="A172" s="84"/>
      <c r="B172" s="84"/>
      <c r="C172" s="84" t="str">
        <f>IF(OR(Tabella1[[#This Row],[LUN]]="X",Tabella1[[#This Row],[MAR]]="X",Tabella1[[#This Row],[MER]]="X",Tabella1[[#This Row],[GIO]]="X",Tabella1[[#This Row],[VEN]]="X",),"X","")</f>
        <v>X</v>
      </c>
      <c r="D172" s="85" t="s">
        <v>147</v>
      </c>
      <c r="E172" s="81" t="s">
        <v>1421</v>
      </c>
      <c r="F172" s="81">
        <v>1000</v>
      </c>
      <c r="G172" s="81" t="s">
        <v>1422</v>
      </c>
      <c r="H172" s="83" t="s">
        <v>8</v>
      </c>
      <c r="I172" s="83" t="s">
        <v>8</v>
      </c>
      <c r="J172" s="83" t="s">
        <v>8</v>
      </c>
      <c r="K172" s="83" t="s">
        <v>8</v>
      </c>
      <c r="L172" s="83"/>
      <c r="M172" s="142" t="s">
        <v>43</v>
      </c>
      <c r="N172" s="82"/>
      <c r="O172" s="103"/>
      <c r="P172" s="82"/>
      <c r="Q172" s="81"/>
      <c r="R172" s="82"/>
      <c r="S172" s="82"/>
      <c r="T172" s="132" t="str">
        <f ca="1">IF(AND('Inserimento dati'!$B$3=$H$2, Tabella1[[#This Row],[LUN]]="X"), "X",IF(AND('Inserimento dati'!$B$3=$I$2, Tabella1[[#This Row],[MAR]]="X"), "X", IF(AND('Inserimento dati'!$B$3=$J$2, Tabella1[[#This Row],[MER]]="X"), "X",IF(AND('Inserimento dati'!$B$3=$K$2, Tabella1[[#This Row],[GIO]]="X"), "X", IF(AND('Inserimento dati'!$B$3=$L$2, Tabella1[[#This Row],[VEN]]="X"), "X","")))))</f>
        <v/>
      </c>
      <c r="U172" s="125"/>
    </row>
    <row r="173" spans="1:21" ht="30" x14ac:dyDescent="0.25">
      <c r="A173" s="84"/>
      <c r="B173" s="84"/>
      <c r="C173" s="84" t="str">
        <f>IF(OR(Tabella1[[#This Row],[LUN]]="X",Tabella1[[#This Row],[MAR]]="X",Tabella1[[#This Row],[MER]]="X",Tabella1[[#This Row],[GIO]]="X",Tabella1[[#This Row],[VEN]]="X",),"X","")</f>
        <v>X</v>
      </c>
      <c r="D173" s="85" t="s">
        <v>147</v>
      </c>
      <c r="E173" s="81" t="s">
        <v>1423</v>
      </c>
      <c r="F173" s="81">
        <v>500</v>
      </c>
      <c r="G173" s="81" t="s">
        <v>1424</v>
      </c>
      <c r="H173" s="83" t="s">
        <v>8</v>
      </c>
      <c r="I173" s="83" t="s">
        <v>8</v>
      </c>
      <c r="J173" s="83" t="s">
        <v>8</v>
      </c>
      <c r="K173" s="83" t="s">
        <v>8</v>
      </c>
      <c r="L173" s="83"/>
      <c r="M173" s="142" t="s">
        <v>43</v>
      </c>
      <c r="N173" s="82"/>
      <c r="O173" s="103"/>
      <c r="P173" s="82"/>
      <c r="Q173" s="81"/>
      <c r="R173" s="82"/>
      <c r="S173" s="82"/>
      <c r="T173" s="132" t="str">
        <f ca="1">IF(AND('Inserimento dati'!$B$3=$H$2, Tabella1[[#This Row],[LUN]]="X"), "X",IF(AND('Inserimento dati'!$B$3=$I$2, Tabella1[[#This Row],[MAR]]="X"), "X", IF(AND('Inserimento dati'!$B$3=$J$2, Tabella1[[#This Row],[MER]]="X"), "X",IF(AND('Inserimento dati'!$B$3=$K$2, Tabella1[[#This Row],[GIO]]="X"), "X", IF(AND('Inserimento dati'!$B$3=$L$2, Tabella1[[#This Row],[VEN]]="X"), "X","")))))</f>
        <v/>
      </c>
      <c r="U173" s="125"/>
    </row>
    <row r="174" spans="1:21" ht="23.25" x14ac:dyDescent="0.25">
      <c r="A174" s="84"/>
      <c r="B174" s="84"/>
      <c r="C174" s="84" t="str">
        <f>IF(OR(Tabella1[[#This Row],[LUN]]="X",Tabella1[[#This Row],[MAR]]="X",Tabella1[[#This Row],[MER]]="X",Tabella1[[#This Row],[GIO]]="X",Tabella1[[#This Row],[VEN]]="X",),"X","")</f>
        <v>X</v>
      </c>
      <c r="D174" s="85" t="s">
        <v>147</v>
      </c>
      <c r="E174" s="81" t="s">
        <v>1425</v>
      </c>
      <c r="F174" s="81">
        <v>500</v>
      </c>
      <c r="G174" s="81" t="s">
        <v>1426</v>
      </c>
      <c r="H174" s="83" t="s">
        <v>8</v>
      </c>
      <c r="I174" s="83" t="s">
        <v>8</v>
      </c>
      <c r="J174" s="83" t="s">
        <v>8</v>
      </c>
      <c r="K174" s="83" t="s">
        <v>8</v>
      </c>
      <c r="L174" s="83"/>
      <c r="M174" s="142" t="s">
        <v>43</v>
      </c>
      <c r="N174" s="82"/>
      <c r="O174" s="103"/>
      <c r="P174" s="82"/>
      <c r="Q174" s="81"/>
      <c r="R174" s="82"/>
      <c r="S174" s="82"/>
      <c r="T174" s="132" t="str">
        <f ca="1">IF(AND('Inserimento dati'!$B$3=$H$2, Tabella1[[#This Row],[LUN]]="X"), "X",IF(AND('Inserimento dati'!$B$3=$I$2, Tabella1[[#This Row],[MAR]]="X"), "X", IF(AND('Inserimento dati'!$B$3=$J$2, Tabella1[[#This Row],[MER]]="X"), "X",IF(AND('Inserimento dati'!$B$3=$K$2, Tabella1[[#This Row],[GIO]]="X"), "X", IF(AND('Inserimento dati'!$B$3=$L$2, Tabella1[[#This Row],[VEN]]="X"), "X","")))))</f>
        <v/>
      </c>
      <c r="U174" s="125"/>
    </row>
    <row r="175" spans="1:21" ht="30" x14ac:dyDescent="0.25">
      <c r="A175" s="84"/>
      <c r="B175" s="84"/>
      <c r="C175" s="84" t="str">
        <f>IF(OR(Tabella1[[#This Row],[LUN]]="X",Tabella1[[#This Row],[MAR]]="X",Tabella1[[#This Row],[MER]]="X",Tabella1[[#This Row],[GIO]]="X",Tabella1[[#This Row],[VEN]]="X",),"X","")</f>
        <v>X</v>
      </c>
      <c r="D175" s="85" t="s">
        <v>147</v>
      </c>
      <c r="E175" s="81" t="s">
        <v>1336</v>
      </c>
      <c r="F175" s="81">
        <v>600</v>
      </c>
      <c r="G175" s="81" t="s">
        <v>1337</v>
      </c>
      <c r="H175" s="83"/>
      <c r="I175" s="83"/>
      <c r="J175" s="83"/>
      <c r="K175" s="83"/>
      <c r="L175" s="83" t="s">
        <v>8</v>
      </c>
      <c r="M175" s="142" t="s">
        <v>43</v>
      </c>
      <c r="N175" s="82"/>
      <c r="O175" s="103"/>
      <c r="P175" s="82"/>
      <c r="Q175" s="81"/>
      <c r="R175" s="82"/>
      <c r="S175" s="82"/>
      <c r="T175" s="132" t="str">
        <f ca="1">IF(AND('Inserimento dati'!$B$3=$H$2, Tabella1[[#This Row],[LUN]]="X"), "X",IF(AND('Inserimento dati'!$B$3=$I$2, Tabella1[[#This Row],[MAR]]="X"), "X", IF(AND('Inserimento dati'!$B$3=$J$2, Tabella1[[#This Row],[MER]]="X"), "X",IF(AND('Inserimento dati'!$B$3=$K$2, Tabella1[[#This Row],[GIO]]="X"), "X", IF(AND('Inserimento dati'!$B$3=$L$2, Tabella1[[#This Row],[VEN]]="X"), "X","")))))</f>
        <v/>
      </c>
      <c r="U175" s="125"/>
    </row>
    <row r="176" spans="1:21" ht="30" x14ac:dyDescent="0.25">
      <c r="A176" s="84"/>
      <c r="B176" s="84"/>
      <c r="C176" s="84" t="str">
        <f>IF(OR(Tabella1[[#This Row],[LUN]]="X",Tabella1[[#This Row],[MAR]]="X",Tabella1[[#This Row],[MER]]="X",Tabella1[[#This Row],[GIO]]="X",Tabella1[[#This Row],[VEN]]="X",),"X","")</f>
        <v/>
      </c>
      <c r="D176" s="85" t="s">
        <v>147</v>
      </c>
      <c r="E176" s="81" t="s">
        <v>3524</v>
      </c>
      <c r="F176" s="81">
        <v>500</v>
      </c>
      <c r="G176" s="81" t="s">
        <v>3525</v>
      </c>
      <c r="H176" s="83"/>
      <c r="I176" s="83"/>
      <c r="J176" s="83"/>
      <c r="K176" s="83"/>
      <c r="L176" s="83"/>
      <c r="M176" s="142" t="s">
        <v>43</v>
      </c>
      <c r="N176" s="82"/>
      <c r="O176" s="103"/>
      <c r="P176" s="82"/>
      <c r="Q176" s="81"/>
      <c r="R176" s="82"/>
      <c r="S176" s="82"/>
      <c r="T176" s="132" t="str">
        <f ca="1">IF(AND('Inserimento dati'!$B$3=$H$2, Tabella1[[#This Row],[LUN]]="X"), "X",IF(AND('Inserimento dati'!$B$3=$I$2, Tabella1[[#This Row],[MAR]]="X"), "X", IF(AND('Inserimento dati'!$B$3=$J$2, Tabella1[[#This Row],[MER]]="X"), "X",IF(AND('Inserimento dati'!$B$3=$K$2, Tabella1[[#This Row],[GIO]]="X"), "X", IF(AND('Inserimento dati'!$B$3=$L$2, Tabella1[[#This Row],[VEN]]="X"), "X","")))))</f>
        <v/>
      </c>
      <c r="U176" s="66"/>
    </row>
    <row r="177" spans="1:21" ht="60" x14ac:dyDescent="0.25">
      <c r="A177" s="84"/>
      <c r="B177" s="84"/>
      <c r="C177" s="84" t="str">
        <f>IF(OR(Tabella1[[#This Row],[LUN]]="X",Tabella1[[#This Row],[MAR]]="X",Tabella1[[#This Row],[MER]]="X",Tabella1[[#This Row],[GIO]]="X",Tabella1[[#This Row],[VEN]]="X",),"X","")</f>
        <v/>
      </c>
      <c r="D177" s="85" t="s">
        <v>147</v>
      </c>
      <c r="E177" s="81" t="s">
        <v>1427</v>
      </c>
      <c r="F177" s="81">
        <v>1000</v>
      </c>
      <c r="G177" s="81" t="s">
        <v>1428</v>
      </c>
      <c r="H177" s="83"/>
      <c r="I177" s="83"/>
      <c r="J177" s="83"/>
      <c r="K177" s="83"/>
      <c r="L177" s="83"/>
      <c r="M177" s="142" t="s">
        <v>51</v>
      </c>
      <c r="N177" s="82"/>
      <c r="O177" s="103"/>
      <c r="P177" s="82"/>
      <c r="Q177" s="81" t="s">
        <v>1429</v>
      </c>
      <c r="R177" s="82"/>
      <c r="S177" s="82" t="s">
        <v>9</v>
      </c>
      <c r="T177" s="132" t="str">
        <f ca="1">IF(AND('Inserimento dati'!$B$3=$H$2, Tabella1[[#This Row],[LUN]]="X"), "X",IF(AND('Inserimento dati'!$B$3=$I$2, Tabella1[[#This Row],[MAR]]="X"), "X", IF(AND('Inserimento dati'!$B$3=$J$2, Tabella1[[#This Row],[MER]]="X"), "X",IF(AND('Inserimento dati'!$B$3=$K$2, Tabella1[[#This Row],[GIO]]="X"), "X", IF(AND('Inserimento dati'!$B$3=$L$2, Tabella1[[#This Row],[VEN]]="X"), "X","")))))</f>
        <v/>
      </c>
      <c r="U177" s="66"/>
    </row>
    <row r="178" spans="1:21" ht="30" x14ac:dyDescent="0.25">
      <c r="A178" s="84"/>
      <c r="B178" s="84"/>
      <c r="C178" s="84" t="str">
        <f>IF(OR(Tabella1[[#This Row],[LUN]]="X",Tabella1[[#This Row],[MAR]]="X",Tabella1[[#This Row],[MER]]="X",Tabella1[[#This Row],[GIO]]="X",Tabella1[[#This Row],[VEN]]="X",),"X","")</f>
        <v/>
      </c>
      <c r="D178" s="85" t="s">
        <v>147</v>
      </c>
      <c r="E178" s="81" t="s">
        <v>1430</v>
      </c>
      <c r="F178" s="81">
        <v>500</v>
      </c>
      <c r="G178" s="81" t="s">
        <v>1431</v>
      </c>
      <c r="H178" s="83"/>
      <c r="I178" s="83"/>
      <c r="J178" s="83"/>
      <c r="K178" s="83"/>
      <c r="L178" s="83"/>
      <c r="M178" s="142" t="s">
        <v>51</v>
      </c>
      <c r="N178" s="82"/>
      <c r="O178" s="103"/>
      <c r="P178" s="82"/>
      <c r="Q178" s="81" t="s">
        <v>1432</v>
      </c>
      <c r="R178" s="82">
        <v>45897</v>
      </c>
      <c r="S178" s="82" t="s">
        <v>535</v>
      </c>
      <c r="T178" s="132" t="str">
        <f ca="1">IF(AND('Inserimento dati'!$B$3=$H$2, Tabella1[[#This Row],[LUN]]="X"), "X",IF(AND('Inserimento dati'!$B$3=$I$2, Tabella1[[#This Row],[MAR]]="X"), "X", IF(AND('Inserimento dati'!$B$3=$J$2, Tabella1[[#This Row],[MER]]="X"), "X",IF(AND('Inserimento dati'!$B$3=$K$2, Tabella1[[#This Row],[GIO]]="X"), "X", IF(AND('Inserimento dati'!$B$3=$L$2, Tabella1[[#This Row],[VEN]]="X"), "X","")))))</f>
        <v/>
      </c>
      <c r="U178" s="66"/>
    </row>
    <row r="179" spans="1:21" ht="23.25" x14ac:dyDescent="0.25">
      <c r="A179" s="84"/>
      <c r="B179" s="84"/>
      <c r="C179" s="84" t="str">
        <f>IF(OR(Tabella1[[#This Row],[LUN]]="X",Tabella1[[#This Row],[MAR]]="X",Tabella1[[#This Row],[MER]]="X",Tabella1[[#This Row],[GIO]]="X",Tabella1[[#This Row],[VEN]]="X",),"X","")</f>
        <v/>
      </c>
      <c r="D179" s="85" t="s">
        <v>147</v>
      </c>
      <c r="E179" s="81" t="s">
        <v>1433</v>
      </c>
      <c r="F179" s="81">
        <v>500</v>
      </c>
      <c r="G179" s="81" t="s">
        <v>1434</v>
      </c>
      <c r="H179" s="83"/>
      <c r="I179" s="83"/>
      <c r="J179" s="83"/>
      <c r="K179" s="83"/>
      <c r="L179" s="83"/>
      <c r="M179" s="142" t="s">
        <v>51</v>
      </c>
      <c r="N179" s="82"/>
      <c r="O179" s="103"/>
      <c r="P179" s="82"/>
      <c r="Q179" s="81" t="s">
        <v>1435</v>
      </c>
      <c r="R179" s="82">
        <v>45891</v>
      </c>
      <c r="S179" s="82" t="s">
        <v>20</v>
      </c>
      <c r="T179" s="132" t="str">
        <f ca="1">IF(AND('Inserimento dati'!$B$3=$H$2, Tabella1[[#This Row],[LUN]]="X"), "X",IF(AND('Inserimento dati'!$B$3=$I$2, Tabella1[[#This Row],[MAR]]="X"), "X", IF(AND('Inserimento dati'!$B$3=$J$2, Tabella1[[#This Row],[MER]]="X"), "X",IF(AND('Inserimento dati'!$B$3=$K$2, Tabella1[[#This Row],[GIO]]="X"), "X", IF(AND('Inserimento dati'!$B$3=$L$2, Tabella1[[#This Row],[VEN]]="X"), "X","")))))</f>
        <v/>
      </c>
      <c r="U179" s="66"/>
    </row>
    <row r="180" spans="1:21" ht="30" x14ac:dyDescent="0.25">
      <c r="A180" s="84"/>
      <c r="B180" s="84"/>
      <c r="C180" s="84" t="str">
        <f>IF(OR(Tabella1[[#This Row],[LUN]]="X",Tabella1[[#This Row],[MAR]]="X",Tabella1[[#This Row],[MER]]="X",Tabella1[[#This Row],[GIO]]="X",Tabella1[[#This Row],[VEN]]="X",),"X","")</f>
        <v/>
      </c>
      <c r="D180" s="85" t="s">
        <v>147</v>
      </c>
      <c r="E180" s="81" t="s">
        <v>1436</v>
      </c>
      <c r="F180" s="81">
        <v>600</v>
      </c>
      <c r="G180" s="81" t="s">
        <v>1437</v>
      </c>
      <c r="H180" s="83"/>
      <c r="I180" s="83"/>
      <c r="J180" s="83"/>
      <c r="K180" s="83"/>
      <c r="L180" s="83"/>
      <c r="M180" s="142" t="s">
        <v>51</v>
      </c>
      <c r="N180" s="82"/>
      <c r="O180" s="103"/>
      <c r="P180" s="82"/>
      <c r="Q180" s="81" t="s">
        <v>1438</v>
      </c>
      <c r="R180" s="82">
        <v>45883</v>
      </c>
      <c r="S180" s="82" t="s">
        <v>20</v>
      </c>
      <c r="T180" s="132" t="str">
        <f ca="1">IF(AND('Inserimento dati'!$B$3=$H$2, Tabella1[[#This Row],[LUN]]="X"), "X",IF(AND('Inserimento dati'!$B$3=$I$2, Tabella1[[#This Row],[MAR]]="X"), "X", IF(AND('Inserimento dati'!$B$3=$J$2, Tabella1[[#This Row],[MER]]="X"), "X",IF(AND('Inserimento dati'!$B$3=$K$2, Tabella1[[#This Row],[GIO]]="X"), "X", IF(AND('Inserimento dati'!$B$3=$L$2, Tabella1[[#This Row],[VEN]]="X"), "X","")))))</f>
        <v/>
      </c>
      <c r="U180" s="66"/>
    </row>
    <row r="181" spans="1:21" ht="30" x14ac:dyDescent="0.25">
      <c r="A181" s="84"/>
      <c r="B181" s="84"/>
      <c r="C181" s="84" t="str">
        <f>IF(OR(Tabella1[[#This Row],[LUN]]="X",Tabella1[[#This Row],[MAR]]="X",Tabella1[[#This Row],[MER]]="X",Tabella1[[#This Row],[GIO]]="X",Tabella1[[#This Row],[VEN]]="X",),"X","")</f>
        <v/>
      </c>
      <c r="D181" s="85" t="s">
        <v>147</v>
      </c>
      <c r="E181" s="81" t="s">
        <v>1439</v>
      </c>
      <c r="F181" s="81">
        <v>1000</v>
      </c>
      <c r="G181" s="81" t="s">
        <v>1440</v>
      </c>
      <c r="H181" s="83"/>
      <c r="I181" s="83"/>
      <c r="J181" s="83"/>
      <c r="K181" s="83"/>
      <c r="L181" s="83"/>
      <c r="M181" s="142" t="s">
        <v>51</v>
      </c>
      <c r="N181" s="82"/>
      <c r="O181" s="103" t="s">
        <v>8</v>
      </c>
      <c r="P181" s="82" t="s">
        <v>8</v>
      </c>
      <c r="Q181" s="81" t="s">
        <v>1441</v>
      </c>
      <c r="R181" s="82">
        <v>45888</v>
      </c>
      <c r="S181" s="82" t="s">
        <v>20</v>
      </c>
      <c r="T181" s="132" t="str">
        <f ca="1">IF(AND('Inserimento dati'!$B$3=$H$2, Tabella1[[#This Row],[LUN]]="X"), "X",IF(AND('Inserimento dati'!$B$3=$I$2, Tabella1[[#This Row],[MAR]]="X"), "X", IF(AND('Inserimento dati'!$B$3=$J$2, Tabella1[[#This Row],[MER]]="X"), "X",IF(AND('Inserimento dati'!$B$3=$K$2, Tabella1[[#This Row],[GIO]]="X"), "X", IF(AND('Inserimento dati'!$B$3=$L$2, Tabella1[[#This Row],[VEN]]="X"), "X","")))))</f>
        <v/>
      </c>
      <c r="U181" s="66"/>
    </row>
    <row r="182" spans="1:21" ht="45" x14ac:dyDescent="0.25">
      <c r="A182" s="84"/>
      <c r="B182" s="84"/>
      <c r="C182" s="84" t="str">
        <f>IF(OR(Tabella1[[#This Row],[LUN]]="X",Tabella1[[#This Row],[MAR]]="X",Tabella1[[#This Row],[MER]]="X",Tabella1[[#This Row],[GIO]]="X",Tabella1[[#This Row],[VEN]]="X",),"X","")</f>
        <v/>
      </c>
      <c r="D182" s="85" t="s">
        <v>147</v>
      </c>
      <c r="E182" s="81" t="s">
        <v>1442</v>
      </c>
      <c r="F182" s="81">
        <v>500</v>
      </c>
      <c r="G182" s="81" t="s">
        <v>1443</v>
      </c>
      <c r="H182" s="83"/>
      <c r="I182" s="83"/>
      <c r="J182" s="83"/>
      <c r="K182" s="83"/>
      <c r="L182" s="83"/>
      <c r="M182" s="142" t="s">
        <v>51</v>
      </c>
      <c r="N182" s="82"/>
      <c r="O182" s="103"/>
      <c r="P182" s="82"/>
      <c r="Q182" s="81" t="s">
        <v>1444</v>
      </c>
      <c r="R182" s="82">
        <v>45856</v>
      </c>
      <c r="S182" s="82" t="s">
        <v>45</v>
      </c>
      <c r="T182" s="132" t="str">
        <f ca="1">IF(AND('Inserimento dati'!$B$3=$H$2, Tabella1[[#This Row],[LUN]]="X"), "X",IF(AND('Inserimento dati'!$B$3=$I$2, Tabella1[[#This Row],[MAR]]="X"), "X", IF(AND('Inserimento dati'!$B$3=$J$2, Tabella1[[#This Row],[MER]]="X"), "X",IF(AND('Inserimento dati'!$B$3=$K$2, Tabella1[[#This Row],[GIO]]="X"), "X", IF(AND('Inserimento dati'!$B$3=$L$2, Tabella1[[#This Row],[VEN]]="X"), "X","")))))</f>
        <v/>
      </c>
      <c r="U182" s="66"/>
    </row>
    <row r="183" spans="1:21" ht="45" x14ac:dyDescent="0.25">
      <c r="A183" s="84"/>
      <c r="B183" s="84"/>
      <c r="C183" s="84" t="str">
        <f>IF(OR(Tabella1[[#This Row],[LUN]]="X",Tabella1[[#This Row],[MAR]]="X",Tabella1[[#This Row],[MER]]="X",Tabella1[[#This Row],[GIO]]="X",Tabella1[[#This Row],[VEN]]="X",),"X","")</f>
        <v/>
      </c>
      <c r="D183" s="85" t="s">
        <v>147</v>
      </c>
      <c r="E183" s="81" t="s">
        <v>1445</v>
      </c>
      <c r="F183" s="81">
        <v>600</v>
      </c>
      <c r="G183" s="81" t="s">
        <v>1446</v>
      </c>
      <c r="H183" s="83"/>
      <c r="I183" s="83"/>
      <c r="J183" s="83"/>
      <c r="K183" s="83"/>
      <c r="L183" s="83"/>
      <c r="M183" s="142" t="s">
        <v>51</v>
      </c>
      <c r="N183" s="82"/>
      <c r="O183" s="103"/>
      <c r="P183" s="82"/>
      <c r="Q183" s="81" t="s">
        <v>1447</v>
      </c>
      <c r="R183" s="82">
        <v>45839</v>
      </c>
      <c r="S183" s="82" t="s">
        <v>20</v>
      </c>
      <c r="T183" s="132" t="str">
        <f ca="1">IF(AND('Inserimento dati'!$B$3=$H$2, Tabella1[[#This Row],[LUN]]="X"), "X",IF(AND('Inserimento dati'!$B$3=$I$2, Tabella1[[#This Row],[MAR]]="X"), "X", IF(AND('Inserimento dati'!$B$3=$J$2, Tabella1[[#This Row],[MER]]="X"), "X",IF(AND('Inserimento dati'!$B$3=$K$2, Tabella1[[#This Row],[GIO]]="X"), "X", IF(AND('Inserimento dati'!$B$3=$L$2, Tabella1[[#This Row],[VEN]]="X"), "X","")))))</f>
        <v/>
      </c>
      <c r="U183" s="149" t="str">
        <f t="shared" ref="U183:U196" ca="1" si="7">IFERROR(MID(G183,_xlfn.AGGREGATE(15,6,(ROW(INDIRECT("1:"&amp;LEN(G183)-7)))/(ISNUMBER(--MID(G183,ROW(INDIRECT("1:"&amp;LEN(G183)-7)),8))),1),8),"")</f>
        <v/>
      </c>
    </row>
    <row r="184" spans="1:21" ht="30" x14ac:dyDescent="0.25">
      <c r="A184" s="84"/>
      <c r="B184" s="84"/>
      <c r="C184" s="84" t="str">
        <f>IF(OR(Tabella1[[#This Row],[LUN]]="X",Tabella1[[#This Row],[MAR]]="X",Tabella1[[#This Row],[MER]]="X",Tabella1[[#This Row],[GIO]]="X",Tabella1[[#This Row],[VEN]]="X",),"X","")</f>
        <v/>
      </c>
      <c r="D184" s="85" t="s">
        <v>147</v>
      </c>
      <c r="E184" s="81" t="s">
        <v>1448</v>
      </c>
      <c r="F184" s="81">
        <v>500</v>
      </c>
      <c r="G184" s="81" t="s">
        <v>1449</v>
      </c>
      <c r="H184" s="83"/>
      <c r="I184" s="83"/>
      <c r="J184" s="83"/>
      <c r="K184" s="83"/>
      <c r="L184" s="83"/>
      <c r="M184" s="82" t="s">
        <v>51</v>
      </c>
      <c r="N184" s="82"/>
      <c r="O184" s="103"/>
      <c r="P184" s="82"/>
      <c r="Q184" s="81" t="s">
        <v>1450</v>
      </c>
      <c r="R184" s="82">
        <v>45797</v>
      </c>
      <c r="S184" s="82" t="s">
        <v>20</v>
      </c>
      <c r="T184" s="135" t="str">
        <f ca="1">IF(AND('Inserimento dati'!$B$3=$H$2, Tabella1[[#This Row],[LUN]]="X"), "X",IF(AND('Inserimento dati'!$B$3=$I$2, Tabella1[[#This Row],[MAR]]="X"), "X", IF(AND('Inserimento dati'!$B$3=$J$2, Tabella1[[#This Row],[MER]]="X"), "X",IF(AND('Inserimento dati'!$B$3=$K$2, Tabella1[[#This Row],[GIO]]="X"), "X", IF(AND('Inserimento dati'!$B$3=$L$2, Tabella1[[#This Row],[VEN]]="X"), "X","")))))</f>
        <v/>
      </c>
      <c r="U184" s="146" t="str">
        <f t="shared" ca="1" si="7"/>
        <v/>
      </c>
    </row>
    <row r="185" spans="1:21" ht="30" x14ac:dyDescent="0.25">
      <c r="A185" s="84"/>
      <c r="B185" s="84" t="str">
        <f t="shared" ref="B185:B196" si="8">IF(OR(A185="x",A185="X"),"",IF(ISBLANK(A185),"X",""))</f>
        <v>X</v>
      </c>
      <c r="C185" s="84" t="str">
        <f>IF(OR(Tabella1[[#This Row],[LUN]]="X",Tabella1[[#This Row],[MAR]]="X",Tabella1[[#This Row],[MER]]="X",Tabella1[[#This Row],[GIO]]="X",Tabella1[[#This Row],[VEN]]="X",),"X","")</f>
        <v/>
      </c>
      <c r="D185" s="85" t="s">
        <v>147</v>
      </c>
      <c r="E185" s="81" t="s">
        <v>1451</v>
      </c>
      <c r="F185" s="81">
        <v>500</v>
      </c>
      <c r="G185" s="81" t="s">
        <v>1452</v>
      </c>
      <c r="H185" s="83"/>
      <c r="I185" s="83"/>
      <c r="J185" s="83"/>
      <c r="K185" s="83"/>
      <c r="L185" s="83"/>
      <c r="M185" s="82" t="s">
        <v>51</v>
      </c>
      <c r="N185" s="82"/>
      <c r="O185" s="103"/>
      <c r="P185" s="82"/>
      <c r="Q185" s="81" t="s">
        <v>1453</v>
      </c>
      <c r="R185" s="82">
        <v>45791</v>
      </c>
      <c r="S185" s="82" t="s">
        <v>20</v>
      </c>
      <c r="T185" s="132" t="str">
        <f ca="1">IF(AND('Inserimento dati'!$B$3=$H$2, Tabella1[[#This Row],[LUN]]="X"), "X",IF(AND('Inserimento dati'!$B$3=$I$2, Tabella1[[#This Row],[MAR]]="X"), "X", IF(AND('Inserimento dati'!$B$3=$J$2, Tabella1[[#This Row],[MER]]="X"), "X",IF(AND('Inserimento dati'!$B$3=$K$2, Tabella1[[#This Row],[GIO]]="X"), "X", IF(AND('Inserimento dati'!$B$3=$L$2, Tabella1[[#This Row],[VEN]]="X"), "X","")))))</f>
        <v/>
      </c>
      <c r="U185" s="146" t="str">
        <f t="shared" ca="1" si="7"/>
        <v/>
      </c>
    </row>
    <row r="186" spans="1:21" ht="30" x14ac:dyDescent="0.25">
      <c r="A186" s="84"/>
      <c r="B186" s="84" t="str">
        <f t="shared" si="8"/>
        <v>X</v>
      </c>
      <c r="C186" s="84" t="str">
        <f>IF(OR(Tabella1[[#This Row],[LUN]]="X",Tabella1[[#This Row],[MAR]]="X",Tabella1[[#This Row],[MER]]="X",Tabella1[[#This Row],[GIO]]="X",Tabella1[[#This Row],[VEN]]="X",),"X","")</f>
        <v/>
      </c>
      <c r="D186" s="85" t="s">
        <v>147</v>
      </c>
      <c r="E186" s="81" t="s">
        <v>1454</v>
      </c>
      <c r="F186" s="81">
        <v>500</v>
      </c>
      <c r="G186" s="81" t="s">
        <v>1455</v>
      </c>
      <c r="H186" s="83"/>
      <c r="I186" s="83"/>
      <c r="J186" s="83"/>
      <c r="K186" s="83"/>
      <c r="L186" s="83"/>
      <c r="M186" s="82" t="s">
        <v>51</v>
      </c>
      <c r="N186" s="82"/>
      <c r="O186" s="103"/>
      <c r="P186" s="82"/>
      <c r="Q186" s="81" t="s">
        <v>1456</v>
      </c>
      <c r="R186" s="82">
        <v>45791</v>
      </c>
      <c r="S186" s="82" t="s">
        <v>20</v>
      </c>
      <c r="T186" s="132" t="str">
        <f ca="1">IF(AND('Inserimento dati'!$B$3=$H$2, Tabella1[[#This Row],[LUN]]="X"), "X",IF(AND('Inserimento dati'!$B$3=$I$2, Tabella1[[#This Row],[MAR]]="X"), "X", IF(AND('Inserimento dati'!$B$3=$J$2, Tabella1[[#This Row],[MER]]="X"), "X",IF(AND('Inserimento dati'!$B$3=$K$2, Tabella1[[#This Row],[GIO]]="X"), "X", IF(AND('Inserimento dati'!$B$3=$L$2, Tabella1[[#This Row],[VEN]]="X"), "X","")))))</f>
        <v/>
      </c>
      <c r="U186" s="146" t="str">
        <f t="shared" ca="1" si="7"/>
        <v/>
      </c>
    </row>
    <row r="187" spans="1:21" ht="45" x14ac:dyDescent="0.25">
      <c r="A187" s="84"/>
      <c r="B187" s="84" t="str">
        <f t="shared" si="8"/>
        <v>X</v>
      </c>
      <c r="C187" s="84" t="str">
        <f>IF(OR(Tabella1[[#This Row],[LUN]]="X",Tabella1[[#This Row],[MAR]]="X",Tabella1[[#This Row],[MER]]="X",Tabella1[[#This Row],[GIO]]="X",Tabella1[[#This Row],[VEN]]="X",),"X","")</f>
        <v/>
      </c>
      <c r="D187" s="85" t="s">
        <v>147</v>
      </c>
      <c r="E187" s="81" t="s">
        <v>1457</v>
      </c>
      <c r="F187" s="81">
        <v>1000</v>
      </c>
      <c r="G187" s="81" t="s">
        <v>1458</v>
      </c>
      <c r="H187" s="83"/>
      <c r="I187" s="83"/>
      <c r="J187" s="83"/>
      <c r="K187" s="83"/>
      <c r="L187" s="83"/>
      <c r="M187" s="82" t="s">
        <v>51</v>
      </c>
      <c r="N187" s="82"/>
      <c r="O187" s="103" t="s">
        <v>8</v>
      </c>
      <c r="P187" s="82"/>
      <c r="Q187" s="81" t="s">
        <v>1459</v>
      </c>
      <c r="R187" s="82">
        <v>45784</v>
      </c>
      <c r="S187" s="82" t="s">
        <v>9</v>
      </c>
      <c r="T187" s="135" t="str">
        <f ca="1">IF(AND('Inserimento dati'!$B$3=$H$2, Tabella1[[#This Row],[LUN]]="X"), "X",IF(AND('Inserimento dati'!$B$3=$I$2, Tabella1[[#This Row],[MAR]]="X"), "X", IF(AND('Inserimento dati'!$B$3=$J$2, Tabella1[[#This Row],[MER]]="X"), "X",IF(AND('Inserimento dati'!$B$3=$K$2, Tabella1[[#This Row],[GIO]]="X"), "X", IF(AND('Inserimento dati'!$B$3=$L$2, Tabella1[[#This Row],[VEN]]="X"), "X","")))))</f>
        <v/>
      </c>
      <c r="U187" s="146" t="str">
        <f t="shared" ca="1" si="7"/>
        <v/>
      </c>
    </row>
    <row r="188" spans="1:21" ht="60" x14ac:dyDescent="0.25">
      <c r="A188" s="84"/>
      <c r="B188" s="84" t="str">
        <f t="shared" si="8"/>
        <v>X</v>
      </c>
      <c r="C188" s="84" t="str">
        <f>IF(OR(Tabella1[[#This Row],[LUN]]="X",Tabella1[[#This Row],[MAR]]="X",Tabella1[[#This Row],[MER]]="X",Tabella1[[#This Row],[GIO]]="X",Tabella1[[#This Row],[VEN]]="X",),"X","")</f>
        <v/>
      </c>
      <c r="D188" s="85" t="s">
        <v>147</v>
      </c>
      <c r="E188" s="81" t="s">
        <v>1460</v>
      </c>
      <c r="F188" s="81">
        <v>500</v>
      </c>
      <c r="G188" s="81" t="s">
        <v>1461</v>
      </c>
      <c r="H188" s="83"/>
      <c r="I188" s="83"/>
      <c r="J188" s="83"/>
      <c r="K188" s="83"/>
      <c r="L188" s="83"/>
      <c r="M188" s="82" t="s">
        <v>51</v>
      </c>
      <c r="N188" s="82"/>
      <c r="O188" s="103"/>
      <c r="P188" s="82"/>
      <c r="Q188" s="81" t="s">
        <v>1462</v>
      </c>
      <c r="R188" s="82">
        <v>45782</v>
      </c>
      <c r="S188" s="82" t="s">
        <v>20</v>
      </c>
      <c r="T188" s="84" t="str">
        <f ca="1">IF(AND('Inserimento dati'!$B$3=$H$2, Tabella1[[#This Row],[LUN]]="X"), "X",IF(AND('Inserimento dati'!$B$3=$I$2, Tabella1[[#This Row],[MAR]]="X"), "X", IF(AND('Inserimento dati'!$B$3=$J$2, Tabella1[[#This Row],[MER]]="X"), "X",IF(AND('Inserimento dati'!$B$3=$K$2, Tabella1[[#This Row],[GIO]]="X"), "X", IF(AND('Inserimento dati'!$B$3=$L$2, Tabella1[[#This Row],[VEN]]="X"), "X","")))))</f>
        <v/>
      </c>
      <c r="U188" s="146" t="str">
        <f t="shared" ca="1" si="7"/>
        <v/>
      </c>
    </row>
    <row r="189" spans="1:21" ht="23.25" x14ac:dyDescent="0.25">
      <c r="A189" s="84"/>
      <c r="B189" s="84" t="str">
        <f t="shared" si="8"/>
        <v>X</v>
      </c>
      <c r="C189" s="84" t="str">
        <f>IF(OR(Tabella1[[#This Row],[LUN]]="X",Tabella1[[#This Row],[MAR]]="X",Tabella1[[#This Row],[MER]]="X",Tabella1[[#This Row],[GIO]]="X",Tabella1[[#This Row],[VEN]]="X",),"X","")</f>
        <v/>
      </c>
      <c r="D189" s="85" t="s">
        <v>147</v>
      </c>
      <c r="E189" s="81" t="s">
        <v>1463</v>
      </c>
      <c r="F189" s="81">
        <v>500</v>
      </c>
      <c r="G189" s="81" t="s">
        <v>1184</v>
      </c>
      <c r="H189" s="83"/>
      <c r="I189" s="83"/>
      <c r="J189" s="83"/>
      <c r="K189" s="83"/>
      <c r="L189" s="83"/>
      <c r="M189" s="82" t="s">
        <v>51</v>
      </c>
      <c r="N189" s="82"/>
      <c r="O189" s="103" t="s">
        <v>8</v>
      </c>
      <c r="P189" s="82"/>
      <c r="Q189" s="81" t="s">
        <v>1435</v>
      </c>
      <c r="R189" s="82">
        <v>45782</v>
      </c>
      <c r="S189" s="82" t="s">
        <v>20</v>
      </c>
      <c r="T189" s="84" t="str">
        <f ca="1">IF(AND('Inserimento dati'!$B$3=$H$2, Tabella1[[#This Row],[LUN]]="X"), "X",IF(AND('Inserimento dati'!$B$3=$I$2, Tabella1[[#This Row],[MAR]]="X"), "X", IF(AND('Inserimento dati'!$B$3=$J$2, Tabella1[[#This Row],[MER]]="X"), "X",IF(AND('Inserimento dati'!$B$3=$K$2, Tabella1[[#This Row],[GIO]]="X"), "X", IF(AND('Inserimento dati'!$B$3=$L$2, Tabella1[[#This Row],[VEN]]="X"), "X","")))))</f>
        <v/>
      </c>
      <c r="U189" s="146" t="str">
        <f t="shared" ca="1" si="7"/>
        <v/>
      </c>
    </row>
    <row r="190" spans="1:21" ht="30" x14ac:dyDescent="0.25">
      <c r="A190" s="84"/>
      <c r="B190" s="84" t="str">
        <f t="shared" si="8"/>
        <v>X</v>
      </c>
      <c r="C190" s="84" t="str">
        <f>IF(OR(Tabella1[[#This Row],[LUN]]="X",Tabella1[[#This Row],[MAR]]="X",Tabella1[[#This Row],[MER]]="X",Tabella1[[#This Row],[GIO]]="X",Tabella1[[#This Row],[VEN]]="X",),"X","")</f>
        <v/>
      </c>
      <c r="D190" s="85" t="s">
        <v>147</v>
      </c>
      <c r="E190" s="81" t="s">
        <v>1464</v>
      </c>
      <c r="F190" s="81">
        <v>600</v>
      </c>
      <c r="G190" s="81" t="s">
        <v>1465</v>
      </c>
      <c r="H190" s="83"/>
      <c r="I190" s="83"/>
      <c r="J190" s="83"/>
      <c r="K190" s="83"/>
      <c r="L190" s="83"/>
      <c r="M190" s="82" t="s">
        <v>51</v>
      </c>
      <c r="N190" s="82"/>
      <c r="O190" s="103"/>
      <c r="P190" s="82"/>
      <c r="Q190" s="81" t="s">
        <v>1466</v>
      </c>
      <c r="R190" s="82">
        <v>45779</v>
      </c>
      <c r="S190" s="82" t="s">
        <v>20</v>
      </c>
      <c r="T190" s="84" t="str">
        <f ca="1">IF(AND('Inserimento dati'!$B$3=$H$2, Tabella1[[#This Row],[LUN]]="X"), "X",IF(AND('Inserimento dati'!$B$3=$I$2, Tabella1[[#This Row],[MAR]]="X"), "X", IF(AND('Inserimento dati'!$B$3=$J$2, Tabella1[[#This Row],[MER]]="X"), "X",IF(AND('Inserimento dati'!$B$3=$K$2, Tabella1[[#This Row],[GIO]]="X"), "X", IF(AND('Inserimento dati'!$B$3=$L$2, Tabella1[[#This Row],[VEN]]="X"), "X","")))))</f>
        <v/>
      </c>
      <c r="U190" s="146" t="str">
        <f t="shared" ca="1" si="7"/>
        <v/>
      </c>
    </row>
    <row r="191" spans="1:21" ht="30" x14ac:dyDescent="0.25">
      <c r="A191" s="84"/>
      <c r="B191" s="84" t="str">
        <f t="shared" si="8"/>
        <v>X</v>
      </c>
      <c r="C191" s="84" t="str">
        <f>IF(OR(Tabella1[[#This Row],[LUN]]="X",Tabella1[[#This Row],[MAR]]="X",Tabella1[[#This Row],[MER]]="X",Tabella1[[#This Row],[GIO]]="X",Tabella1[[#This Row],[VEN]]="X",),"X","")</f>
        <v/>
      </c>
      <c r="D191" s="85" t="s">
        <v>147</v>
      </c>
      <c r="E191" s="81" t="s">
        <v>1467</v>
      </c>
      <c r="F191" s="81">
        <v>1000</v>
      </c>
      <c r="G191" s="81" t="s">
        <v>1468</v>
      </c>
      <c r="H191" s="83"/>
      <c r="I191" s="83"/>
      <c r="J191" s="83"/>
      <c r="K191" s="83"/>
      <c r="L191" s="83"/>
      <c r="M191" s="82" t="s">
        <v>51</v>
      </c>
      <c r="N191" s="82"/>
      <c r="O191" s="103"/>
      <c r="P191" s="82"/>
      <c r="Q191" s="81" t="s">
        <v>1469</v>
      </c>
      <c r="R191" s="82">
        <v>45782</v>
      </c>
      <c r="S191" s="82" t="s">
        <v>1470</v>
      </c>
      <c r="T191" s="84" t="str">
        <f ca="1">IF(AND('Inserimento dati'!$B$3=$H$2, Tabella1[[#This Row],[LUN]]="X"), "X",IF(AND('Inserimento dati'!$B$3=$I$2, Tabella1[[#This Row],[MAR]]="X"), "X", IF(AND('Inserimento dati'!$B$3=$J$2, Tabella1[[#This Row],[MER]]="X"), "X",IF(AND('Inserimento dati'!$B$3=$K$2, Tabella1[[#This Row],[GIO]]="X"), "X", IF(AND('Inserimento dati'!$B$3=$L$2, Tabella1[[#This Row],[VEN]]="X"), "X","")))))</f>
        <v/>
      </c>
      <c r="U191" s="146" t="str">
        <f t="shared" ca="1" si="7"/>
        <v/>
      </c>
    </row>
    <row r="192" spans="1:21" ht="30" x14ac:dyDescent="0.25">
      <c r="A192" s="84"/>
      <c r="B192" s="84" t="str">
        <f t="shared" si="8"/>
        <v>X</v>
      </c>
      <c r="C192" s="84" t="str">
        <f>IF(OR(Tabella1[[#This Row],[LUN]]="X",Tabella1[[#This Row],[MAR]]="X",Tabella1[[#This Row],[MER]]="X",Tabella1[[#This Row],[GIO]]="X",Tabella1[[#This Row],[VEN]]="X",),"X","")</f>
        <v/>
      </c>
      <c r="D192" s="85" t="s">
        <v>147</v>
      </c>
      <c r="E192" s="81" t="s">
        <v>1471</v>
      </c>
      <c r="F192" s="81">
        <v>600</v>
      </c>
      <c r="G192" s="81" t="s">
        <v>1472</v>
      </c>
      <c r="H192" s="83"/>
      <c r="I192" s="83"/>
      <c r="J192" s="83"/>
      <c r="K192" s="83"/>
      <c r="L192" s="83"/>
      <c r="M192" s="82" t="s">
        <v>51</v>
      </c>
      <c r="N192" s="82"/>
      <c r="O192" s="103"/>
      <c r="P192" s="82"/>
      <c r="Q192" s="81" t="s">
        <v>1473</v>
      </c>
      <c r="R192" s="82">
        <v>45715</v>
      </c>
      <c r="S192" s="82" t="s">
        <v>9</v>
      </c>
      <c r="T192" s="84" t="str">
        <f ca="1">IF(AND('Inserimento dati'!$B$3=$H$2, Tabella1[[#This Row],[LUN]]="X"), "X",IF(AND('Inserimento dati'!$B$3=$I$2, Tabella1[[#This Row],[MAR]]="X"), "X", IF(AND('Inserimento dati'!$B$3=$J$2, Tabella1[[#This Row],[MER]]="X"), "X",IF(AND('Inserimento dati'!$B$3=$K$2, Tabella1[[#This Row],[GIO]]="X"), "X", IF(AND('Inserimento dati'!$B$3=$L$2, Tabella1[[#This Row],[VEN]]="X"), "X","")))))</f>
        <v/>
      </c>
      <c r="U192" s="146" t="str">
        <f t="shared" ca="1" si="7"/>
        <v/>
      </c>
    </row>
    <row r="193" spans="1:21" ht="23.25" x14ac:dyDescent="0.25">
      <c r="A193" s="84"/>
      <c r="B193" s="84" t="str">
        <f t="shared" si="8"/>
        <v>X</v>
      </c>
      <c r="C193" s="84" t="str">
        <f>IF(OR(Tabella1[[#This Row],[LUN]]="X",Tabella1[[#This Row],[MAR]]="X",Tabella1[[#This Row],[MER]]="X",Tabella1[[#This Row],[GIO]]="X",Tabella1[[#This Row],[VEN]]="X",),"X","")</f>
        <v/>
      </c>
      <c r="D193" s="85" t="s">
        <v>147</v>
      </c>
      <c r="E193" s="81" t="s">
        <v>1474</v>
      </c>
      <c r="F193" s="81">
        <v>600</v>
      </c>
      <c r="G193" s="81" t="s">
        <v>1475</v>
      </c>
      <c r="H193" s="83"/>
      <c r="I193" s="83"/>
      <c r="J193" s="83"/>
      <c r="K193" s="83"/>
      <c r="L193" s="83"/>
      <c r="M193" s="82" t="s">
        <v>51</v>
      </c>
      <c r="N193" s="82"/>
      <c r="O193" s="103"/>
      <c r="P193" s="82"/>
      <c r="Q193" s="81" t="s">
        <v>1476</v>
      </c>
      <c r="R193" s="82">
        <v>45715</v>
      </c>
      <c r="S193" s="82" t="s">
        <v>227</v>
      </c>
      <c r="T193" s="84" t="str">
        <f ca="1">IF(AND('Inserimento dati'!$B$3=$H$2, Tabella1[[#This Row],[LUN]]="X"), "X",IF(AND('Inserimento dati'!$B$3=$I$2, Tabella1[[#This Row],[MAR]]="X"), "X", IF(AND('Inserimento dati'!$B$3=$J$2, Tabella1[[#This Row],[MER]]="X"), "X",IF(AND('Inserimento dati'!$B$3=$K$2, Tabella1[[#This Row],[GIO]]="X"), "X", IF(AND('Inserimento dati'!$B$3=$L$2, Tabella1[[#This Row],[VEN]]="X"), "X","")))))</f>
        <v/>
      </c>
      <c r="U193" s="146" t="str">
        <f t="shared" ca="1" si="7"/>
        <v/>
      </c>
    </row>
    <row r="194" spans="1:21" ht="30" x14ac:dyDescent="0.25">
      <c r="A194" s="84"/>
      <c r="B194" s="84" t="str">
        <f t="shared" si="8"/>
        <v>X</v>
      </c>
      <c r="C194" s="84" t="str">
        <f>IF(OR(Tabella1[[#This Row],[LUN]]="X",Tabella1[[#This Row],[MAR]]="X",Tabella1[[#This Row],[MER]]="X",Tabella1[[#This Row],[GIO]]="X",Tabella1[[#This Row],[VEN]]="X",),"X","")</f>
        <v/>
      </c>
      <c r="D194" s="85" t="s">
        <v>147</v>
      </c>
      <c r="E194" s="81" t="s">
        <v>1477</v>
      </c>
      <c r="F194" s="81">
        <v>1000</v>
      </c>
      <c r="G194" s="81" t="s">
        <v>1478</v>
      </c>
      <c r="H194" s="83"/>
      <c r="I194" s="83"/>
      <c r="J194" s="83"/>
      <c r="K194" s="83"/>
      <c r="L194" s="83"/>
      <c r="M194" s="82" t="s">
        <v>51</v>
      </c>
      <c r="N194" s="82"/>
      <c r="O194" s="103"/>
      <c r="P194" s="82"/>
      <c r="Q194" s="81" t="s">
        <v>1479</v>
      </c>
      <c r="R194" s="82">
        <v>45707</v>
      </c>
      <c r="S194" s="82" t="s">
        <v>9</v>
      </c>
      <c r="T194" s="84" t="str">
        <f ca="1">IF(AND('Inserimento dati'!$B$3=$H$2, Tabella1[[#This Row],[LUN]]="X"), "X",IF(AND('Inserimento dati'!$B$3=$I$2, Tabella1[[#This Row],[MAR]]="X"), "X", IF(AND('Inserimento dati'!$B$3=$J$2, Tabella1[[#This Row],[MER]]="X"), "X",IF(AND('Inserimento dati'!$B$3=$K$2, Tabella1[[#This Row],[GIO]]="X"), "X", IF(AND('Inserimento dati'!$B$3=$L$2, Tabella1[[#This Row],[VEN]]="X"), "X","")))))</f>
        <v/>
      </c>
      <c r="U194" s="147" t="str">
        <f t="shared" ca="1" si="7"/>
        <v/>
      </c>
    </row>
    <row r="195" spans="1:21" ht="30" x14ac:dyDescent="0.25">
      <c r="A195" s="84"/>
      <c r="B195" s="84" t="str">
        <f t="shared" si="8"/>
        <v>X</v>
      </c>
      <c r="C195" s="84" t="str">
        <f>IF(OR(Tabella1[[#This Row],[LUN]]="X",Tabella1[[#This Row],[MAR]]="X",Tabella1[[#This Row],[MER]]="X",Tabella1[[#This Row],[GIO]]="X",Tabella1[[#This Row],[VEN]]="X",),"X","")</f>
        <v/>
      </c>
      <c r="D195" s="85" t="s">
        <v>147</v>
      </c>
      <c r="E195" s="81" t="s">
        <v>1480</v>
      </c>
      <c r="F195" s="81">
        <v>500</v>
      </c>
      <c r="G195" s="81" t="s">
        <v>1481</v>
      </c>
      <c r="H195" s="83"/>
      <c r="I195" s="83"/>
      <c r="J195" s="83"/>
      <c r="K195" s="83"/>
      <c r="L195" s="83"/>
      <c r="M195" s="82" t="s">
        <v>51</v>
      </c>
      <c r="N195" s="82"/>
      <c r="O195" s="103" t="s">
        <v>8</v>
      </c>
      <c r="P195" s="82"/>
      <c r="Q195" s="81" t="s">
        <v>1482</v>
      </c>
      <c r="R195" s="82">
        <v>45705</v>
      </c>
      <c r="S195" s="82" t="s">
        <v>1483</v>
      </c>
      <c r="T195" s="84" t="str">
        <f ca="1">IF(AND('Inserimento dati'!$B$3=$H$2, Tabella1[[#This Row],[LUN]]="X"), "X",IF(AND('Inserimento dati'!$B$3=$I$2, Tabella1[[#This Row],[MAR]]="X"), "X", IF(AND('Inserimento dati'!$B$3=$J$2, Tabella1[[#This Row],[MER]]="X"), "X",IF(AND('Inserimento dati'!$B$3=$K$2, Tabella1[[#This Row],[GIO]]="X"), "X", IF(AND('Inserimento dati'!$B$3=$L$2, Tabella1[[#This Row],[VEN]]="X"), "X","")))))</f>
        <v/>
      </c>
      <c r="U195" s="147" t="str">
        <f t="shared" ca="1" si="7"/>
        <v/>
      </c>
    </row>
    <row r="196" spans="1:21" ht="30" x14ac:dyDescent="0.25">
      <c r="A196" s="84"/>
      <c r="B196" s="84" t="str">
        <f t="shared" si="8"/>
        <v>X</v>
      </c>
      <c r="C196" s="84" t="str">
        <f>IF(OR(Tabella1[[#This Row],[LUN]]="X",Tabella1[[#This Row],[MAR]]="X",Tabella1[[#This Row],[MER]]="X",Tabella1[[#This Row],[GIO]]="X",Tabella1[[#This Row],[VEN]]="X",),"X","")</f>
        <v/>
      </c>
      <c r="D196" s="85" t="s">
        <v>147</v>
      </c>
      <c r="E196" s="81" t="s">
        <v>1484</v>
      </c>
      <c r="F196" s="81">
        <v>600</v>
      </c>
      <c r="G196" s="81" t="s">
        <v>1485</v>
      </c>
      <c r="H196" s="83"/>
      <c r="I196" s="83"/>
      <c r="J196" s="83"/>
      <c r="K196" s="83"/>
      <c r="L196" s="83"/>
      <c r="M196" s="82" t="s">
        <v>51</v>
      </c>
      <c r="N196" s="82"/>
      <c r="O196" s="103" t="s">
        <v>8</v>
      </c>
      <c r="P196" s="82"/>
      <c r="Q196" s="81" t="s">
        <v>1486</v>
      </c>
      <c r="R196" s="82">
        <v>45687</v>
      </c>
      <c r="S196" s="82" t="s">
        <v>238</v>
      </c>
      <c r="T196" s="84" t="str">
        <f ca="1">IF(AND('Inserimento dati'!$B$3=$H$2, Tabella1[[#This Row],[LUN]]="X"), "X",IF(AND('Inserimento dati'!$B$3=$I$2, Tabella1[[#This Row],[MAR]]="X"), "X", IF(AND('Inserimento dati'!$B$3=$J$2, Tabella1[[#This Row],[MER]]="X"), "X",IF(AND('Inserimento dati'!$B$3=$K$2, Tabella1[[#This Row],[GIO]]="X"), "X", IF(AND('Inserimento dati'!$B$3=$L$2, Tabella1[[#This Row],[VEN]]="X"), "X","")))))</f>
        <v/>
      </c>
      <c r="U196" s="147" t="str">
        <f t="shared" ca="1" si="7"/>
        <v/>
      </c>
    </row>
    <row r="197" spans="1:21" ht="23.25" x14ac:dyDescent="0.25">
      <c r="A197" s="84"/>
      <c r="B197" s="84"/>
      <c r="C197" s="84" t="str">
        <f>IF(OR(Tabella1[[#This Row],[LUN]]="X",Tabella1[[#This Row],[MAR]]="X",Tabella1[[#This Row],[MER]]="X",Tabella1[[#This Row],[GIO]]="X",Tabella1[[#This Row],[VEN]]="X",),"X","")</f>
        <v/>
      </c>
      <c r="D197" s="85" t="s">
        <v>147</v>
      </c>
      <c r="E197" s="81" t="s">
        <v>1487</v>
      </c>
      <c r="F197" s="81">
        <v>1000</v>
      </c>
      <c r="G197" s="81" t="s">
        <v>1488</v>
      </c>
      <c r="H197" s="83"/>
      <c r="I197" s="83"/>
      <c r="J197" s="83"/>
      <c r="K197" s="83"/>
      <c r="L197" s="83"/>
      <c r="M197" s="142" t="s">
        <v>51</v>
      </c>
      <c r="N197" s="82"/>
      <c r="O197" s="103"/>
      <c r="P197" s="82"/>
      <c r="Q197" s="81" t="s">
        <v>1489</v>
      </c>
      <c r="R197" s="82">
        <v>45898</v>
      </c>
      <c r="S197" s="82" t="s">
        <v>45</v>
      </c>
      <c r="T197" s="132" t="str">
        <f ca="1">IF(AND('Inserimento dati'!$B$3=$H$2, Tabella1[[#This Row],[LUN]]="X"), "X",IF(AND('Inserimento dati'!$B$3=$I$2, Tabella1[[#This Row],[MAR]]="X"), "X", IF(AND('Inserimento dati'!$B$3=$J$2, Tabella1[[#This Row],[MER]]="X"), "X",IF(AND('Inserimento dati'!$B$3=$K$2, Tabella1[[#This Row],[GIO]]="X"), "X", IF(AND('Inserimento dati'!$B$3=$L$2, Tabella1[[#This Row],[VEN]]="X"), "X","")))))</f>
        <v/>
      </c>
      <c r="U197" s="66"/>
    </row>
    <row r="198" spans="1:21" ht="23.25" x14ac:dyDescent="0.25">
      <c r="A198" s="84"/>
      <c r="B198" s="84"/>
      <c r="C198" s="84" t="str">
        <f>IF(OR(Tabella1[[#This Row],[LUN]]="X",Tabella1[[#This Row],[MAR]]="X",Tabella1[[#This Row],[MER]]="X",Tabella1[[#This Row],[GIO]]="X",Tabella1[[#This Row],[VEN]]="X",),"X","")</f>
        <v/>
      </c>
      <c r="D198" s="85" t="s">
        <v>147</v>
      </c>
      <c r="E198" s="81" t="s">
        <v>1490</v>
      </c>
      <c r="F198" s="81">
        <v>1000</v>
      </c>
      <c r="G198" s="81" t="s">
        <v>1491</v>
      </c>
      <c r="H198" s="83"/>
      <c r="I198" s="83"/>
      <c r="J198" s="83"/>
      <c r="K198" s="83"/>
      <c r="L198" s="83"/>
      <c r="M198" s="142" t="s">
        <v>51</v>
      </c>
      <c r="N198" s="82"/>
      <c r="O198" s="103"/>
      <c r="P198" s="82"/>
      <c r="Q198" s="81" t="s">
        <v>1492</v>
      </c>
      <c r="R198" s="82">
        <v>45903</v>
      </c>
      <c r="S198" s="82" t="s">
        <v>20</v>
      </c>
      <c r="T198" s="132" t="str">
        <f ca="1">IF(AND('Inserimento dati'!$B$3=$H$2, Tabella1[[#This Row],[LUN]]="X"), "X",IF(AND('Inserimento dati'!$B$3=$I$2, Tabella1[[#This Row],[MAR]]="X"), "X", IF(AND('Inserimento dati'!$B$3=$J$2, Tabella1[[#This Row],[MER]]="X"), "X",IF(AND('Inserimento dati'!$B$3=$K$2, Tabella1[[#This Row],[GIO]]="X"), "X", IF(AND('Inserimento dati'!$B$3=$L$2, Tabella1[[#This Row],[VEN]]="X"), "X","")))))</f>
        <v/>
      </c>
      <c r="U198" s="66"/>
    </row>
  </sheetData>
  <mergeCells count="2">
    <mergeCell ref="A1:D1"/>
    <mergeCell ref="N2:P2"/>
  </mergeCells>
  <conditionalFormatting sqref="E18:G18 N18:S18">
    <cfRule type="expression" dxfId="5952" priority="217">
      <formula>SEARCH("IN CORSO",$M18)&gt;0</formula>
    </cfRule>
    <cfRule type="expression" dxfId="5951" priority="218">
      <formula>SEARCH("CHIUSO",$M18)&gt;0</formula>
    </cfRule>
    <cfRule type="expression" dxfId="5950" priority="219">
      <formula>SEARCH("EMESSO",$M18)&gt;0</formula>
    </cfRule>
    <cfRule type="expression" dxfId="5949" priority="220">
      <formula>SEARCH("RICHIESTO",$M18)&gt;0</formula>
    </cfRule>
    <cfRule type="expression" dxfId="5948" priority="221">
      <formula>SEARCH("DA CHIUDERE",$M18)&gt;0</formula>
    </cfRule>
    <cfRule type="expression" dxfId="5947" priority="222">
      <formula>SEARCH("INTERROTTO",$M18)&gt;0</formula>
    </cfRule>
  </conditionalFormatting>
  <conditionalFormatting sqref="E20:G20 M20:S20">
    <cfRule type="expression" dxfId="5946" priority="229">
      <formula>SEARCH("IN CORSO",$M20)&gt;0</formula>
    </cfRule>
    <cfRule type="expression" dxfId="5945" priority="230">
      <formula>SEARCH("CHIUSO",$M20)&gt;0</formula>
    </cfRule>
    <cfRule type="expression" dxfId="5944" priority="231">
      <formula>SEARCH("EMESSO",$M20)&gt;0</formula>
    </cfRule>
    <cfRule type="expression" dxfId="5943" priority="232">
      <formula>SEARCH("RICHIESTO",$M20)&gt;0</formula>
    </cfRule>
    <cfRule type="expression" dxfId="5942" priority="233">
      <formula>SEARCH("DA CHIUDERE",$M20)&gt;0</formula>
    </cfRule>
    <cfRule type="expression" dxfId="5941" priority="234">
      <formula>SEARCH("INTERROTTO",$M20)&gt;0</formula>
    </cfRule>
  </conditionalFormatting>
  <conditionalFormatting sqref="E19:G19 M19:S19">
    <cfRule type="expression" dxfId="5940" priority="223">
      <formula>SEARCH("IN CORSO",$M19)&gt;0</formula>
    </cfRule>
    <cfRule type="expression" dxfId="5939" priority="224">
      <formula>SEARCH("CHIUSO",$M19)&gt;0</formula>
    </cfRule>
    <cfRule type="expression" dxfId="5938" priority="225">
      <formula>SEARCH("EMESSO",$M19)&gt;0</formula>
    </cfRule>
    <cfRule type="expression" dxfId="5937" priority="226">
      <formula>SEARCH("RICHIESTO",$M19)&gt;0</formula>
    </cfRule>
    <cfRule type="expression" dxfId="5936" priority="227">
      <formula>SEARCH("DA CHIUDERE",$M19)&gt;0</formula>
    </cfRule>
    <cfRule type="expression" dxfId="5935" priority="228">
      <formula>SEARCH("INTERROTTO",$M19)&gt;0</formula>
    </cfRule>
  </conditionalFormatting>
  <conditionalFormatting sqref="M17">
    <cfRule type="expression" dxfId="5934" priority="199">
      <formula>SEARCH("IN CORSO",$M17)&gt;0</formula>
    </cfRule>
    <cfRule type="expression" dxfId="5933" priority="200">
      <formula>SEARCH("CHIUSO",$M17)&gt;0</formula>
    </cfRule>
    <cfRule type="expression" dxfId="5932" priority="201">
      <formula>SEARCH("EMESSO",$M17)&gt;0</formula>
    </cfRule>
    <cfRule type="expression" dxfId="5931" priority="202">
      <formula>SEARCH("RICHIESTO",$M17)&gt;0</formula>
    </cfRule>
    <cfRule type="expression" dxfId="5930" priority="203">
      <formula>SEARCH("DA CHIUDERE",$M17)&gt;0</formula>
    </cfRule>
    <cfRule type="expression" dxfId="5929" priority="204">
      <formula>SEARCH("INTERROTTO",$M17)&gt;0</formula>
    </cfRule>
  </conditionalFormatting>
  <conditionalFormatting sqref="M18">
    <cfRule type="expression" dxfId="5928" priority="211">
      <formula>SEARCH("IN CORSO",$M18)&gt;0</formula>
    </cfRule>
    <cfRule type="expression" dxfId="5927" priority="212">
      <formula>SEARCH("CHIUSO",$M18)&gt;0</formula>
    </cfRule>
    <cfRule type="expression" dxfId="5926" priority="213">
      <formula>SEARCH("EMESSO",$M18)&gt;0</formula>
    </cfRule>
    <cfRule type="expression" dxfId="5925" priority="214">
      <formula>SEARCH("RICHIESTO",$M18)&gt;0</formula>
    </cfRule>
    <cfRule type="expression" dxfId="5924" priority="215">
      <formula>SEARCH("DA CHIUDERE",$M18)&gt;0</formula>
    </cfRule>
    <cfRule type="expression" dxfId="5923" priority="216">
      <formula>SEARCH("INTERROTTO",$M18)&gt;0</formula>
    </cfRule>
  </conditionalFormatting>
  <conditionalFormatting sqref="E17:G17 N17:S17">
    <cfRule type="expression" dxfId="5922" priority="205">
      <formula>SEARCH("IN CORSO",$M17)&gt;0</formula>
    </cfRule>
    <cfRule type="expression" dxfId="5921" priority="206">
      <formula>SEARCH("CHIUSO",$M17)&gt;0</formula>
    </cfRule>
    <cfRule type="expression" dxfId="5920" priority="207">
      <formula>SEARCH("EMESSO",$M17)&gt;0</formula>
    </cfRule>
    <cfRule type="expression" dxfId="5919" priority="208">
      <formula>SEARCH("RICHIESTO",$M17)&gt;0</formula>
    </cfRule>
    <cfRule type="expression" dxfId="5918" priority="209">
      <formula>SEARCH("DA CHIUDERE",$M17)&gt;0</formula>
    </cfRule>
    <cfRule type="expression" dxfId="5917" priority="210">
      <formula>SEARCH("INTERROTTO",$M17)&gt;0</formula>
    </cfRule>
  </conditionalFormatting>
  <conditionalFormatting sqref="E15:G15 N15:S15">
    <cfRule type="expression" dxfId="5916" priority="181">
      <formula>SEARCH("IN CORSO",$M15)&gt;0</formula>
    </cfRule>
    <cfRule type="expression" dxfId="5915" priority="182">
      <formula>SEARCH("CHIUSO",$M15)&gt;0</formula>
    </cfRule>
    <cfRule type="expression" dxfId="5914" priority="183">
      <formula>SEARCH("EMESSO",$M15)&gt;0</formula>
    </cfRule>
    <cfRule type="expression" dxfId="5913" priority="184">
      <formula>SEARCH("RICHIESTO",$M15)&gt;0</formula>
    </cfRule>
    <cfRule type="expression" dxfId="5912" priority="185">
      <formula>SEARCH("DA CHIUDERE",$M15)&gt;0</formula>
    </cfRule>
    <cfRule type="expression" dxfId="5911" priority="186">
      <formula>SEARCH("INTERROTTO",$M15)&gt;0</formula>
    </cfRule>
  </conditionalFormatting>
  <conditionalFormatting sqref="E16:G16 N16:S16">
    <cfRule type="expression" dxfId="5910" priority="193">
      <formula>SEARCH("IN CORSO",$M16)&gt;0</formula>
    </cfRule>
    <cfRule type="expression" dxfId="5909" priority="194">
      <formula>SEARCH("CHIUSO",$M16)&gt;0</formula>
    </cfRule>
    <cfRule type="expression" dxfId="5908" priority="195">
      <formula>SEARCH("EMESSO",$M16)&gt;0</formula>
    </cfRule>
    <cfRule type="expression" dxfId="5907" priority="196">
      <formula>SEARCH("RICHIESTO",$M16)&gt;0</formula>
    </cfRule>
    <cfRule type="expression" dxfId="5906" priority="197">
      <formula>SEARCH("DA CHIUDERE",$M16)&gt;0</formula>
    </cfRule>
    <cfRule type="expression" dxfId="5905" priority="198">
      <formula>SEARCH("INTERROTTO",$M16)&gt;0</formula>
    </cfRule>
  </conditionalFormatting>
  <conditionalFormatting sqref="M16">
    <cfRule type="expression" dxfId="5904" priority="187">
      <formula>SEARCH("IN CORSO",$M16)&gt;0</formula>
    </cfRule>
    <cfRule type="expression" dxfId="5903" priority="188">
      <formula>SEARCH("CHIUSO",$M16)&gt;0</formula>
    </cfRule>
    <cfRule type="expression" dxfId="5902" priority="189">
      <formula>SEARCH("EMESSO",$M16)&gt;0</formula>
    </cfRule>
    <cfRule type="expression" dxfId="5901" priority="190">
      <formula>SEARCH("RICHIESTO",$M16)&gt;0</formula>
    </cfRule>
    <cfRule type="expression" dxfId="5900" priority="191">
      <formula>SEARCH("DA CHIUDERE",$M16)&gt;0</formula>
    </cfRule>
    <cfRule type="expression" dxfId="5899" priority="192">
      <formula>SEARCH("INTERROTTO",$M16)&gt;0</formula>
    </cfRule>
  </conditionalFormatting>
  <conditionalFormatting sqref="M14">
    <cfRule type="expression" dxfId="5898" priority="163">
      <formula>SEARCH("IN CORSO",$M14)&gt;0</formula>
    </cfRule>
    <cfRule type="expression" dxfId="5897" priority="164">
      <formula>SEARCH("CHIUSO",$M14)&gt;0</formula>
    </cfRule>
    <cfRule type="expression" dxfId="5896" priority="165">
      <formula>SEARCH("EMESSO",$M14)&gt;0</formula>
    </cfRule>
    <cfRule type="expression" dxfId="5895" priority="166">
      <formula>SEARCH("RICHIESTO",$M14)&gt;0</formula>
    </cfRule>
    <cfRule type="expression" dxfId="5894" priority="167">
      <formula>SEARCH("DA CHIUDERE",$M14)&gt;0</formula>
    </cfRule>
    <cfRule type="expression" dxfId="5893" priority="168">
      <formula>SEARCH("INTERROTTO",$M14)&gt;0</formula>
    </cfRule>
  </conditionalFormatting>
  <conditionalFormatting sqref="M15">
    <cfRule type="expression" dxfId="5892" priority="175">
      <formula>SEARCH("IN CORSO",$M15)&gt;0</formula>
    </cfRule>
    <cfRule type="expression" dxfId="5891" priority="176">
      <formula>SEARCH("CHIUSO",$M15)&gt;0</formula>
    </cfRule>
    <cfRule type="expression" dxfId="5890" priority="177">
      <formula>SEARCH("EMESSO",$M15)&gt;0</formula>
    </cfRule>
    <cfRule type="expression" dxfId="5889" priority="178">
      <formula>SEARCH("RICHIESTO",$M15)&gt;0</formula>
    </cfRule>
    <cfRule type="expression" dxfId="5888" priority="179">
      <formula>SEARCH("DA CHIUDERE",$M15)&gt;0</formula>
    </cfRule>
    <cfRule type="expression" dxfId="5887" priority="180">
      <formula>SEARCH("INTERROTTO",$M15)&gt;0</formula>
    </cfRule>
  </conditionalFormatting>
  <conditionalFormatting sqref="E14:G14 N14:S14">
    <cfRule type="expression" dxfId="5886" priority="169">
      <formula>SEARCH("IN CORSO",$M14)&gt;0</formula>
    </cfRule>
    <cfRule type="expression" dxfId="5885" priority="170">
      <formula>SEARCH("CHIUSO",$M14)&gt;0</formula>
    </cfRule>
    <cfRule type="expression" dxfId="5884" priority="171">
      <formula>SEARCH("EMESSO",$M14)&gt;0</formula>
    </cfRule>
    <cfRule type="expression" dxfId="5883" priority="172">
      <formula>SEARCH("RICHIESTO",$M14)&gt;0</formula>
    </cfRule>
    <cfRule type="expression" dxfId="5882" priority="173">
      <formula>SEARCH("DA CHIUDERE",$M14)&gt;0</formula>
    </cfRule>
    <cfRule type="expression" dxfId="5881" priority="174">
      <formula>SEARCH("INTERROTTO",$M14)&gt;0</formula>
    </cfRule>
  </conditionalFormatting>
  <conditionalFormatting sqref="E12:G12 N12:S12">
    <cfRule type="expression" dxfId="5880" priority="145">
      <formula>SEARCH("IN CORSO",$M12)&gt;0</formula>
    </cfRule>
    <cfRule type="expression" dxfId="5879" priority="146">
      <formula>SEARCH("CHIUSO",$M12)&gt;0</formula>
    </cfRule>
    <cfRule type="expression" dxfId="5878" priority="147">
      <formula>SEARCH("EMESSO",$M12)&gt;0</formula>
    </cfRule>
    <cfRule type="expression" dxfId="5877" priority="148">
      <formula>SEARCH("RICHIESTO",$M12)&gt;0</formula>
    </cfRule>
    <cfRule type="expression" dxfId="5876" priority="149">
      <formula>SEARCH("DA CHIUDERE",$M12)&gt;0</formula>
    </cfRule>
    <cfRule type="expression" dxfId="5875" priority="150">
      <formula>SEARCH("INTERROTTO",$M12)&gt;0</formula>
    </cfRule>
  </conditionalFormatting>
  <conditionalFormatting sqref="E13:G13 N13:S13">
    <cfRule type="expression" dxfId="5874" priority="157">
      <formula>SEARCH("IN CORSO",$M13)&gt;0</formula>
    </cfRule>
    <cfRule type="expression" dxfId="5873" priority="158">
      <formula>SEARCH("CHIUSO",$M13)&gt;0</formula>
    </cfRule>
    <cfRule type="expression" dxfId="5872" priority="159">
      <formula>SEARCH("EMESSO",$M13)&gt;0</formula>
    </cfRule>
    <cfRule type="expression" dxfId="5871" priority="160">
      <formula>SEARCH("RICHIESTO",$M13)&gt;0</formula>
    </cfRule>
    <cfRule type="expression" dxfId="5870" priority="161">
      <formula>SEARCH("DA CHIUDERE",$M13)&gt;0</formula>
    </cfRule>
    <cfRule type="expression" dxfId="5869" priority="162">
      <formula>SEARCH("INTERROTTO",$M13)&gt;0</formula>
    </cfRule>
  </conditionalFormatting>
  <conditionalFormatting sqref="M13">
    <cfRule type="expression" dxfId="5868" priority="151">
      <formula>SEARCH("IN CORSO",$M13)&gt;0</formula>
    </cfRule>
    <cfRule type="expression" dxfId="5867" priority="152">
      <formula>SEARCH("CHIUSO",$M13)&gt;0</formula>
    </cfRule>
    <cfRule type="expression" dxfId="5866" priority="153">
      <formula>SEARCH("EMESSO",$M13)&gt;0</formula>
    </cfRule>
    <cfRule type="expression" dxfId="5865" priority="154">
      <formula>SEARCH("RICHIESTO",$M13)&gt;0</formula>
    </cfRule>
    <cfRule type="expression" dxfId="5864" priority="155">
      <formula>SEARCH("DA CHIUDERE",$M13)&gt;0</formula>
    </cfRule>
    <cfRule type="expression" dxfId="5863" priority="156">
      <formula>SEARCH("INTERROTTO",$M13)&gt;0</formula>
    </cfRule>
  </conditionalFormatting>
  <conditionalFormatting sqref="M11">
    <cfRule type="expression" dxfId="5862" priority="127">
      <formula>SEARCH("IN CORSO",$M11)&gt;0</formula>
    </cfRule>
    <cfRule type="expression" dxfId="5861" priority="128">
      <formula>SEARCH("CHIUSO",$M11)&gt;0</formula>
    </cfRule>
    <cfRule type="expression" dxfId="5860" priority="129">
      <formula>SEARCH("EMESSO",$M11)&gt;0</formula>
    </cfRule>
    <cfRule type="expression" dxfId="5859" priority="130">
      <formula>SEARCH("RICHIESTO",$M11)&gt;0</formula>
    </cfRule>
    <cfRule type="expression" dxfId="5858" priority="131">
      <formula>SEARCH("DA CHIUDERE",$M11)&gt;0</formula>
    </cfRule>
    <cfRule type="expression" dxfId="5857" priority="132">
      <formula>SEARCH("INTERROTTO",$M11)&gt;0</formula>
    </cfRule>
  </conditionalFormatting>
  <conditionalFormatting sqref="M12">
    <cfRule type="expression" dxfId="5856" priority="139">
      <formula>SEARCH("IN CORSO",$M12)&gt;0</formula>
    </cfRule>
    <cfRule type="expression" dxfId="5855" priority="140">
      <formula>SEARCH("CHIUSO",$M12)&gt;0</formula>
    </cfRule>
    <cfRule type="expression" dxfId="5854" priority="141">
      <formula>SEARCH("EMESSO",$M12)&gt;0</formula>
    </cfRule>
    <cfRule type="expression" dxfId="5853" priority="142">
      <formula>SEARCH("RICHIESTO",$M12)&gt;0</formula>
    </cfRule>
    <cfRule type="expression" dxfId="5852" priority="143">
      <formula>SEARCH("DA CHIUDERE",$M12)&gt;0</formula>
    </cfRule>
    <cfRule type="expression" dxfId="5851" priority="144">
      <formula>SEARCH("INTERROTTO",$M12)&gt;0</formula>
    </cfRule>
  </conditionalFormatting>
  <conditionalFormatting sqref="E11:G11 N11:Q11">
    <cfRule type="expression" dxfId="5850" priority="133">
      <formula>SEARCH("IN CORSO",$M11)&gt;0</formula>
    </cfRule>
    <cfRule type="expression" dxfId="5849" priority="134">
      <formula>SEARCH("CHIUSO",$M11)&gt;0</formula>
    </cfRule>
    <cfRule type="expression" dxfId="5848" priority="135">
      <formula>SEARCH("EMESSO",$M11)&gt;0</formula>
    </cfRule>
    <cfRule type="expression" dxfId="5847" priority="136">
      <formula>SEARCH("RICHIESTO",$M11)&gt;0</formula>
    </cfRule>
    <cfRule type="expression" dxfId="5846" priority="137">
      <formula>SEARCH("DA CHIUDERE",$M11)&gt;0</formula>
    </cfRule>
    <cfRule type="expression" dxfId="5845" priority="138">
      <formula>SEARCH("INTERROTTO",$M11)&gt;0</formula>
    </cfRule>
  </conditionalFormatting>
  <conditionalFormatting sqref="R11:S11">
    <cfRule type="expression" dxfId="5844" priority="109">
      <formula>SEARCH("IN CORSO",$M11)&gt;0</formula>
    </cfRule>
    <cfRule type="expression" dxfId="5843" priority="110">
      <formula>SEARCH("CHIUSO",$M11)&gt;0</formula>
    </cfRule>
    <cfRule type="expression" dxfId="5842" priority="111">
      <formula>SEARCH("EMESSO",$M11)&gt;0</formula>
    </cfRule>
    <cfRule type="expression" dxfId="5841" priority="112">
      <formula>SEARCH("RICHIESTO",$M11)&gt;0</formula>
    </cfRule>
    <cfRule type="expression" dxfId="5840" priority="113">
      <formula>SEARCH("DA CHIUDERE",$M11)&gt;0</formula>
    </cfRule>
    <cfRule type="expression" dxfId="5839" priority="114">
      <formula>SEARCH("INTERROTTO",$M11)&gt;0</formula>
    </cfRule>
  </conditionalFormatting>
  <conditionalFormatting sqref="E10:G10 N10:S10">
    <cfRule type="expression" dxfId="5838" priority="121">
      <formula>SEARCH("IN CORSO",$M10)&gt;0</formula>
    </cfRule>
    <cfRule type="expression" dxfId="5837" priority="122">
      <formula>SEARCH("CHIUSO",$M10)&gt;0</formula>
    </cfRule>
    <cfRule type="expression" dxfId="5836" priority="123">
      <formula>SEARCH("EMESSO",$M10)&gt;0</formula>
    </cfRule>
    <cfRule type="expression" dxfId="5835" priority="124">
      <formula>SEARCH("RICHIESTO",$M10)&gt;0</formula>
    </cfRule>
    <cfRule type="expression" dxfId="5834" priority="125">
      <formula>SEARCH("DA CHIUDERE",$M10)&gt;0</formula>
    </cfRule>
    <cfRule type="expression" dxfId="5833" priority="126">
      <formula>SEARCH("INTERROTTO",$M10)&gt;0</formula>
    </cfRule>
  </conditionalFormatting>
  <conditionalFormatting sqref="M10">
    <cfRule type="expression" dxfId="5832" priority="115">
      <formula>SEARCH("IN CORSO",$M10)&gt;0</formula>
    </cfRule>
    <cfRule type="expression" dxfId="5831" priority="116">
      <formula>SEARCH("CHIUSO",$M10)&gt;0</formula>
    </cfRule>
    <cfRule type="expression" dxfId="5830" priority="117">
      <formula>SEARCH("EMESSO",$M10)&gt;0</formula>
    </cfRule>
    <cfRule type="expression" dxfId="5829" priority="118">
      <formula>SEARCH("RICHIESTO",$M10)&gt;0</formula>
    </cfRule>
    <cfRule type="expression" dxfId="5828" priority="119">
      <formula>SEARCH("DA CHIUDERE",$M10)&gt;0</formula>
    </cfRule>
    <cfRule type="expression" dxfId="5827" priority="120">
      <formula>SEARCH("INTERROTTO",$M10)&gt;0</formula>
    </cfRule>
  </conditionalFormatting>
  <conditionalFormatting sqref="S9">
    <cfRule type="expression" dxfId="5826" priority="91">
      <formula>SEARCH("IN CORSO",$M9)&gt;0</formula>
    </cfRule>
    <cfRule type="expression" dxfId="5825" priority="92">
      <formula>SEARCH("CHIUSO",$M9)&gt;0</formula>
    </cfRule>
    <cfRule type="expression" dxfId="5824" priority="93">
      <formula>SEARCH("EMESSO",$M9)&gt;0</formula>
    </cfRule>
    <cfRule type="expression" dxfId="5823" priority="94">
      <formula>SEARCH("RICHIESTO",$M9)&gt;0</formula>
    </cfRule>
    <cfRule type="expression" dxfId="5822" priority="95">
      <formula>SEARCH("DA CHIUDERE",$M9)&gt;0</formula>
    </cfRule>
    <cfRule type="expression" dxfId="5821" priority="96">
      <formula>SEARCH("INTERROTTO",$M9)&gt;0</formula>
    </cfRule>
  </conditionalFormatting>
  <conditionalFormatting sqref="E9:G9 N9:R9">
    <cfRule type="expression" dxfId="5820" priority="103">
      <formula>SEARCH("IN CORSO",$M9)&gt;0</formula>
    </cfRule>
    <cfRule type="expression" dxfId="5819" priority="104">
      <formula>SEARCH("CHIUSO",$M9)&gt;0</formula>
    </cfRule>
    <cfRule type="expression" dxfId="5818" priority="105">
      <formula>SEARCH("EMESSO",$M9)&gt;0</formula>
    </cfRule>
    <cfRule type="expression" dxfId="5817" priority="106">
      <formula>SEARCH("RICHIESTO",$M9)&gt;0</formula>
    </cfRule>
    <cfRule type="expression" dxfId="5816" priority="107">
      <formula>SEARCH("DA CHIUDERE",$M9)&gt;0</formula>
    </cfRule>
    <cfRule type="expression" dxfId="5815" priority="108">
      <formula>SEARCH("INTERROTTO",$M9)&gt;0</formula>
    </cfRule>
  </conditionalFormatting>
  <conditionalFormatting sqref="M9">
    <cfRule type="expression" dxfId="5814" priority="97">
      <formula>SEARCH("IN CORSO",$M9)&gt;0</formula>
    </cfRule>
    <cfRule type="expression" dxfId="5813" priority="98">
      <formula>SEARCH("CHIUSO",$M9)&gt;0</formula>
    </cfRule>
    <cfRule type="expression" dxfId="5812" priority="99">
      <formula>SEARCH("EMESSO",$M9)&gt;0</formula>
    </cfRule>
    <cfRule type="expression" dxfId="5811" priority="100">
      <formula>SEARCH("RICHIESTO",$M9)&gt;0</formula>
    </cfRule>
    <cfRule type="expression" dxfId="5810" priority="101">
      <formula>SEARCH("DA CHIUDERE",$M9)&gt;0</formula>
    </cfRule>
    <cfRule type="expression" dxfId="5809" priority="102">
      <formula>SEARCH("INTERROTTO",$M9)&gt;0</formula>
    </cfRule>
  </conditionalFormatting>
  <conditionalFormatting sqref="S8">
    <cfRule type="expression" dxfId="5808" priority="73">
      <formula>SEARCH("IN CORSO",$M8)&gt;0</formula>
    </cfRule>
    <cfRule type="expression" dxfId="5807" priority="74">
      <formula>SEARCH("CHIUSO",$M8)&gt;0</formula>
    </cfRule>
    <cfRule type="expression" dxfId="5806" priority="75">
      <formula>SEARCH("EMESSO",$M8)&gt;0</formula>
    </cfRule>
    <cfRule type="expression" dxfId="5805" priority="76">
      <formula>SEARCH("RICHIESTO",$M8)&gt;0</formula>
    </cfRule>
    <cfRule type="expression" dxfId="5804" priority="77">
      <formula>SEARCH("DA CHIUDERE",$M8)&gt;0</formula>
    </cfRule>
    <cfRule type="expression" dxfId="5803" priority="78">
      <formula>SEARCH("INTERROTTO",$M8)&gt;0</formula>
    </cfRule>
  </conditionalFormatting>
  <conditionalFormatting sqref="E8:G8 N8:R8">
    <cfRule type="expression" dxfId="5802" priority="85">
      <formula>SEARCH("IN CORSO",$M8)&gt;0</formula>
    </cfRule>
    <cfRule type="expression" dxfId="5801" priority="86">
      <formula>SEARCH("CHIUSO",$M8)&gt;0</formula>
    </cfRule>
    <cfRule type="expression" dxfId="5800" priority="87">
      <formula>SEARCH("EMESSO",$M8)&gt;0</formula>
    </cfRule>
    <cfRule type="expression" dxfId="5799" priority="88">
      <formula>SEARCH("RICHIESTO",$M8)&gt;0</formula>
    </cfRule>
    <cfRule type="expression" dxfId="5798" priority="89">
      <formula>SEARCH("DA CHIUDERE",$M8)&gt;0</formula>
    </cfRule>
    <cfRule type="expression" dxfId="5797" priority="90">
      <formula>SEARCH("INTERROTTO",$M8)&gt;0</formula>
    </cfRule>
  </conditionalFormatting>
  <conditionalFormatting sqref="M8">
    <cfRule type="expression" dxfId="5796" priority="79">
      <formula>SEARCH("IN CORSO",$M8)&gt;0</formula>
    </cfRule>
    <cfRule type="expression" dxfId="5795" priority="80">
      <formula>SEARCH("CHIUSO",$M8)&gt;0</formula>
    </cfRule>
    <cfRule type="expression" dxfId="5794" priority="81">
      <formula>SEARCH("EMESSO",$M8)&gt;0</formula>
    </cfRule>
    <cfRule type="expression" dxfId="5793" priority="82">
      <formula>SEARCH("RICHIESTO",$M8)&gt;0</formula>
    </cfRule>
    <cfRule type="expression" dxfId="5792" priority="83">
      <formula>SEARCH("DA CHIUDERE",$M8)&gt;0</formula>
    </cfRule>
    <cfRule type="expression" dxfId="5791" priority="84">
      <formula>SEARCH("INTERROTTO",$M8)&gt;0</formula>
    </cfRule>
  </conditionalFormatting>
  <conditionalFormatting sqref="S7">
    <cfRule type="expression" dxfId="5790" priority="55">
      <formula>SEARCH("IN CORSO",$M7)&gt;0</formula>
    </cfRule>
    <cfRule type="expression" dxfId="5789" priority="56">
      <formula>SEARCH("CHIUSO",$M7)&gt;0</formula>
    </cfRule>
    <cfRule type="expression" dxfId="5788" priority="57">
      <formula>SEARCH("EMESSO",$M7)&gt;0</formula>
    </cfRule>
    <cfRule type="expression" dxfId="5787" priority="58">
      <formula>SEARCH("RICHIESTO",$M7)&gt;0</formula>
    </cfRule>
    <cfRule type="expression" dxfId="5786" priority="59">
      <formula>SEARCH("DA CHIUDERE",$M7)&gt;0</formula>
    </cfRule>
    <cfRule type="expression" dxfId="5785" priority="60">
      <formula>SEARCH("INTERROTTO",$M7)&gt;0</formula>
    </cfRule>
  </conditionalFormatting>
  <conditionalFormatting sqref="E7:G7 N7:R7">
    <cfRule type="expression" dxfId="5784" priority="67">
      <formula>SEARCH("IN CORSO",$M7)&gt;0</formula>
    </cfRule>
    <cfRule type="expression" dxfId="5783" priority="68">
      <formula>SEARCH("CHIUSO",$M7)&gt;0</formula>
    </cfRule>
    <cfRule type="expression" dxfId="5782" priority="69">
      <formula>SEARCH("EMESSO",$M7)&gt;0</formula>
    </cfRule>
    <cfRule type="expression" dxfId="5781" priority="70">
      <formula>SEARCH("RICHIESTO",$M7)&gt;0</formula>
    </cfRule>
    <cfRule type="expression" dxfId="5780" priority="71">
      <formula>SEARCH("DA CHIUDERE",$M7)&gt;0</formula>
    </cfRule>
    <cfRule type="expression" dxfId="5779" priority="72">
      <formula>SEARCH("INTERROTTO",$M7)&gt;0</formula>
    </cfRule>
  </conditionalFormatting>
  <conditionalFormatting sqref="M7">
    <cfRule type="expression" dxfId="5778" priority="61">
      <formula>SEARCH("IN CORSO",$M7)&gt;0</formula>
    </cfRule>
    <cfRule type="expression" dxfId="5777" priority="62">
      <formula>SEARCH("CHIUSO",$M7)&gt;0</formula>
    </cfRule>
    <cfRule type="expression" dxfId="5776" priority="63">
      <formula>SEARCH("EMESSO",$M7)&gt;0</formula>
    </cfRule>
    <cfRule type="expression" dxfId="5775" priority="64">
      <formula>SEARCH("RICHIESTO",$M7)&gt;0</formula>
    </cfRule>
    <cfRule type="expression" dxfId="5774" priority="65">
      <formula>SEARCH("DA CHIUDERE",$M7)&gt;0</formula>
    </cfRule>
    <cfRule type="expression" dxfId="5773" priority="66">
      <formula>SEARCH("INTERROTTO",$M7)&gt;0</formula>
    </cfRule>
  </conditionalFormatting>
  <conditionalFormatting sqref="M115:S196 E115:G198 N198:Q198 M197:Q197">
    <cfRule type="expression" dxfId="5772" priority="823">
      <formula>SEARCH("IN CORSO",$M115)&gt;0</formula>
    </cfRule>
    <cfRule type="expression" dxfId="5771" priority="824">
      <formula>SEARCH("CHIUSO",$M115)&gt;0</formula>
    </cfRule>
    <cfRule type="expression" dxfId="5770" priority="825">
      <formula>SEARCH("EMESSO",$M115)&gt;0</formula>
    </cfRule>
    <cfRule type="expression" dxfId="5769" priority="826">
      <formula>SEARCH("RICHIESTO",$M115)&gt;0</formula>
    </cfRule>
    <cfRule type="expression" dxfId="5768" priority="827">
      <formula>SEARCH("DA CHIUDERE",$M115)&gt;0</formula>
    </cfRule>
    <cfRule type="expression" dxfId="5767" priority="828">
      <formula>SEARCH("INTERROTTO",$M115)&gt;0</formula>
    </cfRule>
  </conditionalFormatting>
  <conditionalFormatting sqref="E114:G114 M114:S114">
    <cfRule type="expression" dxfId="5766" priority="817">
      <formula>SEARCH("IN CORSO",$M114)&gt;0</formula>
    </cfRule>
    <cfRule type="expression" dxfId="5765" priority="818">
      <formula>SEARCH("CHIUSO",$M114)&gt;0</formula>
    </cfRule>
    <cfRule type="expression" dxfId="5764" priority="819">
      <formula>SEARCH("EMESSO",$M114)&gt;0</formula>
    </cfRule>
    <cfRule type="expression" dxfId="5763" priority="820">
      <formula>SEARCH("RICHIESTO",$M114)&gt;0</formula>
    </cfRule>
    <cfRule type="expression" dxfId="5762" priority="821">
      <formula>SEARCH("DA CHIUDERE",$M114)&gt;0</formula>
    </cfRule>
    <cfRule type="expression" dxfId="5761" priority="822">
      <formula>SEARCH("INTERROTTO",$M114)&gt;0</formula>
    </cfRule>
  </conditionalFormatting>
  <conditionalFormatting sqref="E113:G113 M113:S113">
    <cfRule type="expression" dxfId="5760" priority="811">
      <formula>SEARCH("IN CORSO",$M113)&gt;0</formula>
    </cfRule>
    <cfRule type="expression" dxfId="5759" priority="812">
      <formula>SEARCH("CHIUSO",$M113)&gt;0</formula>
    </cfRule>
    <cfRule type="expression" dxfId="5758" priority="813">
      <formula>SEARCH("EMESSO",$M113)&gt;0</formula>
    </cfRule>
    <cfRule type="expression" dxfId="5757" priority="814">
      <formula>SEARCH("RICHIESTO",$M113)&gt;0</formula>
    </cfRule>
    <cfRule type="expression" dxfId="5756" priority="815">
      <formula>SEARCH("DA CHIUDERE",$M113)&gt;0</formula>
    </cfRule>
    <cfRule type="expression" dxfId="5755" priority="816">
      <formula>SEARCH("INTERROTTO",$M113)&gt;0</formula>
    </cfRule>
  </conditionalFormatting>
  <conditionalFormatting sqref="E112:G112 M112:S112">
    <cfRule type="expression" dxfId="5754" priority="805">
      <formula>SEARCH("IN CORSO",$M112)&gt;0</formula>
    </cfRule>
    <cfRule type="expression" dxfId="5753" priority="806">
      <formula>SEARCH("CHIUSO",$M112)&gt;0</formula>
    </cfRule>
    <cfRule type="expression" dxfId="5752" priority="807">
      <formula>SEARCH("EMESSO",$M112)&gt;0</formula>
    </cfRule>
    <cfRule type="expression" dxfId="5751" priority="808">
      <formula>SEARCH("RICHIESTO",$M112)&gt;0</formula>
    </cfRule>
    <cfRule type="expression" dxfId="5750" priority="809">
      <formula>SEARCH("DA CHIUDERE",$M112)&gt;0</formula>
    </cfRule>
    <cfRule type="expression" dxfId="5749" priority="810">
      <formula>SEARCH("INTERROTTO",$M112)&gt;0</formula>
    </cfRule>
  </conditionalFormatting>
  <conditionalFormatting sqref="E111:G111 M111:S111">
    <cfRule type="expression" dxfId="5748" priority="799">
      <formula>SEARCH("IN CORSO",$M111)&gt;0</formula>
    </cfRule>
    <cfRule type="expression" dxfId="5747" priority="800">
      <formula>SEARCH("CHIUSO",$M111)&gt;0</formula>
    </cfRule>
    <cfRule type="expression" dxfId="5746" priority="801">
      <formula>SEARCH("EMESSO",$M111)&gt;0</formula>
    </cfRule>
    <cfRule type="expression" dxfId="5745" priority="802">
      <formula>SEARCH("RICHIESTO",$M111)&gt;0</formula>
    </cfRule>
    <cfRule type="expression" dxfId="5744" priority="803">
      <formula>SEARCH("DA CHIUDERE",$M111)&gt;0</formula>
    </cfRule>
    <cfRule type="expression" dxfId="5743" priority="804">
      <formula>SEARCH("INTERROTTO",$M111)&gt;0</formula>
    </cfRule>
  </conditionalFormatting>
  <conditionalFormatting sqref="E110:G110 M110:S110">
    <cfRule type="expression" dxfId="5742" priority="793">
      <formula>SEARCH("IN CORSO",$M110)&gt;0</formula>
    </cfRule>
    <cfRule type="expression" dxfId="5741" priority="794">
      <formula>SEARCH("CHIUSO",$M110)&gt;0</formula>
    </cfRule>
    <cfRule type="expression" dxfId="5740" priority="795">
      <formula>SEARCH("EMESSO",$M110)&gt;0</formula>
    </cfRule>
    <cfRule type="expression" dxfId="5739" priority="796">
      <formula>SEARCH("RICHIESTO",$M110)&gt;0</formula>
    </cfRule>
    <cfRule type="expression" dxfId="5738" priority="797">
      <formula>SEARCH("DA CHIUDERE",$M110)&gt;0</formula>
    </cfRule>
    <cfRule type="expression" dxfId="5737" priority="798">
      <formula>SEARCH("INTERROTTO",$M110)&gt;0</formula>
    </cfRule>
  </conditionalFormatting>
  <conditionalFormatting sqref="E109:G109 M109:S109">
    <cfRule type="expression" dxfId="5736" priority="787">
      <formula>SEARCH("IN CORSO",$M109)&gt;0</formula>
    </cfRule>
    <cfRule type="expression" dxfId="5735" priority="788">
      <formula>SEARCH("CHIUSO",$M109)&gt;0</formula>
    </cfRule>
    <cfRule type="expression" dxfId="5734" priority="789">
      <formula>SEARCH("EMESSO",$M109)&gt;0</formula>
    </cfRule>
    <cfRule type="expression" dxfId="5733" priority="790">
      <formula>SEARCH("RICHIESTO",$M109)&gt;0</formula>
    </cfRule>
    <cfRule type="expression" dxfId="5732" priority="791">
      <formula>SEARCH("DA CHIUDERE",$M109)&gt;0</formula>
    </cfRule>
    <cfRule type="expression" dxfId="5731" priority="792">
      <formula>SEARCH("INTERROTTO",$M109)&gt;0</formula>
    </cfRule>
  </conditionalFormatting>
  <conditionalFormatting sqref="E108:G108 M108:S108">
    <cfRule type="expression" dxfId="5730" priority="781">
      <formula>SEARCH("IN CORSO",$M108)&gt;0</formula>
    </cfRule>
    <cfRule type="expression" dxfId="5729" priority="782">
      <formula>SEARCH("CHIUSO",$M108)&gt;0</formula>
    </cfRule>
    <cfRule type="expression" dxfId="5728" priority="783">
      <formula>SEARCH("EMESSO",$M108)&gt;0</formula>
    </cfRule>
    <cfRule type="expression" dxfId="5727" priority="784">
      <formula>SEARCH("RICHIESTO",$M108)&gt;0</formula>
    </cfRule>
    <cfRule type="expression" dxfId="5726" priority="785">
      <formula>SEARCH("DA CHIUDERE",$M108)&gt;0</formula>
    </cfRule>
    <cfRule type="expression" dxfId="5725" priority="786">
      <formula>SEARCH("INTERROTTO",$M108)&gt;0</formula>
    </cfRule>
  </conditionalFormatting>
  <conditionalFormatting sqref="E107:G107 M107:S107">
    <cfRule type="expression" dxfId="5724" priority="775">
      <formula>SEARCH("IN CORSO",$M107)&gt;0</formula>
    </cfRule>
    <cfRule type="expression" dxfId="5723" priority="776">
      <formula>SEARCH("CHIUSO",$M107)&gt;0</formula>
    </cfRule>
    <cfRule type="expression" dxfId="5722" priority="777">
      <formula>SEARCH("EMESSO",$M107)&gt;0</formula>
    </cfRule>
    <cfRule type="expression" dxfId="5721" priority="778">
      <formula>SEARCH("RICHIESTO",$M107)&gt;0</formula>
    </cfRule>
    <cfRule type="expression" dxfId="5720" priority="779">
      <formula>SEARCH("DA CHIUDERE",$M107)&gt;0</formula>
    </cfRule>
    <cfRule type="expression" dxfId="5719" priority="780">
      <formula>SEARCH("INTERROTTO",$M107)&gt;0</formula>
    </cfRule>
  </conditionalFormatting>
  <conditionalFormatting sqref="E106:G106 M106:S106">
    <cfRule type="expression" dxfId="5718" priority="769">
      <formula>SEARCH("IN CORSO",$M106)&gt;0</formula>
    </cfRule>
    <cfRule type="expression" dxfId="5717" priority="770">
      <formula>SEARCH("CHIUSO",$M106)&gt;0</formula>
    </cfRule>
    <cfRule type="expression" dxfId="5716" priority="771">
      <formula>SEARCH("EMESSO",$M106)&gt;0</formula>
    </cfRule>
    <cfRule type="expression" dxfId="5715" priority="772">
      <formula>SEARCH("RICHIESTO",$M106)&gt;0</formula>
    </cfRule>
    <cfRule type="expression" dxfId="5714" priority="773">
      <formula>SEARCH("DA CHIUDERE",$M106)&gt;0</formula>
    </cfRule>
    <cfRule type="expression" dxfId="5713" priority="774">
      <formula>SEARCH("INTERROTTO",$M106)&gt;0</formula>
    </cfRule>
  </conditionalFormatting>
  <conditionalFormatting sqref="E105:G105 M105:S105">
    <cfRule type="expression" dxfId="5712" priority="763">
      <formula>SEARCH("IN CORSO",$M105)&gt;0</formula>
    </cfRule>
    <cfRule type="expression" dxfId="5711" priority="764">
      <formula>SEARCH("CHIUSO",$M105)&gt;0</formula>
    </cfRule>
    <cfRule type="expression" dxfId="5710" priority="765">
      <formula>SEARCH("EMESSO",$M105)&gt;0</formula>
    </cfRule>
    <cfRule type="expression" dxfId="5709" priority="766">
      <formula>SEARCH("RICHIESTO",$M105)&gt;0</formula>
    </cfRule>
    <cfRule type="expression" dxfId="5708" priority="767">
      <formula>SEARCH("DA CHIUDERE",$M105)&gt;0</formula>
    </cfRule>
    <cfRule type="expression" dxfId="5707" priority="768">
      <formula>SEARCH("INTERROTTO",$M105)&gt;0</formula>
    </cfRule>
  </conditionalFormatting>
  <conditionalFormatting sqref="E104:G104 M104:S104">
    <cfRule type="expression" dxfId="5706" priority="757">
      <formula>SEARCH("IN CORSO",$M104)&gt;0</formula>
    </cfRule>
    <cfRule type="expression" dxfId="5705" priority="758">
      <formula>SEARCH("CHIUSO",$M104)&gt;0</formula>
    </cfRule>
    <cfRule type="expression" dxfId="5704" priority="759">
      <formula>SEARCH("EMESSO",$M104)&gt;0</formula>
    </cfRule>
    <cfRule type="expression" dxfId="5703" priority="760">
      <formula>SEARCH("RICHIESTO",$M104)&gt;0</formula>
    </cfRule>
    <cfRule type="expression" dxfId="5702" priority="761">
      <formula>SEARCH("DA CHIUDERE",$M104)&gt;0</formula>
    </cfRule>
    <cfRule type="expression" dxfId="5701" priority="762">
      <formula>SEARCH("INTERROTTO",$M104)&gt;0</formula>
    </cfRule>
  </conditionalFormatting>
  <conditionalFormatting sqref="E103:G103 M103:S103">
    <cfRule type="expression" dxfId="5700" priority="751">
      <formula>SEARCH("IN CORSO",$M103)&gt;0</formula>
    </cfRule>
    <cfRule type="expression" dxfId="5699" priority="752">
      <formula>SEARCH("CHIUSO",$M103)&gt;0</formula>
    </cfRule>
    <cfRule type="expression" dxfId="5698" priority="753">
      <formula>SEARCH("EMESSO",$M103)&gt;0</formula>
    </cfRule>
    <cfRule type="expression" dxfId="5697" priority="754">
      <formula>SEARCH("RICHIESTO",$M103)&gt;0</formula>
    </cfRule>
    <cfRule type="expression" dxfId="5696" priority="755">
      <formula>SEARCH("DA CHIUDERE",$M103)&gt;0</formula>
    </cfRule>
    <cfRule type="expression" dxfId="5695" priority="756">
      <formula>SEARCH("INTERROTTO",$M103)&gt;0</formula>
    </cfRule>
  </conditionalFormatting>
  <conditionalFormatting sqref="E102:G102 M102:S102">
    <cfRule type="expression" dxfId="5694" priority="745">
      <formula>SEARCH("IN CORSO",$M102)&gt;0</formula>
    </cfRule>
    <cfRule type="expression" dxfId="5693" priority="746">
      <formula>SEARCH("CHIUSO",$M102)&gt;0</formula>
    </cfRule>
    <cfRule type="expression" dxfId="5692" priority="747">
      <formula>SEARCH("EMESSO",$M102)&gt;0</formula>
    </cfRule>
    <cfRule type="expression" dxfId="5691" priority="748">
      <formula>SEARCH("RICHIESTO",$M102)&gt;0</formula>
    </cfRule>
    <cfRule type="expression" dxfId="5690" priority="749">
      <formula>SEARCH("DA CHIUDERE",$M102)&gt;0</formula>
    </cfRule>
    <cfRule type="expression" dxfId="5689" priority="750">
      <formula>SEARCH("INTERROTTO",$M102)&gt;0</formula>
    </cfRule>
  </conditionalFormatting>
  <conditionalFormatting sqref="E101:G101 M101:S101">
    <cfRule type="expression" dxfId="5688" priority="739">
      <formula>SEARCH("IN CORSO",$M101)&gt;0</formula>
    </cfRule>
    <cfRule type="expression" dxfId="5687" priority="740">
      <formula>SEARCH("CHIUSO",$M101)&gt;0</formula>
    </cfRule>
    <cfRule type="expression" dxfId="5686" priority="741">
      <formula>SEARCH("EMESSO",$M101)&gt;0</formula>
    </cfRule>
    <cfRule type="expression" dxfId="5685" priority="742">
      <formula>SEARCH("RICHIESTO",$M101)&gt;0</formula>
    </cfRule>
    <cfRule type="expression" dxfId="5684" priority="743">
      <formula>SEARCH("DA CHIUDERE",$M101)&gt;0</formula>
    </cfRule>
    <cfRule type="expression" dxfId="5683" priority="744">
      <formula>SEARCH("INTERROTTO",$M101)&gt;0</formula>
    </cfRule>
  </conditionalFormatting>
  <conditionalFormatting sqref="E99:G99 M99:S99">
    <cfRule type="expression" dxfId="5682" priority="727">
      <formula>SEARCH("IN CORSO",$M99)&gt;0</formula>
    </cfRule>
    <cfRule type="expression" dxfId="5681" priority="728">
      <formula>SEARCH("CHIUSO",$M99)&gt;0</formula>
    </cfRule>
    <cfRule type="expression" dxfId="5680" priority="729">
      <formula>SEARCH("EMESSO",$M99)&gt;0</formula>
    </cfRule>
    <cfRule type="expression" dxfId="5679" priority="730">
      <formula>SEARCH("RICHIESTO",$M99)&gt;0</formula>
    </cfRule>
    <cfRule type="expression" dxfId="5678" priority="731">
      <formula>SEARCH("DA CHIUDERE",$M99)&gt;0</formula>
    </cfRule>
    <cfRule type="expression" dxfId="5677" priority="732">
      <formula>SEARCH("INTERROTTO",$M99)&gt;0</formula>
    </cfRule>
  </conditionalFormatting>
  <conditionalFormatting sqref="E98:G98 M98:S98">
    <cfRule type="expression" dxfId="5676" priority="721">
      <formula>SEARCH("IN CORSO",$M98)&gt;0</formula>
    </cfRule>
    <cfRule type="expression" dxfId="5675" priority="722">
      <formula>SEARCH("CHIUSO",$M98)&gt;0</formula>
    </cfRule>
    <cfRule type="expression" dxfId="5674" priority="723">
      <formula>SEARCH("EMESSO",$M98)&gt;0</formula>
    </cfRule>
    <cfRule type="expression" dxfId="5673" priority="724">
      <formula>SEARCH("RICHIESTO",$M98)&gt;0</formula>
    </cfRule>
    <cfRule type="expression" dxfId="5672" priority="725">
      <formula>SEARCH("DA CHIUDERE",$M98)&gt;0</formula>
    </cfRule>
    <cfRule type="expression" dxfId="5671" priority="726">
      <formula>SEARCH("INTERROTTO",$M98)&gt;0</formula>
    </cfRule>
  </conditionalFormatting>
  <conditionalFormatting sqref="E97:G97 M97:S97">
    <cfRule type="expression" dxfId="5670" priority="715">
      <formula>SEARCH("IN CORSO",$M97)&gt;0</formula>
    </cfRule>
    <cfRule type="expression" dxfId="5669" priority="716">
      <formula>SEARCH("CHIUSO",$M97)&gt;0</formula>
    </cfRule>
    <cfRule type="expression" dxfId="5668" priority="717">
      <formula>SEARCH("EMESSO",$M97)&gt;0</formula>
    </cfRule>
    <cfRule type="expression" dxfId="5667" priority="718">
      <formula>SEARCH("RICHIESTO",$M97)&gt;0</formula>
    </cfRule>
    <cfRule type="expression" dxfId="5666" priority="719">
      <formula>SEARCH("DA CHIUDERE",$M97)&gt;0</formula>
    </cfRule>
    <cfRule type="expression" dxfId="5665" priority="720">
      <formula>SEARCH("INTERROTTO",$M97)&gt;0</formula>
    </cfRule>
  </conditionalFormatting>
  <conditionalFormatting sqref="E96:G96 M96:S96">
    <cfRule type="expression" dxfId="5664" priority="709">
      <formula>SEARCH("IN CORSO",$M96)&gt;0</formula>
    </cfRule>
    <cfRule type="expression" dxfId="5663" priority="710">
      <formula>SEARCH("CHIUSO",$M96)&gt;0</formula>
    </cfRule>
    <cfRule type="expression" dxfId="5662" priority="711">
      <formula>SEARCH("EMESSO",$M96)&gt;0</formula>
    </cfRule>
    <cfRule type="expression" dxfId="5661" priority="712">
      <formula>SEARCH("RICHIESTO",$M96)&gt;0</formula>
    </cfRule>
    <cfRule type="expression" dxfId="5660" priority="713">
      <formula>SEARCH("DA CHIUDERE",$M96)&gt;0</formula>
    </cfRule>
    <cfRule type="expression" dxfId="5659" priority="714">
      <formula>SEARCH("INTERROTTO",$M96)&gt;0</formula>
    </cfRule>
  </conditionalFormatting>
  <conditionalFormatting sqref="E95:G95 M95:S95">
    <cfRule type="expression" dxfId="5658" priority="703">
      <formula>SEARCH("IN CORSO",$M95)&gt;0</formula>
    </cfRule>
    <cfRule type="expression" dxfId="5657" priority="704">
      <formula>SEARCH("CHIUSO",$M95)&gt;0</formula>
    </cfRule>
    <cfRule type="expression" dxfId="5656" priority="705">
      <formula>SEARCH("EMESSO",$M95)&gt;0</formula>
    </cfRule>
    <cfRule type="expression" dxfId="5655" priority="706">
      <formula>SEARCH("RICHIESTO",$M95)&gt;0</formula>
    </cfRule>
    <cfRule type="expression" dxfId="5654" priority="707">
      <formula>SEARCH("DA CHIUDERE",$M95)&gt;0</formula>
    </cfRule>
    <cfRule type="expression" dxfId="5653" priority="708">
      <formula>SEARCH("INTERROTTO",$M95)&gt;0</formula>
    </cfRule>
  </conditionalFormatting>
  <conditionalFormatting sqref="E94:G94 M94:S94">
    <cfRule type="expression" dxfId="5652" priority="697">
      <formula>SEARCH("IN CORSO",$M94)&gt;0</formula>
    </cfRule>
    <cfRule type="expression" dxfId="5651" priority="698">
      <formula>SEARCH("CHIUSO",$M94)&gt;0</formula>
    </cfRule>
    <cfRule type="expression" dxfId="5650" priority="699">
      <formula>SEARCH("EMESSO",$M94)&gt;0</formula>
    </cfRule>
    <cfRule type="expression" dxfId="5649" priority="700">
      <formula>SEARCH("RICHIESTO",$M94)&gt;0</formula>
    </cfRule>
    <cfRule type="expression" dxfId="5648" priority="701">
      <formula>SEARCH("DA CHIUDERE",$M94)&gt;0</formula>
    </cfRule>
    <cfRule type="expression" dxfId="5647" priority="702">
      <formula>SEARCH("INTERROTTO",$M94)&gt;0</formula>
    </cfRule>
  </conditionalFormatting>
  <conditionalFormatting sqref="E93:G93 M93:S93">
    <cfRule type="expression" dxfId="5646" priority="691">
      <formula>SEARCH("IN CORSO",$M93)&gt;0</formula>
    </cfRule>
    <cfRule type="expression" dxfId="5645" priority="692">
      <formula>SEARCH("CHIUSO",$M93)&gt;0</formula>
    </cfRule>
    <cfRule type="expression" dxfId="5644" priority="693">
      <formula>SEARCH("EMESSO",$M93)&gt;0</formula>
    </cfRule>
    <cfRule type="expression" dxfId="5643" priority="694">
      <formula>SEARCH("RICHIESTO",$M93)&gt;0</formula>
    </cfRule>
    <cfRule type="expression" dxfId="5642" priority="695">
      <formula>SEARCH("DA CHIUDERE",$M93)&gt;0</formula>
    </cfRule>
    <cfRule type="expression" dxfId="5641" priority="696">
      <formula>SEARCH("INTERROTTO",$M93)&gt;0</formula>
    </cfRule>
  </conditionalFormatting>
  <conditionalFormatting sqref="E92:G92 M92:S92">
    <cfRule type="expression" dxfId="5640" priority="685">
      <formula>SEARCH("IN CORSO",$M92)&gt;0</formula>
    </cfRule>
    <cfRule type="expression" dxfId="5639" priority="686">
      <formula>SEARCH("CHIUSO",$M92)&gt;0</formula>
    </cfRule>
    <cfRule type="expression" dxfId="5638" priority="687">
      <formula>SEARCH("EMESSO",$M92)&gt;0</formula>
    </cfRule>
    <cfRule type="expression" dxfId="5637" priority="688">
      <formula>SEARCH("RICHIESTO",$M92)&gt;0</formula>
    </cfRule>
    <cfRule type="expression" dxfId="5636" priority="689">
      <formula>SEARCH("DA CHIUDERE",$M92)&gt;0</formula>
    </cfRule>
    <cfRule type="expression" dxfId="5635" priority="690">
      <formula>SEARCH("INTERROTTO",$M92)&gt;0</formula>
    </cfRule>
  </conditionalFormatting>
  <conditionalFormatting sqref="E91:G91 M91:S91">
    <cfRule type="expression" dxfId="5634" priority="679">
      <formula>SEARCH("IN CORSO",$M91)&gt;0</formula>
    </cfRule>
    <cfRule type="expression" dxfId="5633" priority="680">
      <formula>SEARCH("CHIUSO",$M91)&gt;0</formula>
    </cfRule>
    <cfRule type="expression" dxfId="5632" priority="681">
      <formula>SEARCH("EMESSO",$M91)&gt;0</formula>
    </cfRule>
    <cfRule type="expression" dxfId="5631" priority="682">
      <formula>SEARCH("RICHIESTO",$M91)&gt;0</formula>
    </cfRule>
    <cfRule type="expression" dxfId="5630" priority="683">
      <formula>SEARCH("DA CHIUDERE",$M91)&gt;0</formula>
    </cfRule>
    <cfRule type="expression" dxfId="5629" priority="684">
      <formula>SEARCH("INTERROTTO",$M91)&gt;0</formula>
    </cfRule>
  </conditionalFormatting>
  <conditionalFormatting sqref="E90:G90 M90:S90">
    <cfRule type="expression" dxfId="5628" priority="673">
      <formula>SEARCH("IN CORSO",$M90)&gt;0</formula>
    </cfRule>
    <cfRule type="expression" dxfId="5627" priority="674">
      <formula>SEARCH("CHIUSO",$M90)&gt;0</formula>
    </cfRule>
    <cfRule type="expression" dxfId="5626" priority="675">
      <formula>SEARCH("EMESSO",$M90)&gt;0</formula>
    </cfRule>
    <cfRule type="expression" dxfId="5625" priority="676">
      <formula>SEARCH("RICHIESTO",$M90)&gt;0</formula>
    </cfRule>
    <cfRule type="expression" dxfId="5624" priority="677">
      <formula>SEARCH("DA CHIUDERE",$M90)&gt;0</formula>
    </cfRule>
    <cfRule type="expression" dxfId="5623" priority="678">
      <formula>SEARCH("INTERROTTO",$M90)&gt;0</formula>
    </cfRule>
  </conditionalFormatting>
  <conditionalFormatting sqref="E100:G100 M100:S100">
    <cfRule type="expression" dxfId="5622" priority="733">
      <formula>SEARCH("IN CORSO",$M100)&gt;0</formula>
    </cfRule>
    <cfRule type="expression" dxfId="5621" priority="734">
      <formula>SEARCH("CHIUSO",$M100)&gt;0</formula>
    </cfRule>
    <cfRule type="expression" dxfId="5620" priority="735">
      <formula>SEARCH("EMESSO",$M100)&gt;0</formula>
    </cfRule>
    <cfRule type="expression" dxfId="5619" priority="736">
      <formula>SEARCH("RICHIESTO",$M100)&gt;0</formula>
    </cfRule>
    <cfRule type="expression" dxfId="5618" priority="737">
      <formula>SEARCH("DA CHIUDERE",$M100)&gt;0</formula>
    </cfRule>
    <cfRule type="expression" dxfId="5617" priority="738">
      <formula>SEARCH("INTERROTTO",$M100)&gt;0</formula>
    </cfRule>
  </conditionalFormatting>
  <conditionalFormatting sqref="E89:G89 M89:S89">
    <cfRule type="expression" dxfId="5616" priority="667">
      <formula>SEARCH("IN CORSO",$M89)&gt;0</formula>
    </cfRule>
    <cfRule type="expression" dxfId="5615" priority="668">
      <formula>SEARCH("CHIUSO",$M89)&gt;0</formula>
    </cfRule>
    <cfRule type="expression" dxfId="5614" priority="669">
      <formula>SEARCH("EMESSO",$M89)&gt;0</formula>
    </cfRule>
    <cfRule type="expression" dxfId="5613" priority="670">
      <formula>SEARCH("RICHIESTO",$M89)&gt;0</formula>
    </cfRule>
    <cfRule type="expression" dxfId="5612" priority="671">
      <formula>SEARCH("DA CHIUDERE",$M89)&gt;0</formula>
    </cfRule>
    <cfRule type="expression" dxfId="5611" priority="672">
      <formula>SEARCH("INTERROTTO",$M89)&gt;0</formula>
    </cfRule>
  </conditionalFormatting>
  <conditionalFormatting sqref="E88:G88 M88:S88">
    <cfRule type="expression" dxfId="5610" priority="661">
      <formula>SEARCH("IN CORSO",$M88)&gt;0</formula>
    </cfRule>
    <cfRule type="expression" dxfId="5609" priority="662">
      <formula>SEARCH("CHIUSO",$M88)&gt;0</formula>
    </cfRule>
    <cfRule type="expression" dxfId="5608" priority="663">
      <formula>SEARCH("EMESSO",$M88)&gt;0</formula>
    </cfRule>
    <cfRule type="expression" dxfId="5607" priority="664">
      <formula>SEARCH("RICHIESTO",$M88)&gt;0</formula>
    </cfRule>
    <cfRule type="expression" dxfId="5606" priority="665">
      <formula>SEARCH("DA CHIUDERE",$M88)&gt;0</formula>
    </cfRule>
    <cfRule type="expression" dxfId="5605" priority="666">
      <formula>SEARCH("INTERROTTO",$M88)&gt;0</formula>
    </cfRule>
  </conditionalFormatting>
  <conditionalFormatting sqref="E87:G87 M87:S87">
    <cfRule type="expression" dxfId="5604" priority="655">
      <formula>SEARCH("IN CORSO",$M87)&gt;0</formula>
    </cfRule>
    <cfRule type="expression" dxfId="5603" priority="656">
      <formula>SEARCH("CHIUSO",$M87)&gt;0</formula>
    </cfRule>
    <cfRule type="expression" dxfId="5602" priority="657">
      <formula>SEARCH("EMESSO",$M87)&gt;0</formula>
    </cfRule>
    <cfRule type="expression" dxfId="5601" priority="658">
      <formula>SEARCH("RICHIESTO",$M87)&gt;0</formula>
    </cfRule>
    <cfRule type="expression" dxfId="5600" priority="659">
      <formula>SEARCH("DA CHIUDERE",$M87)&gt;0</formula>
    </cfRule>
    <cfRule type="expression" dxfId="5599" priority="660">
      <formula>SEARCH("INTERROTTO",$M87)&gt;0</formula>
    </cfRule>
  </conditionalFormatting>
  <conditionalFormatting sqref="E86:G86 M86:S86">
    <cfRule type="expression" dxfId="5598" priority="649">
      <formula>SEARCH("IN CORSO",$M86)&gt;0</formula>
    </cfRule>
    <cfRule type="expression" dxfId="5597" priority="650">
      <formula>SEARCH("CHIUSO",$M86)&gt;0</formula>
    </cfRule>
    <cfRule type="expression" dxfId="5596" priority="651">
      <formula>SEARCH("EMESSO",$M86)&gt;0</formula>
    </cfRule>
    <cfRule type="expression" dxfId="5595" priority="652">
      <formula>SEARCH("RICHIESTO",$M86)&gt;0</formula>
    </cfRule>
    <cfRule type="expression" dxfId="5594" priority="653">
      <formula>SEARCH("DA CHIUDERE",$M86)&gt;0</formula>
    </cfRule>
    <cfRule type="expression" dxfId="5593" priority="654">
      <formula>SEARCH("INTERROTTO",$M86)&gt;0</formula>
    </cfRule>
  </conditionalFormatting>
  <conditionalFormatting sqref="E85:G85 M85:S85">
    <cfRule type="expression" dxfId="5592" priority="643">
      <formula>SEARCH("IN CORSO",$M85)&gt;0</formula>
    </cfRule>
    <cfRule type="expression" dxfId="5591" priority="644">
      <formula>SEARCH("CHIUSO",$M85)&gt;0</formula>
    </cfRule>
    <cfRule type="expression" dxfId="5590" priority="645">
      <formula>SEARCH("EMESSO",$M85)&gt;0</formula>
    </cfRule>
    <cfRule type="expression" dxfId="5589" priority="646">
      <formula>SEARCH("RICHIESTO",$M85)&gt;0</formula>
    </cfRule>
    <cfRule type="expression" dxfId="5588" priority="647">
      <formula>SEARCH("DA CHIUDERE",$M85)&gt;0</formula>
    </cfRule>
    <cfRule type="expression" dxfId="5587" priority="648">
      <formula>SEARCH("INTERROTTO",$M85)&gt;0</formula>
    </cfRule>
  </conditionalFormatting>
  <conditionalFormatting sqref="E84:G84 M84:S84">
    <cfRule type="expression" dxfId="5586" priority="637">
      <formula>SEARCH("IN CORSO",$M84)&gt;0</formula>
    </cfRule>
    <cfRule type="expression" dxfId="5585" priority="638">
      <formula>SEARCH("CHIUSO",$M84)&gt;0</formula>
    </cfRule>
    <cfRule type="expression" dxfId="5584" priority="639">
      <formula>SEARCH("EMESSO",$M84)&gt;0</formula>
    </cfRule>
    <cfRule type="expression" dxfId="5583" priority="640">
      <formula>SEARCH("RICHIESTO",$M84)&gt;0</formula>
    </cfRule>
    <cfRule type="expression" dxfId="5582" priority="641">
      <formula>SEARCH("DA CHIUDERE",$M84)&gt;0</formula>
    </cfRule>
    <cfRule type="expression" dxfId="5581" priority="642">
      <formula>SEARCH("INTERROTTO",$M84)&gt;0</formula>
    </cfRule>
  </conditionalFormatting>
  <conditionalFormatting sqref="E83:G83 M83:S83">
    <cfRule type="expression" dxfId="5580" priority="631">
      <formula>SEARCH("IN CORSO",$M83)&gt;0</formula>
    </cfRule>
    <cfRule type="expression" dxfId="5579" priority="632">
      <formula>SEARCH("CHIUSO",$M83)&gt;0</formula>
    </cfRule>
    <cfRule type="expression" dxfId="5578" priority="633">
      <formula>SEARCH("EMESSO",$M83)&gt;0</formula>
    </cfRule>
    <cfRule type="expression" dxfId="5577" priority="634">
      <formula>SEARCH("RICHIESTO",$M83)&gt;0</formula>
    </cfRule>
    <cfRule type="expression" dxfId="5576" priority="635">
      <formula>SEARCH("DA CHIUDERE",$M83)&gt;0</formula>
    </cfRule>
    <cfRule type="expression" dxfId="5575" priority="636">
      <formula>SEARCH("INTERROTTO",$M83)&gt;0</formula>
    </cfRule>
  </conditionalFormatting>
  <conditionalFormatting sqref="E82:G82 M82:S82">
    <cfRule type="expression" dxfId="5574" priority="625">
      <formula>SEARCH("IN CORSO",$M82)&gt;0</formula>
    </cfRule>
    <cfRule type="expression" dxfId="5573" priority="626">
      <formula>SEARCH("CHIUSO",$M82)&gt;0</formula>
    </cfRule>
    <cfRule type="expression" dxfId="5572" priority="627">
      <formula>SEARCH("EMESSO",$M82)&gt;0</formula>
    </cfRule>
    <cfRule type="expression" dxfId="5571" priority="628">
      <formula>SEARCH("RICHIESTO",$M82)&gt;0</formula>
    </cfRule>
    <cfRule type="expression" dxfId="5570" priority="629">
      <formula>SEARCH("DA CHIUDERE",$M82)&gt;0</formula>
    </cfRule>
    <cfRule type="expression" dxfId="5569" priority="630">
      <formula>SEARCH("INTERROTTO",$M82)&gt;0</formula>
    </cfRule>
  </conditionalFormatting>
  <conditionalFormatting sqref="E81:G81 M81:S81">
    <cfRule type="expression" dxfId="5568" priority="619">
      <formula>SEARCH("IN CORSO",$M81)&gt;0</formula>
    </cfRule>
    <cfRule type="expression" dxfId="5567" priority="620">
      <formula>SEARCH("CHIUSO",$M81)&gt;0</formula>
    </cfRule>
    <cfRule type="expression" dxfId="5566" priority="621">
      <formula>SEARCH("EMESSO",$M81)&gt;0</formula>
    </cfRule>
    <cfRule type="expression" dxfId="5565" priority="622">
      <formula>SEARCH("RICHIESTO",$M81)&gt;0</formula>
    </cfRule>
    <cfRule type="expression" dxfId="5564" priority="623">
      <formula>SEARCH("DA CHIUDERE",$M81)&gt;0</formula>
    </cfRule>
    <cfRule type="expression" dxfId="5563" priority="624">
      <formula>SEARCH("INTERROTTO",$M81)&gt;0</formula>
    </cfRule>
  </conditionalFormatting>
  <conditionalFormatting sqref="E80:G80 M80:S80">
    <cfRule type="expression" dxfId="5562" priority="613">
      <formula>SEARCH("IN CORSO",$M80)&gt;0</formula>
    </cfRule>
    <cfRule type="expression" dxfId="5561" priority="614">
      <formula>SEARCH("CHIUSO",$M80)&gt;0</formula>
    </cfRule>
    <cfRule type="expression" dxfId="5560" priority="615">
      <formula>SEARCH("EMESSO",$M80)&gt;0</formula>
    </cfRule>
    <cfRule type="expression" dxfId="5559" priority="616">
      <formula>SEARCH("RICHIESTO",$M80)&gt;0</formula>
    </cfRule>
    <cfRule type="expression" dxfId="5558" priority="617">
      <formula>SEARCH("DA CHIUDERE",$M80)&gt;0</formula>
    </cfRule>
    <cfRule type="expression" dxfId="5557" priority="618">
      <formula>SEARCH("INTERROTTO",$M80)&gt;0</formula>
    </cfRule>
  </conditionalFormatting>
  <conditionalFormatting sqref="E79:G79 M79:S79">
    <cfRule type="expression" dxfId="5556" priority="607">
      <formula>SEARCH("IN CORSO",$M79)&gt;0</formula>
    </cfRule>
    <cfRule type="expression" dxfId="5555" priority="608">
      <formula>SEARCH("CHIUSO",$M79)&gt;0</formula>
    </cfRule>
    <cfRule type="expression" dxfId="5554" priority="609">
      <formula>SEARCH("EMESSO",$M79)&gt;0</formula>
    </cfRule>
    <cfRule type="expression" dxfId="5553" priority="610">
      <formula>SEARCH("RICHIESTO",$M79)&gt;0</formula>
    </cfRule>
    <cfRule type="expression" dxfId="5552" priority="611">
      <formula>SEARCH("DA CHIUDERE",$M79)&gt;0</formula>
    </cfRule>
    <cfRule type="expression" dxfId="5551" priority="612">
      <formula>SEARCH("INTERROTTO",$M79)&gt;0</formula>
    </cfRule>
  </conditionalFormatting>
  <conditionalFormatting sqref="E78:G78 M78:S78">
    <cfRule type="expression" dxfId="5550" priority="601">
      <formula>SEARCH("IN CORSO",$M78)&gt;0</formula>
    </cfRule>
    <cfRule type="expression" dxfId="5549" priority="602">
      <formula>SEARCH("CHIUSO",$M78)&gt;0</formula>
    </cfRule>
    <cfRule type="expression" dxfId="5548" priority="603">
      <formula>SEARCH("EMESSO",$M78)&gt;0</formula>
    </cfRule>
    <cfRule type="expression" dxfId="5547" priority="604">
      <formula>SEARCH("RICHIESTO",$M78)&gt;0</formula>
    </cfRule>
    <cfRule type="expression" dxfId="5546" priority="605">
      <formula>SEARCH("DA CHIUDERE",$M78)&gt;0</formula>
    </cfRule>
    <cfRule type="expression" dxfId="5545" priority="606">
      <formula>SEARCH("INTERROTTO",$M78)&gt;0</formula>
    </cfRule>
  </conditionalFormatting>
  <conditionalFormatting sqref="E77:G77 M77:S77">
    <cfRule type="expression" dxfId="5544" priority="595">
      <formula>SEARCH("IN CORSO",$M77)&gt;0</formula>
    </cfRule>
    <cfRule type="expression" dxfId="5543" priority="596">
      <formula>SEARCH("CHIUSO",$M77)&gt;0</formula>
    </cfRule>
    <cfRule type="expression" dxfId="5542" priority="597">
      <formula>SEARCH("EMESSO",$M77)&gt;0</formula>
    </cfRule>
    <cfRule type="expression" dxfId="5541" priority="598">
      <formula>SEARCH("RICHIESTO",$M77)&gt;0</formula>
    </cfRule>
    <cfRule type="expression" dxfId="5540" priority="599">
      <formula>SEARCH("DA CHIUDERE",$M77)&gt;0</formula>
    </cfRule>
    <cfRule type="expression" dxfId="5539" priority="600">
      <formula>SEARCH("INTERROTTO",$M77)&gt;0</formula>
    </cfRule>
  </conditionalFormatting>
  <conditionalFormatting sqref="E76:G76 M76:S76">
    <cfRule type="expression" dxfId="5538" priority="589">
      <formula>SEARCH("IN CORSO",$M76)&gt;0</formula>
    </cfRule>
    <cfRule type="expression" dxfId="5537" priority="590">
      <formula>SEARCH("CHIUSO",$M76)&gt;0</formula>
    </cfRule>
    <cfRule type="expression" dxfId="5536" priority="591">
      <formula>SEARCH("EMESSO",$M76)&gt;0</formula>
    </cfRule>
    <cfRule type="expression" dxfId="5535" priority="592">
      <formula>SEARCH("RICHIESTO",$M76)&gt;0</formula>
    </cfRule>
    <cfRule type="expression" dxfId="5534" priority="593">
      <formula>SEARCH("DA CHIUDERE",$M76)&gt;0</formula>
    </cfRule>
    <cfRule type="expression" dxfId="5533" priority="594">
      <formula>SEARCH("INTERROTTO",$M76)&gt;0</formula>
    </cfRule>
  </conditionalFormatting>
  <conditionalFormatting sqref="E75:G75 M75:S75">
    <cfRule type="expression" dxfId="5532" priority="583">
      <formula>SEARCH("IN CORSO",$M75)&gt;0</formula>
    </cfRule>
    <cfRule type="expression" dxfId="5531" priority="584">
      <formula>SEARCH("CHIUSO",$M75)&gt;0</formula>
    </cfRule>
    <cfRule type="expression" dxfId="5530" priority="585">
      <formula>SEARCH("EMESSO",$M75)&gt;0</formula>
    </cfRule>
    <cfRule type="expression" dxfId="5529" priority="586">
      <formula>SEARCH("RICHIESTO",$M75)&gt;0</formula>
    </cfRule>
    <cfRule type="expression" dxfId="5528" priority="587">
      <formula>SEARCH("DA CHIUDERE",$M75)&gt;0</formula>
    </cfRule>
    <cfRule type="expression" dxfId="5527" priority="588">
      <formula>SEARCH("INTERROTTO",$M75)&gt;0</formula>
    </cfRule>
  </conditionalFormatting>
  <conditionalFormatting sqref="E74:G74 M74:S74">
    <cfRule type="expression" dxfId="5526" priority="577">
      <formula>SEARCH("IN CORSO",$M74)&gt;0</formula>
    </cfRule>
    <cfRule type="expression" dxfId="5525" priority="578">
      <formula>SEARCH("CHIUSO",$M74)&gt;0</formula>
    </cfRule>
    <cfRule type="expression" dxfId="5524" priority="579">
      <formula>SEARCH("EMESSO",$M74)&gt;0</formula>
    </cfRule>
    <cfRule type="expression" dxfId="5523" priority="580">
      <formula>SEARCH("RICHIESTO",$M74)&gt;0</formula>
    </cfRule>
    <cfRule type="expression" dxfId="5522" priority="581">
      <formula>SEARCH("DA CHIUDERE",$M74)&gt;0</formula>
    </cfRule>
    <cfRule type="expression" dxfId="5521" priority="582">
      <formula>SEARCH("INTERROTTO",$M74)&gt;0</formula>
    </cfRule>
  </conditionalFormatting>
  <conditionalFormatting sqref="E73:G73 M73:S73">
    <cfRule type="expression" dxfId="5520" priority="571">
      <formula>SEARCH("IN CORSO",$M73)&gt;0</formula>
    </cfRule>
    <cfRule type="expression" dxfId="5519" priority="572">
      <formula>SEARCH("CHIUSO",$M73)&gt;0</formula>
    </cfRule>
    <cfRule type="expression" dxfId="5518" priority="573">
      <formula>SEARCH("EMESSO",$M73)&gt;0</formula>
    </cfRule>
    <cfRule type="expression" dxfId="5517" priority="574">
      <formula>SEARCH("RICHIESTO",$M73)&gt;0</formula>
    </cfRule>
    <cfRule type="expression" dxfId="5516" priority="575">
      <formula>SEARCH("DA CHIUDERE",$M73)&gt;0</formula>
    </cfRule>
    <cfRule type="expression" dxfId="5515" priority="576">
      <formula>SEARCH("INTERROTTO",$M73)&gt;0</formula>
    </cfRule>
  </conditionalFormatting>
  <conditionalFormatting sqref="E72:G72 M72:S72">
    <cfRule type="expression" dxfId="5514" priority="565">
      <formula>SEARCH("IN CORSO",$M72)&gt;0</formula>
    </cfRule>
    <cfRule type="expression" dxfId="5513" priority="566">
      <formula>SEARCH("CHIUSO",$M72)&gt;0</formula>
    </cfRule>
    <cfRule type="expression" dxfId="5512" priority="567">
      <formula>SEARCH("EMESSO",$M72)&gt;0</formula>
    </cfRule>
    <cfRule type="expression" dxfId="5511" priority="568">
      <formula>SEARCH("RICHIESTO",$M72)&gt;0</formula>
    </cfRule>
    <cfRule type="expression" dxfId="5510" priority="569">
      <formula>SEARCH("DA CHIUDERE",$M72)&gt;0</formula>
    </cfRule>
    <cfRule type="expression" dxfId="5509" priority="570">
      <formula>SEARCH("INTERROTTO",$M72)&gt;0</formula>
    </cfRule>
  </conditionalFormatting>
  <conditionalFormatting sqref="E71:G71 M71:S71">
    <cfRule type="expression" dxfId="5508" priority="559">
      <formula>SEARCH("IN CORSO",$M71)&gt;0</formula>
    </cfRule>
    <cfRule type="expression" dxfId="5507" priority="560">
      <formula>SEARCH("CHIUSO",$M71)&gt;0</formula>
    </cfRule>
    <cfRule type="expression" dxfId="5506" priority="561">
      <formula>SEARCH("EMESSO",$M71)&gt;0</formula>
    </cfRule>
    <cfRule type="expression" dxfId="5505" priority="562">
      <formula>SEARCH("RICHIESTO",$M71)&gt;0</formula>
    </cfRule>
    <cfRule type="expression" dxfId="5504" priority="563">
      <formula>SEARCH("DA CHIUDERE",$M71)&gt;0</formula>
    </cfRule>
    <cfRule type="expression" dxfId="5503" priority="564">
      <formula>SEARCH("INTERROTTO",$M71)&gt;0</formula>
    </cfRule>
  </conditionalFormatting>
  <conditionalFormatting sqref="E70:G70 M70:S70">
    <cfRule type="expression" dxfId="5502" priority="553">
      <formula>SEARCH("IN CORSO",$M70)&gt;0</formula>
    </cfRule>
    <cfRule type="expression" dxfId="5501" priority="554">
      <formula>SEARCH("CHIUSO",$M70)&gt;0</formula>
    </cfRule>
    <cfRule type="expression" dxfId="5500" priority="555">
      <formula>SEARCH("EMESSO",$M70)&gt;0</formula>
    </cfRule>
    <cfRule type="expression" dxfId="5499" priority="556">
      <formula>SEARCH("RICHIESTO",$M70)&gt;0</formula>
    </cfRule>
    <cfRule type="expression" dxfId="5498" priority="557">
      <formula>SEARCH("DA CHIUDERE",$M70)&gt;0</formula>
    </cfRule>
    <cfRule type="expression" dxfId="5497" priority="558">
      <formula>SEARCH("INTERROTTO",$M70)&gt;0</formula>
    </cfRule>
  </conditionalFormatting>
  <conditionalFormatting sqref="E69:G69 M69:S69">
    <cfRule type="expression" dxfId="5496" priority="547">
      <formula>SEARCH("IN CORSO",$M69)&gt;0</formula>
    </cfRule>
    <cfRule type="expression" dxfId="5495" priority="548">
      <formula>SEARCH("CHIUSO",$M69)&gt;0</formula>
    </cfRule>
    <cfRule type="expression" dxfId="5494" priority="549">
      <formula>SEARCH("EMESSO",$M69)&gt;0</formula>
    </cfRule>
    <cfRule type="expression" dxfId="5493" priority="550">
      <formula>SEARCH("RICHIESTO",$M69)&gt;0</formula>
    </cfRule>
    <cfRule type="expression" dxfId="5492" priority="551">
      <formula>SEARCH("DA CHIUDERE",$M69)&gt;0</formula>
    </cfRule>
    <cfRule type="expression" dxfId="5491" priority="552">
      <formula>SEARCH("INTERROTTO",$M69)&gt;0</formula>
    </cfRule>
  </conditionalFormatting>
  <conditionalFormatting sqref="E68:G68 M68:S68">
    <cfRule type="expression" dxfId="5490" priority="541">
      <formula>SEARCH("IN CORSO",$M68)&gt;0</formula>
    </cfRule>
    <cfRule type="expression" dxfId="5489" priority="542">
      <formula>SEARCH("CHIUSO",$M68)&gt;0</formula>
    </cfRule>
    <cfRule type="expression" dxfId="5488" priority="543">
      <formula>SEARCH("EMESSO",$M68)&gt;0</formula>
    </cfRule>
    <cfRule type="expression" dxfId="5487" priority="544">
      <formula>SEARCH("RICHIESTO",$M68)&gt;0</formula>
    </cfRule>
    <cfRule type="expression" dxfId="5486" priority="545">
      <formula>SEARCH("DA CHIUDERE",$M68)&gt;0</formula>
    </cfRule>
    <cfRule type="expression" dxfId="5485" priority="546">
      <formula>SEARCH("INTERROTTO",$M68)&gt;0</formula>
    </cfRule>
  </conditionalFormatting>
  <conditionalFormatting sqref="E67:G67 M67:S67">
    <cfRule type="expression" dxfId="5484" priority="535">
      <formula>SEARCH("IN CORSO",$M67)&gt;0</formula>
    </cfRule>
    <cfRule type="expression" dxfId="5483" priority="536">
      <formula>SEARCH("CHIUSO",$M67)&gt;0</formula>
    </cfRule>
    <cfRule type="expression" dxfId="5482" priority="537">
      <formula>SEARCH("EMESSO",$M67)&gt;0</formula>
    </cfRule>
    <cfRule type="expression" dxfId="5481" priority="538">
      <formula>SEARCH("RICHIESTO",$M67)&gt;0</formula>
    </cfRule>
    <cfRule type="expression" dxfId="5480" priority="539">
      <formula>SEARCH("DA CHIUDERE",$M67)&gt;0</formula>
    </cfRule>
    <cfRule type="expression" dxfId="5479" priority="540">
      <formula>SEARCH("INTERROTTO",$M67)&gt;0</formula>
    </cfRule>
  </conditionalFormatting>
  <conditionalFormatting sqref="E66:G66 M66:S66">
    <cfRule type="expression" dxfId="5478" priority="529">
      <formula>SEARCH("IN CORSO",$M66)&gt;0</formula>
    </cfRule>
    <cfRule type="expression" dxfId="5477" priority="530">
      <formula>SEARCH("CHIUSO",$M66)&gt;0</formula>
    </cfRule>
    <cfRule type="expression" dxfId="5476" priority="531">
      <formula>SEARCH("EMESSO",$M66)&gt;0</formula>
    </cfRule>
    <cfRule type="expression" dxfId="5475" priority="532">
      <formula>SEARCH("RICHIESTO",$M66)&gt;0</formula>
    </cfRule>
    <cfRule type="expression" dxfId="5474" priority="533">
      <formula>SEARCH("DA CHIUDERE",$M66)&gt;0</formula>
    </cfRule>
    <cfRule type="expression" dxfId="5473" priority="534">
      <formula>SEARCH("INTERROTTO",$M66)&gt;0</formula>
    </cfRule>
  </conditionalFormatting>
  <conditionalFormatting sqref="E65:G65 M65:S65">
    <cfRule type="expression" dxfId="5472" priority="523">
      <formula>SEARCH("IN CORSO",$M65)&gt;0</formula>
    </cfRule>
    <cfRule type="expression" dxfId="5471" priority="524">
      <formula>SEARCH("CHIUSO",$M65)&gt;0</formula>
    </cfRule>
    <cfRule type="expression" dxfId="5470" priority="525">
      <formula>SEARCH("EMESSO",$M65)&gt;0</formula>
    </cfRule>
    <cfRule type="expression" dxfId="5469" priority="526">
      <formula>SEARCH("RICHIESTO",$M65)&gt;0</formula>
    </cfRule>
    <cfRule type="expression" dxfId="5468" priority="527">
      <formula>SEARCH("DA CHIUDERE",$M65)&gt;0</formula>
    </cfRule>
    <cfRule type="expression" dxfId="5467" priority="528">
      <formula>SEARCH("INTERROTTO",$M65)&gt;0</formula>
    </cfRule>
  </conditionalFormatting>
  <conditionalFormatting sqref="E64:G64 M64:S64">
    <cfRule type="expression" dxfId="5466" priority="517">
      <formula>SEARCH("IN CORSO",$M64)&gt;0</formula>
    </cfRule>
    <cfRule type="expression" dxfId="5465" priority="518">
      <formula>SEARCH("CHIUSO",$M64)&gt;0</formula>
    </cfRule>
    <cfRule type="expression" dxfId="5464" priority="519">
      <formula>SEARCH("EMESSO",$M64)&gt;0</formula>
    </cfRule>
    <cfRule type="expression" dxfId="5463" priority="520">
      <formula>SEARCH("RICHIESTO",$M64)&gt;0</formula>
    </cfRule>
    <cfRule type="expression" dxfId="5462" priority="521">
      <formula>SEARCH("DA CHIUDERE",$M64)&gt;0</formula>
    </cfRule>
    <cfRule type="expression" dxfId="5461" priority="522">
      <formula>SEARCH("INTERROTTO",$M64)&gt;0</formula>
    </cfRule>
  </conditionalFormatting>
  <conditionalFormatting sqref="E63:G63 M63:S63">
    <cfRule type="expression" dxfId="5460" priority="511">
      <formula>SEARCH("IN CORSO",$M63)&gt;0</formula>
    </cfRule>
    <cfRule type="expression" dxfId="5459" priority="512">
      <formula>SEARCH("CHIUSO",$M63)&gt;0</formula>
    </cfRule>
    <cfRule type="expression" dxfId="5458" priority="513">
      <formula>SEARCH("EMESSO",$M63)&gt;0</formula>
    </cfRule>
    <cfRule type="expression" dxfId="5457" priority="514">
      <formula>SEARCH("RICHIESTO",$M63)&gt;0</formula>
    </cfRule>
    <cfRule type="expression" dxfId="5456" priority="515">
      <formula>SEARCH("DA CHIUDERE",$M63)&gt;0</formula>
    </cfRule>
    <cfRule type="expression" dxfId="5455" priority="516">
      <formula>SEARCH("INTERROTTO",$M63)&gt;0</formula>
    </cfRule>
  </conditionalFormatting>
  <conditionalFormatting sqref="E62:G62 M62:S62">
    <cfRule type="expression" dxfId="5454" priority="505">
      <formula>SEARCH("IN CORSO",$M62)&gt;0</formula>
    </cfRule>
    <cfRule type="expression" dxfId="5453" priority="506">
      <formula>SEARCH("CHIUSO",$M62)&gt;0</formula>
    </cfRule>
    <cfRule type="expression" dxfId="5452" priority="507">
      <formula>SEARCH("EMESSO",$M62)&gt;0</formula>
    </cfRule>
    <cfRule type="expression" dxfId="5451" priority="508">
      <formula>SEARCH("RICHIESTO",$M62)&gt;0</formula>
    </cfRule>
    <cfRule type="expression" dxfId="5450" priority="509">
      <formula>SEARCH("DA CHIUDERE",$M62)&gt;0</formula>
    </cfRule>
    <cfRule type="expression" dxfId="5449" priority="510">
      <formula>SEARCH("INTERROTTO",$M62)&gt;0</formula>
    </cfRule>
  </conditionalFormatting>
  <conditionalFormatting sqref="E61:G61 M61:S61">
    <cfRule type="expression" dxfId="5448" priority="499">
      <formula>SEARCH("IN CORSO",$M61)&gt;0</formula>
    </cfRule>
    <cfRule type="expression" dxfId="5447" priority="500">
      <formula>SEARCH("CHIUSO",$M61)&gt;0</formula>
    </cfRule>
    <cfRule type="expression" dxfId="5446" priority="501">
      <formula>SEARCH("EMESSO",$M61)&gt;0</formula>
    </cfRule>
    <cfRule type="expression" dxfId="5445" priority="502">
      <formula>SEARCH("RICHIESTO",$M61)&gt;0</formula>
    </cfRule>
    <cfRule type="expression" dxfId="5444" priority="503">
      <formula>SEARCH("DA CHIUDERE",$M61)&gt;0</formula>
    </cfRule>
    <cfRule type="expression" dxfId="5443" priority="504">
      <formula>SEARCH("INTERROTTO",$M61)&gt;0</formula>
    </cfRule>
  </conditionalFormatting>
  <conditionalFormatting sqref="E60:G60 M60:S60">
    <cfRule type="expression" dxfId="5442" priority="493">
      <formula>SEARCH("IN CORSO",$M60)&gt;0</formula>
    </cfRule>
    <cfRule type="expression" dxfId="5441" priority="494">
      <formula>SEARCH("CHIUSO",$M60)&gt;0</formula>
    </cfRule>
    <cfRule type="expression" dxfId="5440" priority="495">
      <formula>SEARCH("EMESSO",$M60)&gt;0</formula>
    </cfRule>
    <cfRule type="expression" dxfId="5439" priority="496">
      <formula>SEARCH("RICHIESTO",$M60)&gt;0</formula>
    </cfRule>
    <cfRule type="expression" dxfId="5438" priority="497">
      <formula>SEARCH("DA CHIUDERE",$M60)&gt;0</formula>
    </cfRule>
    <cfRule type="expression" dxfId="5437" priority="498">
      <formula>SEARCH("INTERROTTO",$M60)&gt;0</formula>
    </cfRule>
  </conditionalFormatting>
  <conditionalFormatting sqref="E59:G59 M59:S59">
    <cfRule type="expression" dxfId="5436" priority="487">
      <formula>SEARCH("IN CORSO",$M59)&gt;0</formula>
    </cfRule>
    <cfRule type="expression" dxfId="5435" priority="488">
      <formula>SEARCH("CHIUSO",$M59)&gt;0</formula>
    </cfRule>
    <cfRule type="expression" dxfId="5434" priority="489">
      <formula>SEARCH("EMESSO",$M59)&gt;0</formula>
    </cfRule>
    <cfRule type="expression" dxfId="5433" priority="490">
      <formula>SEARCH("RICHIESTO",$M59)&gt;0</formula>
    </cfRule>
    <cfRule type="expression" dxfId="5432" priority="491">
      <formula>SEARCH("DA CHIUDERE",$M59)&gt;0</formula>
    </cfRule>
    <cfRule type="expression" dxfId="5431" priority="492">
      <formula>SEARCH("INTERROTTO",$M59)&gt;0</formula>
    </cfRule>
  </conditionalFormatting>
  <conditionalFormatting sqref="E58:G58 M58:S58">
    <cfRule type="expression" dxfId="5430" priority="481">
      <formula>SEARCH("IN CORSO",$M58)&gt;0</formula>
    </cfRule>
    <cfRule type="expression" dxfId="5429" priority="482">
      <formula>SEARCH("CHIUSO",$M58)&gt;0</formula>
    </cfRule>
    <cfRule type="expression" dxfId="5428" priority="483">
      <formula>SEARCH("EMESSO",$M58)&gt;0</formula>
    </cfRule>
    <cfRule type="expression" dxfId="5427" priority="484">
      <formula>SEARCH("RICHIESTO",$M58)&gt;0</formula>
    </cfRule>
    <cfRule type="expression" dxfId="5426" priority="485">
      <formula>SEARCH("DA CHIUDERE",$M58)&gt;0</formula>
    </cfRule>
    <cfRule type="expression" dxfId="5425" priority="486">
      <formula>SEARCH("INTERROTTO",$M58)&gt;0</formula>
    </cfRule>
  </conditionalFormatting>
  <conditionalFormatting sqref="E57:G57 M57:S57">
    <cfRule type="expression" dxfId="5424" priority="475">
      <formula>SEARCH("IN CORSO",$M57)&gt;0</formula>
    </cfRule>
    <cfRule type="expression" dxfId="5423" priority="476">
      <formula>SEARCH("CHIUSO",$M57)&gt;0</formula>
    </cfRule>
    <cfRule type="expression" dxfId="5422" priority="477">
      <formula>SEARCH("EMESSO",$M57)&gt;0</formula>
    </cfRule>
    <cfRule type="expression" dxfId="5421" priority="478">
      <formula>SEARCH("RICHIESTO",$M57)&gt;0</formula>
    </cfRule>
    <cfRule type="expression" dxfId="5420" priority="479">
      <formula>SEARCH("DA CHIUDERE",$M57)&gt;0</formula>
    </cfRule>
    <cfRule type="expression" dxfId="5419" priority="480">
      <formula>SEARCH("INTERROTTO",$M57)&gt;0</formula>
    </cfRule>
  </conditionalFormatting>
  <conditionalFormatting sqref="E56:G56 M56:P56 R56">
    <cfRule type="expression" dxfId="5418" priority="469">
      <formula>SEARCH("IN CORSO",$M56)&gt;0</formula>
    </cfRule>
    <cfRule type="expression" dxfId="5417" priority="470">
      <formula>SEARCH("CHIUSO",$M56)&gt;0</formula>
    </cfRule>
    <cfRule type="expression" dxfId="5416" priority="471">
      <formula>SEARCH("EMESSO",$M56)&gt;0</formula>
    </cfRule>
    <cfRule type="expression" dxfId="5415" priority="472">
      <formula>SEARCH("RICHIESTO",$M56)&gt;0</formula>
    </cfRule>
    <cfRule type="expression" dxfId="5414" priority="473">
      <formula>SEARCH("DA CHIUDERE",$M56)&gt;0</formula>
    </cfRule>
    <cfRule type="expression" dxfId="5413" priority="474">
      <formula>SEARCH("INTERROTTO",$M56)&gt;0</formula>
    </cfRule>
  </conditionalFormatting>
  <conditionalFormatting sqref="E55:G55 M55:S55">
    <cfRule type="expression" dxfId="5412" priority="463">
      <formula>SEARCH("IN CORSO",$M55)&gt;0</formula>
    </cfRule>
    <cfRule type="expression" dxfId="5411" priority="464">
      <formula>SEARCH("CHIUSO",$M55)&gt;0</formula>
    </cfRule>
    <cfRule type="expression" dxfId="5410" priority="465">
      <formula>SEARCH("EMESSO",$M55)&gt;0</formula>
    </cfRule>
    <cfRule type="expression" dxfId="5409" priority="466">
      <formula>SEARCH("RICHIESTO",$M55)&gt;0</formula>
    </cfRule>
    <cfRule type="expression" dxfId="5408" priority="467">
      <formula>SEARCH("DA CHIUDERE",$M55)&gt;0</formula>
    </cfRule>
    <cfRule type="expression" dxfId="5407" priority="468">
      <formula>SEARCH("INTERROTTO",$M55)&gt;0</formula>
    </cfRule>
  </conditionalFormatting>
  <conditionalFormatting sqref="Q56">
    <cfRule type="expression" dxfId="5406" priority="457">
      <formula>SEARCH("IN CORSO",$M56)&gt;0</formula>
    </cfRule>
    <cfRule type="expression" dxfId="5405" priority="458">
      <formula>SEARCH("CHIUSO",$M56)&gt;0</formula>
    </cfRule>
    <cfRule type="expression" dxfId="5404" priority="459">
      <formula>SEARCH("EMESSO",$M56)&gt;0</formula>
    </cfRule>
    <cfRule type="expression" dxfId="5403" priority="460">
      <formula>SEARCH("RICHIESTO",$M56)&gt;0</formula>
    </cfRule>
    <cfRule type="expression" dxfId="5402" priority="461">
      <formula>SEARCH("DA CHIUDERE",$M56)&gt;0</formula>
    </cfRule>
    <cfRule type="expression" dxfId="5401" priority="462">
      <formula>SEARCH("INTERROTTO",$M56)&gt;0</formula>
    </cfRule>
  </conditionalFormatting>
  <conditionalFormatting sqref="S56">
    <cfRule type="expression" dxfId="5400" priority="451">
      <formula>SEARCH("IN CORSO",$M56)&gt;0</formula>
    </cfRule>
    <cfRule type="expression" dxfId="5399" priority="452">
      <formula>SEARCH("CHIUSO",$M56)&gt;0</formula>
    </cfRule>
    <cfRule type="expression" dxfId="5398" priority="453">
      <formula>SEARCH("EMESSO",$M56)&gt;0</formula>
    </cfRule>
    <cfRule type="expression" dxfId="5397" priority="454">
      <formula>SEARCH("RICHIESTO",$M56)&gt;0</formula>
    </cfRule>
    <cfRule type="expression" dxfId="5396" priority="455">
      <formula>SEARCH("DA CHIUDERE",$M56)&gt;0</formula>
    </cfRule>
    <cfRule type="expression" dxfId="5395" priority="456">
      <formula>SEARCH("INTERROTTO",$M56)&gt;0</formula>
    </cfRule>
  </conditionalFormatting>
  <conditionalFormatting sqref="E54:G54 M54:Q54">
    <cfRule type="expression" dxfId="5394" priority="445">
      <formula>SEARCH("IN CORSO",$M54)&gt;0</formula>
    </cfRule>
    <cfRule type="expression" dxfId="5393" priority="446">
      <formula>SEARCH("CHIUSO",$M54)&gt;0</formula>
    </cfRule>
    <cfRule type="expression" dxfId="5392" priority="447">
      <formula>SEARCH("EMESSO",$M54)&gt;0</formula>
    </cfRule>
    <cfRule type="expression" dxfId="5391" priority="448">
      <formula>SEARCH("RICHIESTO",$M54)&gt;0</formula>
    </cfRule>
    <cfRule type="expression" dxfId="5390" priority="449">
      <formula>SEARCH("DA CHIUDERE",$M54)&gt;0</formula>
    </cfRule>
    <cfRule type="expression" dxfId="5389" priority="450">
      <formula>SEARCH("INTERROTTO",$M54)&gt;0</formula>
    </cfRule>
  </conditionalFormatting>
  <conditionalFormatting sqref="E53:G53 M53:S53 R54:S54">
    <cfRule type="expression" dxfId="5388" priority="439">
      <formula>SEARCH("IN CORSO",$M53)&gt;0</formula>
    </cfRule>
    <cfRule type="expression" dxfId="5387" priority="440">
      <formula>SEARCH("CHIUSO",$M53)&gt;0</formula>
    </cfRule>
    <cfRule type="expression" dxfId="5386" priority="441">
      <formula>SEARCH("EMESSO",$M53)&gt;0</formula>
    </cfRule>
    <cfRule type="expression" dxfId="5385" priority="442">
      <formula>SEARCH("RICHIESTO",$M53)&gt;0</formula>
    </cfRule>
    <cfRule type="expression" dxfId="5384" priority="443">
      <formula>SEARCH("DA CHIUDERE",$M53)&gt;0</formula>
    </cfRule>
    <cfRule type="expression" dxfId="5383" priority="444">
      <formula>SEARCH("INTERROTTO",$M53)&gt;0</formula>
    </cfRule>
  </conditionalFormatting>
  <conditionalFormatting sqref="E52:G52 M52:S52">
    <cfRule type="expression" dxfId="5382" priority="433">
      <formula>SEARCH("IN CORSO",$M52)&gt;0</formula>
    </cfRule>
    <cfRule type="expression" dxfId="5381" priority="434">
      <formula>SEARCH("CHIUSO",$M52)&gt;0</formula>
    </cfRule>
    <cfRule type="expression" dxfId="5380" priority="435">
      <formula>SEARCH("EMESSO",$M52)&gt;0</formula>
    </cfRule>
    <cfRule type="expression" dxfId="5379" priority="436">
      <formula>SEARCH("RICHIESTO",$M52)&gt;0</formula>
    </cfRule>
    <cfRule type="expression" dxfId="5378" priority="437">
      <formula>SEARCH("DA CHIUDERE",$M52)&gt;0</formula>
    </cfRule>
    <cfRule type="expression" dxfId="5377" priority="438">
      <formula>SEARCH("INTERROTTO",$M52)&gt;0</formula>
    </cfRule>
  </conditionalFormatting>
  <conditionalFormatting sqref="E51:G51 M51:S51">
    <cfRule type="expression" dxfId="5376" priority="427">
      <formula>SEARCH("IN CORSO",$M51)&gt;0</formula>
    </cfRule>
    <cfRule type="expression" dxfId="5375" priority="428">
      <formula>SEARCH("CHIUSO",$M51)&gt;0</formula>
    </cfRule>
    <cfRule type="expression" dxfId="5374" priority="429">
      <formula>SEARCH("EMESSO",$M51)&gt;0</formula>
    </cfRule>
    <cfRule type="expression" dxfId="5373" priority="430">
      <formula>SEARCH("RICHIESTO",$M51)&gt;0</formula>
    </cfRule>
    <cfRule type="expression" dxfId="5372" priority="431">
      <formula>SEARCH("DA CHIUDERE",$M51)&gt;0</formula>
    </cfRule>
    <cfRule type="expression" dxfId="5371" priority="432">
      <formula>SEARCH("INTERROTTO",$M51)&gt;0</formula>
    </cfRule>
  </conditionalFormatting>
  <conditionalFormatting sqref="E50:G50 M50:S50">
    <cfRule type="expression" dxfId="5370" priority="421">
      <formula>SEARCH("IN CORSO",$M50)&gt;0</formula>
    </cfRule>
    <cfRule type="expression" dxfId="5369" priority="422">
      <formula>SEARCH("CHIUSO",$M50)&gt;0</formula>
    </cfRule>
    <cfRule type="expression" dxfId="5368" priority="423">
      <formula>SEARCH("EMESSO",$M50)&gt;0</formula>
    </cfRule>
    <cfRule type="expression" dxfId="5367" priority="424">
      <formula>SEARCH("RICHIESTO",$M50)&gt;0</formula>
    </cfRule>
    <cfRule type="expression" dxfId="5366" priority="425">
      <formula>SEARCH("DA CHIUDERE",$M50)&gt;0</formula>
    </cfRule>
    <cfRule type="expression" dxfId="5365" priority="426">
      <formula>SEARCH("INTERROTTO",$M50)&gt;0</formula>
    </cfRule>
  </conditionalFormatting>
  <conditionalFormatting sqref="E49:G49 M49:S49">
    <cfRule type="expression" dxfId="5364" priority="415">
      <formula>SEARCH("IN CORSO",$M49)&gt;0</formula>
    </cfRule>
    <cfRule type="expression" dxfId="5363" priority="416">
      <formula>SEARCH("CHIUSO",$M49)&gt;0</formula>
    </cfRule>
    <cfRule type="expression" dxfId="5362" priority="417">
      <formula>SEARCH("EMESSO",$M49)&gt;0</formula>
    </cfRule>
    <cfRule type="expression" dxfId="5361" priority="418">
      <formula>SEARCH("RICHIESTO",$M49)&gt;0</formula>
    </cfRule>
    <cfRule type="expression" dxfId="5360" priority="419">
      <formula>SEARCH("DA CHIUDERE",$M49)&gt;0</formula>
    </cfRule>
    <cfRule type="expression" dxfId="5359" priority="420">
      <formula>SEARCH("INTERROTTO",$M49)&gt;0</formula>
    </cfRule>
  </conditionalFormatting>
  <conditionalFormatting sqref="E48:G48 M48:S48">
    <cfRule type="expression" dxfId="5358" priority="409">
      <formula>SEARCH("IN CORSO",$M48)&gt;0</formula>
    </cfRule>
    <cfRule type="expression" dxfId="5357" priority="410">
      <formula>SEARCH("CHIUSO",$M48)&gt;0</formula>
    </cfRule>
    <cfRule type="expression" dxfId="5356" priority="411">
      <formula>SEARCH("EMESSO",$M48)&gt;0</formula>
    </cfRule>
    <cfRule type="expression" dxfId="5355" priority="412">
      <formula>SEARCH("RICHIESTO",$M48)&gt;0</formula>
    </cfRule>
    <cfRule type="expression" dxfId="5354" priority="413">
      <formula>SEARCH("DA CHIUDERE",$M48)&gt;0</formula>
    </cfRule>
    <cfRule type="expression" dxfId="5353" priority="414">
      <formula>SEARCH("INTERROTTO",$M48)&gt;0</formula>
    </cfRule>
  </conditionalFormatting>
  <conditionalFormatting sqref="E47:G47 M47:S47">
    <cfRule type="expression" dxfId="5352" priority="403">
      <formula>SEARCH("IN CORSO",$M47)&gt;0</formula>
    </cfRule>
    <cfRule type="expression" dxfId="5351" priority="404">
      <formula>SEARCH("CHIUSO",$M47)&gt;0</formula>
    </cfRule>
    <cfRule type="expression" dxfId="5350" priority="405">
      <formula>SEARCH("EMESSO",$M47)&gt;0</formula>
    </cfRule>
    <cfRule type="expression" dxfId="5349" priority="406">
      <formula>SEARCH("RICHIESTO",$M47)&gt;0</formula>
    </cfRule>
    <cfRule type="expression" dxfId="5348" priority="407">
      <formula>SEARCH("DA CHIUDERE",$M47)&gt;0</formula>
    </cfRule>
    <cfRule type="expression" dxfId="5347" priority="408">
      <formula>SEARCH("INTERROTTO",$M47)&gt;0</formula>
    </cfRule>
  </conditionalFormatting>
  <conditionalFormatting sqref="E46:G46 M46:S46">
    <cfRule type="expression" dxfId="5346" priority="397">
      <formula>SEARCH("IN CORSO",$M46)&gt;0</formula>
    </cfRule>
    <cfRule type="expression" dxfId="5345" priority="398">
      <formula>SEARCH("CHIUSO",$M46)&gt;0</formula>
    </cfRule>
    <cfRule type="expression" dxfId="5344" priority="399">
      <formula>SEARCH("EMESSO",$M46)&gt;0</formula>
    </cfRule>
    <cfRule type="expression" dxfId="5343" priority="400">
      <formula>SEARCH("RICHIESTO",$M46)&gt;0</formula>
    </cfRule>
    <cfRule type="expression" dxfId="5342" priority="401">
      <formula>SEARCH("DA CHIUDERE",$M46)&gt;0</formula>
    </cfRule>
    <cfRule type="expression" dxfId="5341" priority="402">
      <formula>SEARCH("INTERROTTO",$M46)&gt;0</formula>
    </cfRule>
  </conditionalFormatting>
  <conditionalFormatting sqref="E45:G45 M45:S45">
    <cfRule type="expression" dxfId="5340" priority="391">
      <formula>SEARCH("IN CORSO",$M45)&gt;0</formula>
    </cfRule>
    <cfRule type="expression" dxfId="5339" priority="392">
      <formula>SEARCH("CHIUSO",$M45)&gt;0</formula>
    </cfRule>
    <cfRule type="expression" dxfId="5338" priority="393">
      <formula>SEARCH("EMESSO",$M45)&gt;0</formula>
    </cfRule>
    <cfRule type="expression" dxfId="5337" priority="394">
      <formula>SEARCH("RICHIESTO",$M45)&gt;0</formula>
    </cfRule>
    <cfRule type="expression" dxfId="5336" priority="395">
      <formula>SEARCH("DA CHIUDERE",$M45)&gt;0</formula>
    </cfRule>
    <cfRule type="expression" dxfId="5335" priority="396">
      <formula>SEARCH("INTERROTTO",$M45)&gt;0</formula>
    </cfRule>
  </conditionalFormatting>
  <conditionalFormatting sqref="E44:G44 M44:S44">
    <cfRule type="expression" dxfId="5334" priority="385">
      <formula>SEARCH("IN CORSO",$M44)&gt;0</formula>
    </cfRule>
    <cfRule type="expression" dxfId="5333" priority="386">
      <formula>SEARCH("CHIUSO",$M44)&gt;0</formula>
    </cfRule>
    <cfRule type="expression" dxfId="5332" priority="387">
      <formula>SEARCH("EMESSO",$M44)&gt;0</formula>
    </cfRule>
    <cfRule type="expression" dxfId="5331" priority="388">
      <formula>SEARCH("RICHIESTO",$M44)&gt;0</formula>
    </cfRule>
    <cfRule type="expression" dxfId="5330" priority="389">
      <formula>SEARCH("DA CHIUDERE",$M44)&gt;0</formula>
    </cfRule>
    <cfRule type="expression" dxfId="5329" priority="390">
      <formula>SEARCH("INTERROTTO",$M44)&gt;0</formula>
    </cfRule>
  </conditionalFormatting>
  <conditionalFormatting sqref="E43:G43 M43:S43">
    <cfRule type="expression" dxfId="5328" priority="379">
      <formula>SEARCH("IN CORSO",$M43)&gt;0</formula>
    </cfRule>
    <cfRule type="expression" dxfId="5327" priority="380">
      <formula>SEARCH("CHIUSO",$M43)&gt;0</formula>
    </cfRule>
    <cfRule type="expression" dxfId="5326" priority="381">
      <formula>SEARCH("EMESSO",$M43)&gt;0</formula>
    </cfRule>
    <cfRule type="expression" dxfId="5325" priority="382">
      <formula>SEARCH("RICHIESTO",$M43)&gt;0</formula>
    </cfRule>
    <cfRule type="expression" dxfId="5324" priority="383">
      <formula>SEARCH("DA CHIUDERE",$M43)&gt;0</formula>
    </cfRule>
    <cfRule type="expression" dxfId="5323" priority="384">
      <formula>SEARCH("INTERROTTO",$M43)&gt;0</formula>
    </cfRule>
  </conditionalFormatting>
  <conditionalFormatting sqref="E42:G42 M42:S42">
    <cfRule type="expression" dxfId="5322" priority="373">
      <formula>SEARCH("IN CORSO",$M42)&gt;0</formula>
    </cfRule>
    <cfRule type="expression" dxfId="5321" priority="374">
      <formula>SEARCH("CHIUSO",$M42)&gt;0</formula>
    </cfRule>
    <cfRule type="expression" dxfId="5320" priority="375">
      <formula>SEARCH("EMESSO",$M42)&gt;0</formula>
    </cfRule>
    <cfRule type="expression" dxfId="5319" priority="376">
      <formula>SEARCH("RICHIESTO",$M42)&gt;0</formula>
    </cfRule>
    <cfRule type="expression" dxfId="5318" priority="377">
      <formula>SEARCH("DA CHIUDERE",$M42)&gt;0</formula>
    </cfRule>
    <cfRule type="expression" dxfId="5317" priority="378">
      <formula>SEARCH("INTERROTTO",$M42)&gt;0</formula>
    </cfRule>
  </conditionalFormatting>
  <conditionalFormatting sqref="E41:G41 M41:S41">
    <cfRule type="expression" dxfId="5316" priority="367">
      <formula>SEARCH("IN CORSO",$M41)&gt;0</formula>
    </cfRule>
    <cfRule type="expression" dxfId="5315" priority="368">
      <formula>SEARCH("CHIUSO",$M41)&gt;0</formula>
    </cfRule>
    <cfRule type="expression" dxfId="5314" priority="369">
      <formula>SEARCH("EMESSO",$M41)&gt;0</formula>
    </cfRule>
    <cfRule type="expression" dxfId="5313" priority="370">
      <formula>SEARCH("RICHIESTO",$M41)&gt;0</formula>
    </cfRule>
    <cfRule type="expression" dxfId="5312" priority="371">
      <formula>SEARCH("DA CHIUDERE",$M41)&gt;0</formula>
    </cfRule>
    <cfRule type="expression" dxfId="5311" priority="372">
      <formula>SEARCH("INTERROTTO",$M41)&gt;0</formula>
    </cfRule>
  </conditionalFormatting>
  <conditionalFormatting sqref="E40:G40 M40:S40">
    <cfRule type="expression" dxfId="5310" priority="361">
      <formula>SEARCH("IN CORSO",$M40)&gt;0</formula>
    </cfRule>
    <cfRule type="expression" dxfId="5309" priority="362">
      <formula>SEARCH("CHIUSO",$M40)&gt;0</formula>
    </cfRule>
    <cfRule type="expression" dxfId="5308" priority="363">
      <formula>SEARCH("EMESSO",$M40)&gt;0</formula>
    </cfRule>
    <cfRule type="expression" dxfId="5307" priority="364">
      <formula>SEARCH("RICHIESTO",$M40)&gt;0</formula>
    </cfRule>
    <cfRule type="expression" dxfId="5306" priority="365">
      <formula>SEARCH("DA CHIUDERE",$M40)&gt;0</formula>
    </cfRule>
    <cfRule type="expression" dxfId="5305" priority="366">
      <formula>SEARCH("INTERROTTO",$M40)&gt;0</formula>
    </cfRule>
  </conditionalFormatting>
  <conditionalFormatting sqref="E39:G39 M39:S39">
    <cfRule type="expression" dxfId="5304" priority="355">
      <formula>SEARCH("IN CORSO",$M39)&gt;0</formula>
    </cfRule>
    <cfRule type="expression" dxfId="5303" priority="356">
      <formula>SEARCH("CHIUSO",$M39)&gt;0</formula>
    </cfRule>
    <cfRule type="expression" dxfId="5302" priority="357">
      <formula>SEARCH("EMESSO",$M39)&gt;0</formula>
    </cfRule>
    <cfRule type="expression" dxfId="5301" priority="358">
      <formula>SEARCH("RICHIESTO",$M39)&gt;0</formula>
    </cfRule>
    <cfRule type="expression" dxfId="5300" priority="359">
      <formula>SEARCH("DA CHIUDERE",$M39)&gt;0</formula>
    </cfRule>
    <cfRule type="expression" dxfId="5299" priority="360">
      <formula>SEARCH("INTERROTTO",$M39)&gt;0</formula>
    </cfRule>
  </conditionalFormatting>
  <conditionalFormatting sqref="E38:G38 M38:S38">
    <cfRule type="expression" dxfId="5298" priority="349">
      <formula>SEARCH("IN CORSO",$M38)&gt;0</formula>
    </cfRule>
    <cfRule type="expression" dxfId="5297" priority="350">
      <formula>SEARCH("CHIUSO",$M38)&gt;0</formula>
    </cfRule>
    <cfRule type="expression" dxfId="5296" priority="351">
      <formula>SEARCH("EMESSO",$M38)&gt;0</formula>
    </cfRule>
    <cfRule type="expression" dxfId="5295" priority="352">
      <formula>SEARCH("RICHIESTO",$M38)&gt;0</formula>
    </cfRule>
    <cfRule type="expression" dxfId="5294" priority="353">
      <formula>SEARCH("DA CHIUDERE",$M38)&gt;0</formula>
    </cfRule>
    <cfRule type="expression" dxfId="5293" priority="354">
      <formula>SEARCH("INTERROTTO",$M38)&gt;0</formula>
    </cfRule>
  </conditionalFormatting>
  <conditionalFormatting sqref="E37:G37 M37:S37">
    <cfRule type="expression" dxfId="5292" priority="343">
      <formula>SEARCH("IN CORSO",$M37)&gt;0</formula>
    </cfRule>
    <cfRule type="expression" dxfId="5291" priority="344">
      <formula>SEARCH("CHIUSO",$M37)&gt;0</formula>
    </cfRule>
    <cfRule type="expression" dxfId="5290" priority="345">
      <formula>SEARCH("EMESSO",$M37)&gt;0</formula>
    </cfRule>
    <cfRule type="expression" dxfId="5289" priority="346">
      <formula>SEARCH("RICHIESTO",$M37)&gt;0</formula>
    </cfRule>
    <cfRule type="expression" dxfId="5288" priority="347">
      <formula>SEARCH("DA CHIUDERE",$M37)&gt;0</formula>
    </cfRule>
    <cfRule type="expression" dxfId="5287" priority="348">
      <formula>SEARCH("INTERROTTO",$M37)&gt;0</formula>
    </cfRule>
  </conditionalFormatting>
  <conditionalFormatting sqref="E36:G36 M36:S36">
    <cfRule type="expression" dxfId="5286" priority="337">
      <formula>SEARCH("IN CORSO",$M36)&gt;0</formula>
    </cfRule>
    <cfRule type="expression" dxfId="5285" priority="338">
      <formula>SEARCH("CHIUSO",$M36)&gt;0</formula>
    </cfRule>
    <cfRule type="expression" dxfId="5284" priority="339">
      <formula>SEARCH("EMESSO",$M36)&gt;0</formula>
    </cfRule>
    <cfRule type="expression" dxfId="5283" priority="340">
      <formula>SEARCH("RICHIESTO",$M36)&gt;0</formula>
    </cfRule>
    <cfRule type="expression" dxfId="5282" priority="341">
      <formula>SEARCH("DA CHIUDERE",$M36)&gt;0</formula>
    </cfRule>
    <cfRule type="expression" dxfId="5281" priority="342">
      <formula>SEARCH("INTERROTTO",$M36)&gt;0</formula>
    </cfRule>
  </conditionalFormatting>
  <conditionalFormatting sqref="R197:S198">
    <cfRule type="expression" dxfId="5280" priority="331">
      <formula>SEARCH("IN CORSO",$M197)&gt;0</formula>
    </cfRule>
    <cfRule type="expression" dxfId="5279" priority="332">
      <formula>SEARCH("CHIUSO",$M197)&gt;0</formula>
    </cfRule>
    <cfRule type="expression" dxfId="5278" priority="333">
      <formula>SEARCH("EMESSO",$M197)&gt;0</formula>
    </cfRule>
    <cfRule type="expression" dxfId="5277" priority="334">
      <formula>SEARCH("RICHIESTO",$M197)&gt;0</formula>
    </cfRule>
    <cfRule type="expression" dxfId="5276" priority="335">
      <formula>SEARCH("DA CHIUDERE",$M197)&gt;0</formula>
    </cfRule>
    <cfRule type="expression" dxfId="5275" priority="336">
      <formula>SEARCH("INTERROTTO",$M197)&gt;0</formula>
    </cfRule>
  </conditionalFormatting>
  <conditionalFormatting sqref="M198">
    <cfRule type="expression" dxfId="5274" priority="325">
      <formula>SEARCH("IN CORSO",$M198)&gt;0</formula>
    </cfRule>
    <cfRule type="expression" dxfId="5273" priority="326">
      <formula>SEARCH("CHIUSO",$M198)&gt;0</formula>
    </cfRule>
    <cfRule type="expression" dxfId="5272" priority="327">
      <formula>SEARCH("EMESSO",$M198)&gt;0</formula>
    </cfRule>
    <cfRule type="expression" dxfId="5271" priority="328">
      <formula>SEARCH("RICHIESTO",$M198)&gt;0</formula>
    </cfRule>
    <cfRule type="expression" dxfId="5270" priority="329">
      <formula>SEARCH("DA CHIUDERE",$M198)&gt;0</formula>
    </cfRule>
    <cfRule type="expression" dxfId="5269" priority="330">
      <formula>SEARCH("INTERROTTO",$M198)&gt;0</formula>
    </cfRule>
  </conditionalFormatting>
  <conditionalFormatting sqref="E35:G35 M35:S35">
    <cfRule type="expression" dxfId="5268" priority="319">
      <formula>SEARCH("IN CORSO",$M35)&gt;0</formula>
    </cfRule>
    <cfRule type="expression" dxfId="5267" priority="320">
      <formula>SEARCH("CHIUSO",$M35)&gt;0</formula>
    </cfRule>
    <cfRule type="expression" dxfId="5266" priority="321">
      <formula>SEARCH("EMESSO",$M35)&gt;0</formula>
    </cfRule>
    <cfRule type="expression" dxfId="5265" priority="322">
      <formula>SEARCH("RICHIESTO",$M35)&gt;0</formula>
    </cfRule>
    <cfRule type="expression" dxfId="5264" priority="323">
      <formula>SEARCH("DA CHIUDERE",$M35)&gt;0</formula>
    </cfRule>
    <cfRule type="expression" dxfId="5263" priority="324">
      <formula>SEARCH("INTERROTTO",$M35)&gt;0</formula>
    </cfRule>
  </conditionalFormatting>
  <conditionalFormatting sqref="E34:G34 M34:S34">
    <cfRule type="expression" dxfId="5262" priority="313">
      <formula>SEARCH("IN CORSO",$M34)&gt;0</formula>
    </cfRule>
    <cfRule type="expression" dxfId="5261" priority="314">
      <formula>SEARCH("CHIUSO",$M34)&gt;0</formula>
    </cfRule>
    <cfRule type="expression" dxfId="5260" priority="315">
      <formula>SEARCH("EMESSO",$M34)&gt;0</formula>
    </cfRule>
    <cfRule type="expression" dxfId="5259" priority="316">
      <formula>SEARCH("RICHIESTO",$M34)&gt;0</formula>
    </cfRule>
    <cfRule type="expression" dxfId="5258" priority="317">
      <formula>SEARCH("DA CHIUDERE",$M34)&gt;0</formula>
    </cfRule>
    <cfRule type="expression" dxfId="5257" priority="318">
      <formula>SEARCH("INTERROTTO",$M34)&gt;0</formula>
    </cfRule>
  </conditionalFormatting>
  <conditionalFormatting sqref="E33:G33 M33:S33">
    <cfRule type="expression" dxfId="5256" priority="307">
      <formula>SEARCH("IN CORSO",$M33)&gt;0</formula>
    </cfRule>
    <cfRule type="expression" dxfId="5255" priority="308">
      <formula>SEARCH("CHIUSO",$M33)&gt;0</formula>
    </cfRule>
    <cfRule type="expression" dxfId="5254" priority="309">
      <formula>SEARCH("EMESSO",$M33)&gt;0</formula>
    </cfRule>
    <cfRule type="expression" dxfId="5253" priority="310">
      <formula>SEARCH("RICHIESTO",$M33)&gt;0</formula>
    </cfRule>
    <cfRule type="expression" dxfId="5252" priority="311">
      <formula>SEARCH("DA CHIUDERE",$M33)&gt;0</formula>
    </cfRule>
    <cfRule type="expression" dxfId="5251" priority="312">
      <formula>SEARCH("INTERROTTO",$M33)&gt;0</formula>
    </cfRule>
  </conditionalFormatting>
  <conditionalFormatting sqref="E32:G32 M32:S32">
    <cfRule type="expression" dxfId="5250" priority="301">
      <formula>SEARCH("IN CORSO",$M32)&gt;0</formula>
    </cfRule>
    <cfRule type="expression" dxfId="5249" priority="302">
      <formula>SEARCH("CHIUSO",$M32)&gt;0</formula>
    </cfRule>
    <cfRule type="expression" dxfId="5248" priority="303">
      <formula>SEARCH("EMESSO",$M32)&gt;0</formula>
    </cfRule>
    <cfRule type="expression" dxfId="5247" priority="304">
      <formula>SEARCH("RICHIESTO",$M32)&gt;0</formula>
    </cfRule>
    <cfRule type="expression" dxfId="5246" priority="305">
      <formula>SEARCH("DA CHIUDERE",$M32)&gt;0</formula>
    </cfRule>
    <cfRule type="expression" dxfId="5245" priority="306">
      <formula>SEARCH("INTERROTTO",$M32)&gt;0</formula>
    </cfRule>
  </conditionalFormatting>
  <conditionalFormatting sqref="E31:G31 M31:S31">
    <cfRule type="expression" dxfId="5244" priority="295">
      <formula>SEARCH("IN CORSO",$M31)&gt;0</formula>
    </cfRule>
    <cfRule type="expression" dxfId="5243" priority="296">
      <formula>SEARCH("CHIUSO",$M31)&gt;0</formula>
    </cfRule>
    <cfRule type="expression" dxfId="5242" priority="297">
      <formula>SEARCH("EMESSO",$M31)&gt;0</formula>
    </cfRule>
    <cfRule type="expression" dxfId="5241" priority="298">
      <formula>SEARCH("RICHIESTO",$M31)&gt;0</formula>
    </cfRule>
    <cfRule type="expression" dxfId="5240" priority="299">
      <formula>SEARCH("DA CHIUDERE",$M31)&gt;0</formula>
    </cfRule>
    <cfRule type="expression" dxfId="5239" priority="300">
      <formula>SEARCH("INTERROTTO",$M31)&gt;0</formula>
    </cfRule>
  </conditionalFormatting>
  <conditionalFormatting sqref="E30:G30 M30:S30">
    <cfRule type="expression" dxfId="5238" priority="289">
      <formula>SEARCH("IN CORSO",$M30)&gt;0</formula>
    </cfRule>
    <cfRule type="expression" dxfId="5237" priority="290">
      <formula>SEARCH("CHIUSO",$M30)&gt;0</formula>
    </cfRule>
    <cfRule type="expression" dxfId="5236" priority="291">
      <formula>SEARCH("EMESSO",$M30)&gt;0</formula>
    </cfRule>
    <cfRule type="expression" dxfId="5235" priority="292">
      <formula>SEARCH("RICHIESTO",$M30)&gt;0</formula>
    </cfRule>
    <cfRule type="expression" dxfId="5234" priority="293">
      <formula>SEARCH("DA CHIUDERE",$M30)&gt;0</formula>
    </cfRule>
    <cfRule type="expression" dxfId="5233" priority="294">
      <formula>SEARCH("INTERROTTO",$M30)&gt;0</formula>
    </cfRule>
  </conditionalFormatting>
  <conditionalFormatting sqref="E29:G29 M29:S29">
    <cfRule type="expression" dxfId="5232" priority="283">
      <formula>SEARCH("IN CORSO",$M29)&gt;0</formula>
    </cfRule>
    <cfRule type="expression" dxfId="5231" priority="284">
      <formula>SEARCH("CHIUSO",$M29)&gt;0</formula>
    </cfRule>
    <cfRule type="expression" dxfId="5230" priority="285">
      <formula>SEARCH("EMESSO",$M29)&gt;0</formula>
    </cfRule>
    <cfRule type="expression" dxfId="5229" priority="286">
      <formula>SEARCH("RICHIESTO",$M29)&gt;0</formula>
    </cfRule>
    <cfRule type="expression" dxfId="5228" priority="287">
      <formula>SEARCH("DA CHIUDERE",$M29)&gt;0</formula>
    </cfRule>
    <cfRule type="expression" dxfId="5227" priority="288">
      <formula>SEARCH("INTERROTTO",$M29)&gt;0</formula>
    </cfRule>
  </conditionalFormatting>
  <conditionalFormatting sqref="E28:G28 M28:S28">
    <cfRule type="expression" dxfId="5226" priority="277">
      <formula>SEARCH("IN CORSO",$M28)&gt;0</formula>
    </cfRule>
    <cfRule type="expression" dxfId="5225" priority="278">
      <formula>SEARCH("CHIUSO",$M28)&gt;0</formula>
    </cfRule>
    <cfRule type="expression" dxfId="5224" priority="279">
      <formula>SEARCH("EMESSO",$M28)&gt;0</formula>
    </cfRule>
    <cfRule type="expression" dxfId="5223" priority="280">
      <formula>SEARCH("RICHIESTO",$M28)&gt;0</formula>
    </cfRule>
    <cfRule type="expression" dxfId="5222" priority="281">
      <formula>SEARCH("DA CHIUDERE",$M28)&gt;0</formula>
    </cfRule>
    <cfRule type="expression" dxfId="5221" priority="282">
      <formula>SEARCH("INTERROTTO",$M28)&gt;0</formula>
    </cfRule>
  </conditionalFormatting>
  <conditionalFormatting sqref="E27:G27 M27:S27">
    <cfRule type="expression" dxfId="5220" priority="271">
      <formula>SEARCH("IN CORSO",$M27)&gt;0</formula>
    </cfRule>
    <cfRule type="expression" dxfId="5219" priority="272">
      <formula>SEARCH("CHIUSO",$M27)&gt;0</formula>
    </cfRule>
    <cfRule type="expression" dxfId="5218" priority="273">
      <formula>SEARCH("EMESSO",$M27)&gt;0</formula>
    </cfRule>
    <cfRule type="expression" dxfId="5217" priority="274">
      <formula>SEARCH("RICHIESTO",$M27)&gt;0</formula>
    </cfRule>
    <cfRule type="expression" dxfId="5216" priority="275">
      <formula>SEARCH("DA CHIUDERE",$M27)&gt;0</formula>
    </cfRule>
    <cfRule type="expression" dxfId="5215" priority="276">
      <formula>SEARCH("INTERROTTO",$M27)&gt;0</formula>
    </cfRule>
  </conditionalFormatting>
  <conditionalFormatting sqref="E26:G26 M26:S26">
    <cfRule type="expression" dxfId="5214" priority="265">
      <formula>SEARCH("IN CORSO",$M26)&gt;0</formula>
    </cfRule>
    <cfRule type="expression" dxfId="5213" priority="266">
      <formula>SEARCH("CHIUSO",$M26)&gt;0</formula>
    </cfRule>
    <cfRule type="expression" dxfId="5212" priority="267">
      <formula>SEARCH("EMESSO",$M26)&gt;0</formula>
    </cfRule>
    <cfRule type="expression" dxfId="5211" priority="268">
      <formula>SEARCH("RICHIESTO",$M26)&gt;0</formula>
    </cfRule>
    <cfRule type="expression" dxfId="5210" priority="269">
      <formula>SEARCH("DA CHIUDERE",$M26)&gt;0</formula>
    </cfRule>
    <cfRule type="expression" dxfId="5209" priority="270">
      <formula>SEARCH("INTERROTTO",$M26)&gt;0</formula>
    </cfRule>
  </conditionalFormatting>
  <conditionalFormatting sqref="E25:G25 M25:S25">
    <cfRule type="expression" dxfId="5208" priority="259">
      <formula>SEARCH("IN CORSO",$M25)&gt;0</formula>
    </cfRule>
    <cfRule type="expression" dxfId="5207" priority="260">
      <formula>SEARCH("CHIUSO",$M25)&gt;0</formula>
    </cfRule>
    <cfRule type="expression" dxfId="5206" priority="261">
      <formula>SEARCH("EMESSO",$M25)&gt;0</formula>
    </cfRule>
    <cfRule type="expression" dxfId="5205" priority="262">
      <formula>SEARCH("RICHIESTO",$M25)&gt;0</formula>
    </cfRule>
    <cfRule type="expression" dxfId="5204" priority="263">
      <formula>SEARCH("DA CHIUDERE",$M25)&gt;0</formula>
    </cfRule>
    <cfRule type="expression" dxfId="5203" priority="264">
      <formula>SEARCH("INTERROTTO",$M25)&gt;0</formula>
    </cfRule>
  </conditionalFormatting>
  <conditionalFormatting sqref="E24:G24 M24:S24">
    <cfRule type="expression" dxfId="5202" priority="253">
      <formula>SEARCH("IN CORSO",$M24)&gt;0</formula>
    </cfRule>
    <cfRule type="expression" dxfId="5201" priority="254">
      <formula>SEARCH("CHIUSO",$M24)&gt;0</formula>
    </cfRule>
    <cfRule type="expression" dxfId="5200" priority="255">
      <formula>SEARCH("EMESSO",$M24)&gt;0</formula>
    </cfRule>
    <cfRule type="expression" dxfId="5199" priority="256">
      <formula>SEARCH("RICHIESTO",$M24)&gt;0</formula>
    </cfRule>
    <cfRule type="expression" dxfId="5198" priority="257">
      <formula>SEARCH("DA CHIUDERE",$M24)&gt;0</formula>
    </cfRule>
    <cfRule type="expression" dxfId="5197" priority="258">
      <formula>SEARCH("INTERROTTO",$M24)&gt;0</formula>
    </cfRule>
  </conditionalFormatting>
  <conditionalFormatting sqref="E23:G23 M23:S23">
    <cfRule type="expression" dxfId="5196" priority="247">
      <formula>SEARCH("IN CORSO",$M23)&gt;0</formula>
    </cfRule>
    <cfRule type="expression" dxfId="5195" priority="248">
      <formula>SEARCH("CHIUSO",$M23)&gt;0</formula>
    </cfRule>
    <cfRule type="expression" dxfId="5194" priority="249">
      <formula>SEARCH("EMESSO",$M23)&gt;0</formula>
    </cfRule>
    <cfRule type="expression" dxfId="5193" priority="250">
      <formula>SEARCH("RICHIESTO",$M23)&gt;0</formula>
    </cfRule>
    <cfRule type="expression" dxfId="5192" priority="251">
      <formula>SEARCH("DA CHIUDERE",$M23)&gt;0</formula>
    </cfRule>
    <cfRule type="expression" dxfId="5191" priority="252">
      <formula>SEARCH("INTERROTTO",$M23)&gt;0</formula>
    </cfRule>
  </conditionalFormatting>
  <conditionalFormatting sqref="E22:G22 M22:S22">
    <cfRule type="expression" dxfId="5190" priority="241">
      <formula>SEARCH("IN CORSO",$M22)&gt;0</formula>
    </cfRule>
    <cfRule type="expression" dxfId="5189" priority="242">
      <formula>SEARCH("CHIUSO",$M22)&gt;0</formula>
    </cfRule>
    <cfRule type="expression" dxfId="5188" priority="243">
      <formula>SEARCH("EMESSO",$M22)&gt;0</formula>
    </cfRule>
    <cfRule type="expression" dxfId="5187" priority="244">
      <formula>SEARCH("RICHIESTO",$M22)&gt;0</formula>
    </cfRule>
    <cfRule type="expression" dxfId="5186" priority="245">
      <formula>SEARCH("DA CHIUDERE",$M22)&gt;0</formula>
    </cfRule>
    <cfRule type="expression" dxfId="5185" priority="246">
      <formula>SEARCH("INTERROTTO",$M22)&gt;0</formula>
    </cfRule>
  </conditionalFormatting>
  <conditionalFormatting sqref="E21:G21 M21:S21">
    <cfRule type="expression" dxfId="5184" priority="235">
      <formula>SEARCH("IN CORSO",$M21)&gt;0</formula>
    </cfRule>
    <cfRule type="expression" dxfId="5183" priority="236">
      <formula>SEARCH("CHIUSO",$M21)&gt;0</formula>
    </cfRule>
    <cfRule type="expression" dxfId="5182" priority="237">
      <formula>SEARCH("EMESSO",$M21)&gt;0</formula>
    </cfRule>
    <cfRule type="expression" dxfId="5181" priority="238">
      <formula>SEARCH("RICHIESTO",$M21)&gt;0</formula>
    </cfRule>
    <cfRule type="expression" dxfId="5180" priority="239">
      <formula>SEARCH("DA CHIUDERE",$M21)&gt;0</formula>
    </cfRule>
    <cfRule type="expression" dxfId="5179" priority="240">
      <formula>SEARCH("INTERROTTO",$M21)&gt;0</formula>
    </cfRule>
  </conditionalFormatting>
  <conditionalFormatting sqref="S6">
    <cfRule type="expression" dxfId="5178" priority="37">
      <formula>SEARCH("IN CORSO",$M6)&gt;0</formula>
    </cfRule>
    <cfRule type="expression" dxfId="5177" priority="38">
      <formula>SEARCH("CHIUSO",$M6)&gt;0</formula>
    </cfRule>
    <cfRule type="expression" dxfId="5176" priority="39">
      <formula>SEARCH("EMESSO",$M6)&gt;0</formula>
    </cfRule>
    <cfRule type="expression" dxfId="5175" priority="40">
      <formula>SEARCH("RICHIESTO",$M6)&gt;0</formula>
    </cfRule>
    <cfRule type="expression" dxfId="5174" priority="41">
      <formula>SEARCH("DA CHIUDERE",$M6)&gt;0</formula>
    </cfRule>
    <cfRule type="expression" dxfId="5173" priority="42">
      <formula>SEARCH("INTERROTTO",$M6)&gt;0</formula>
    </cfRule>
  </conditionalFormatting>
  <conditionalFormatting sqref="E6:G6 N6:R6">
    <cfRule type="expression" dxfId="5172" priority="49">
      <formula>SEARCH("IN CORSO",$M6)&gt;0</formula>
    </cfRule>
    <cfRule type="expression" dxfId="5171" priority="50">
      <formula>SEARCH("CHIUSO",$M6)&gt;0</formula>
    </cfRule>
    <cfRule type="expression" dxfId="5170" priority="51">
      <formula>SEARCH("EMESSO",$M6)&gt;0</formula>
    </cfRule>
    <cfRule type="expression" dxfId="5169" priority="52">
      <formula>SEARCH("RICHIESTO",$M6)&gt;0</formula>
    </cfRule>
    <cfRule type="expression" dxfId="5168" priority="53">
      <formula>SEARCH("DA CHIUDERE",$M6)&gt;0</formula>
    </cfRule>
    <cfRule type="expression" dxfId="5167" priority="54">
      <formula>SEARCH("INTERROTTO",$M6)&gt;0</formula>
    </cfRule>
  </conditionalFormatting>
  <conditionalFormatting sqref="M6">
    <cfRule type="expression" dxfId="5166" priority="43">
      <formula>SEARCH("IN CORSO",$M6)&gt;0</formula>
    </cfRule>
    <cfRule type="expression" dxfId="5165" priority="44">
      <formula>SEARCH("CHIUSO",$M6)&gt;0</formula>
    </cfRule>
    <cfRule type="expression" dxfId="5164" priority="45">
      <formula>SEARCH("EMESSO",$M6)&gt;0</formula>
    </cfRule>
    <cfRule type="expression" dxfId="5163" priority="46">
      <formula>SEARCH("RICHIESTO",$M6)&gt;0</formula>
    </cfRule>
    <cfRule type="expression" dxfId="5162" priority="47">
      <formula>SEARCH("DA CHIUDERE",$M6)&gt;0</formula>
    </cfRule>
    <cfRule type="expression" dxfId="5161" priority="48">
      <formula>SEARCH("INTERROTTO",$M6)&gt;0</formula>
    </cfRule>
  </conditionalFormatting>
  <conditionalFormatting sqref="S5">
    <cfRule type="expression" dxfId="5160" priority="19">
      <formula>SEARCH("IN CORSO",$M5)&gt;0</formula>
    </cfRule>
    <cfRule type="expression" dxfId="5159" priority="20">
      <formula>SEARCH("CHIUSO",$M5)&gt;0</formula>
    </cfRule>
    <cfRule type="expression" dxfId="5158" priority="21">
      <formula>SEARCH("EMESSO",$M5)&gt;0</formula>
    </cfRule>
    <cfRule type="expression" dxfId="5157" priority="22">
      <formula>SEARCH("RICHIESTO",$M5)&gt;0</formula>
    </cfRule>
    <cfRule type="expression" dxfId="5156" priority="23">
      <formula>SEARCH("DA CHIUDERE",$M5)&gt;0</formula>
    </cfRule>
    <cfRule type="expression" dxfId="5155" priority="24">
      <formula>SEARCH("INTERROTTO",$M5)&gt;0</formula>
    </cfRule>
  </conditionalFormatting>
  <conditionalFormatting sqref="E5:G5 N5:R5">
    <cfRule type="expression" dxfId="5154" priority="31">
      <formula>SEARCH("IN CORSO",$M5)&gt;0</formula>
    </cfRule>
    <cfRule type="expression" dxfId="5153" priority="32">
      <formula>SEARCH("CHIUSO",$M5)&gt;0</formula>
    </cfRule>
    <cfRule type="expression" dxfId="5152" priority="33">
      <formula>SEARCH("EMESSO",$M5)&gt;0</formula>
    </cfRule>
    <cfRule type="expression" dxfId="5151" priority="34">
      <formula>SEARCH("RICHIESTO",$M5)&gt;0</formula>
    </cfRule>
    <cfRule type="expression" dxfId="5150" priority="35">
      <formula>SEARCH("DA CHIUDERE",$M5)&gt;0</formula>
    </cfRule>
    <cfRule type="expression" dxfId="5149" priority="36">
      <formula>SEARCH("INTERROTTO",$M5)&gt;0</formula>
    </cfRule>
  </conditionalFormatting>
  <conditionalFormatting sqref="M5">
    <cfRule type="expression" dxfId="5148" priority="25">
      <formula>SEARCH("IN CORSO",$M5)&gt;0</formula>
    </cfRule>
    <cfRule type="expression" dxfId="5147" priority="26">
      <formula>SEARCH("CHIUSO",$M5)&gt;0</formula>
    </cfRule>
    <cfRule type="expression" dxfId="5146" priority="27">
      <formula>SEARCH("EMESSO",$M5)&gt;0</formula>
    </cfRule>
    <cfRule type="expression" dxfId="5145" priority="28">
      <formula>SEARCH("RICHIESTO",$M5)&gt;0</formula>
    </cfRule>
    <cfRule type="expression" dxfId="5144" priority="29">
      <formula>SEARCH("DA CHIUDERE",$M5)&gt;0</formula>
    </cfRule>
    <cfRule type="expression" dxfId="5143" priority="30">
      <formula>SEARCH("INTERROTTO",$M5)&gt;0</formula>
    </cfRule>
  </conditionalFormatting>
  <conditionalFormatting sqref="S4">
    <cfRule type="expression" dxfId="5142" priority="1">
      <formula>SEARCH("IN CORSO",$M4)&gt;0</formula>
    </cfRule>
    <cfRule type="expression" dxfId="5141" priority="2">
      <formula>SEARCH("CHIUSO",$M4)&gt;0</formula>
    </cfRule>
    <cfRule type="expression" dxfId="5140" priority="3">
      <formula>SEARCH("EMESSO",$M4)&gt;0</formula>
    </cfRule>
    <cfRule type="expression" dxfId="5139" priority="4">
      <formula>SEARCH("RICHIESTO",$M4)&gt;0</formula>
    </cfRule>
    <cfRule type="expression" dxfId="5138" priority="5">
      <formula>SEARCH("DA CHIUDERE",$M4)&gt;0</formula>
    </cfRule>
    <cfRule type="expression" dxfId="5137" priority="6">
      <formula>SEARCH("INTERROTTO",$M4)&gt;0</formula>
    </cfRule>
  </conditionalFormatting>
  <conditionalFormatting sqref="E4:G4 N4:R4">
    <cfRule type="expression" dxfId="5136" priority="13">
      <formula>SEARCH("IN CORSO",$M4)&gt;0</formula>
    </cfRule>
    <cfRule type="expression" dxfId="5135" priority="14">
      <formula>SEARCH("CHIUSO",$M4)&gt;0</formula>
    </cfRule>
    <cfRule type="expression" dxfId="5134" priority="15">
      <formula>SEARCH("EMESSO",$M4)&gt;0</formula>
    </cfRule>
    <cfRule type="expression" dxfId="5133" priority="16">
      <formula>SEARCH("RICHIESTO",$M4)&gt;0</formula>
    </cfRule>
    <cfRule type="expression" dxfId="5132" priority="17">
      <formula>SEARCH("DA CHIUDERE",$M4)&gt;0</formula>
    </cfRule>
    <cfRule type="expression" dxfId="5131" priority="18">
      <formula>SEARCH("INTERROTTO",$M4)&gt;0</formula>
    </cfRule>
  </conditionalFormatting>
  <conditionalFormatting sqref="M4">
    <cfRule type="expression" dxfId="5130" priority="7">
      <formula>SEARCH("IN CORSO",$M4)&gt;0</formula>
    </cfRule>
    <cfRule type="expression" dxfId="5129" priority="8">
      <formula>SEARCH("CHIUSO",$M4)&gt;0</formula>
    </cfRule>
    <cfRule type="expression" dxfId="5128" priority="9">
      <formula>SEARCH("EMESSO",$M4)&gt;0</formula>
    </cfRule>
    <cfRule type="expression" dxfId="5127" priority="10">
      <formula>SEARCH("RICHIESTO",$M4)&gt;0</formula>
    </cfRule>
    <cfRule type="expression" dxfId="5126" priority="11">
      <formula>SEARCH("DA CHIUDERE",$M4)&gt;0</formula>
    </cfRule>
    <cfRule type="expression" dxfId="5125" priority="12">
      <formula>SEARCH("INTERROTTO",$M4)&gt;0</formula>
    </cfRule>
  </conditionalFormatting>
  <dataValidations count="3">
    <dataValidation type="list" allowBlank="1" showInputMessage="1" showErrorMessage="1" sqref="M4:M198" xr:uid="{AF33A9C2-9A75-41DF-850D-14999E21CB53}">
      <formula1>"RICHIESTO,EMESSO,IN CORSO,INTERROTTO,DA CHIUDERE,SCADUTO,CHIUSO,"</formula1>
    </dataValidation>
    <dataValidation type="list" allowBlank="1" showInputMessage="1" showErrorMessage="1" sqref="N87:P87" xr:uid="{0B5F96A0-F0DB-4E22-9AA5-0FE6869DD826}">
      <formula1>"DA PROCESSARE,DA APRIRE,IN CORSO,TERMINATA,SOSPESO,PERMESSO CHIUSO,"</formula1>
    </dataValidation>
    <dataValidation type="list" allowBlank="1" showInputMessage="1" showErrorMessage="1" sqref="N186:P187 N189:P198" xr:uid="{93272D67-F727-4CC7-8840-F7E9E1E3FE91}">
      <formula1>"DA PROCESSARE,DA APRIRE,APERTO,TERMINATA,SOSPESO,PERMESSO CHIUSO,"</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80" r:id="rId4" name="Button 656">
              <controlPr defaultSize="0" print="0" autoFill="0" autoPict="0" macro="[0]!AggiungiRiga">
                <anchor moveWithCells="1" sizeWithCells="1">
                  <from>
                    <xdr:col>0</xdr:col>
                    <xdr:colOff>9525</xdr:colOff>
                    <xdr:row>0</xdr:row>
                    <xdr:rowOff>1047750</xdr:rowOff>
                  </from>
                  <to>
                    <xdr:col>3</xdr:col>
                    <xdr:colOff>466725</xdr:colOff>
                    <xdr:row>0</xdr:row>
                    <xdr:rowOff>1314450</xdr:rowOff>
                  </to>
                </anchor>
              </controlPr>
            </control>
          </mc:Choice>
        </mc:AlternateContent>
        <mc:AlternateContent xmlns:mc="http://schemas.openxmlformats.org/markup-compatibility/2006">
          <mc:Choice Requires="x14">
            <control shapeId="102838" r:id="rId5" name="Button 3510">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102839" r:id="rId6" name="Button 3511">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102840" r:id="rId7" name="Button 3512">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102841" r:id="rId8" name="Button 3513">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102842" r:id="rId9" name="Button 3514">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103166" r:id="rId10" name="Button 3838">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103167" r:id="rId11" name="Button 3839">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103168" r:id="rId12" name="Button 3840">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103169" r:id="rId13" name="Button 3841">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103170" r:id="rId14" name="Button 3842">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103171" r:id="rId15" name="Button 3843">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controls>
    </mc:Choice>
  </mc:AlternateContent>
  <tableParts count="1">
    <tablePart r:id="rId1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oglio12">
    <tabColor theme="3"/>
    <pageSetUpPr fitToPage="1"/>
  </sheetPr>
  <dimension ref="A1:V487"/>
  <sheetViews>
    <sheetView topLeftCell="A468" zoomScale="85" zoomScaleNormal="85" workbookViewId="0">
      <selection activeCell="A4" sqref="A4:U487"/>
    </sheetView>
  </sheetViews>
  <sheetFormatPr defaultColWidth="8.75" defaultRowHeight="15" x14ac:dyDescent="0.25"/>
  <cols>
    <col min="1" max="1" width="3.125" style="8" customWidth="1"/>
    <col min="2" max="3" width="3.125" style="5" customWidth="1"/>
    <col min="4" max="4" width="6.625" style="5" customWidth="1"/>
    <col min="5" max="5" width="9" style="5" customWidth="1"/>
    <col min="6" max="6" width="7.5" style="5" customWidth="1"/>
    <col min="7" max="7" width="70.625" style="5" customWidth="1"/>
    <col min="8" max="9" width="9.125" style="5" customWidth="1"/>
    <col min="10" max="11" width="9.125" style="4" customWidth="1"/>
    <col min="12" max="12" width="9.125" style="6" customWidth="1"/>
    <col min="13" max="13" width="13.75" style="6" customWidth="1"/>
    <col min="14" max="14" width="6.375" style="7" customWidth="1"/>
    <col min="15" max="15" width="6.375" style="28" customWidth="1"/>
    <col min="16" max="16" width="6.375" style="7" customWidth="1"/>
    <col min="17" max="17" width="55.625" style="7" customWidth="1"/>
    <col min="18" max="18" width="11" style="7" bestFit="1" customWidth="1"/>
    <col min="19" max="19" width="13.125" style="7" customWidth="1"/>
    <col min="20" max="20" width="3.125" style="7" customWidth="1"/>
    <col min="21" max="21" width="8.75" style="7" customWidth="1"/>
    <col min="22" max="22" width="17.25" style="7" customWidth="1"/>
    <col min="23" max="16384" width="8.75" style="7"/>
  </cols>
  <sheetData>
    <row r="1" spans="1:22" ht="128.1" customHeight="1" x14ac:dyDescent="0.35">
      <c r="A1" s="193"/>
      <c r="B1" s="193"/>
      <c r="C1" s="193"/>
      <c r="D1" s="193"/>
      <c r="G1" s="10"/>
      <c r="L1" s="19"/>
      <c r="M1" s="39"/>
      <c r="Q1" s="44" t="s">
        <v>109</v>
      </c>
    </row>
    <row r="2" spans="1:22" ht="21" x14ac:dyDescent="0.35">
      <c r="A2" s="7"/>
      <c r="B2" s="7"/>
      <c r="C2" s="7"/>
      <c r="D2" s="7"/>
      <c r="E2" s="17" t="s">
        <v>13</v>
      </c>
      <c r="F2" s="10">
        <f>'Inserimento dati'!B5</f>
        <v>2025</v>
      </c>
      <c r="G2" s="38" t="str">
        <f ca="1">"REDATTO IL " &amp; TEXT(INDIRECT("'Inserimento dati'!B3"), "gg/mm/aaaa")</f>
        <v>REDATTO IL 25/10/2025</v>
      </c>
      <c r="H2" s="11">
        <f ca="1">INDIRECT("'Inserimento dati'!B1")</f>
        <v>45957</v>
      </c>
      <c r="I2" s="11">
        <f ca="1">H2 + 1</f>
        <v>45958</v>
      </c>
      <c r="J2" s="11">
        <f ca="1">I2 + 1</f>
        <v>45959</v>
      </c>
      <c r="K2" s="11">
        <f ca="1">J2 + 1</f>
        <v>45960</v>
      </c>
      <c r="L2" s="11">
        <f ca="1">K2 + 1</f>
        <v>45961</v>
      </c>
      <c r="M2" s="26"/>
      <c r="N2" s="194" t="s">
        <v>50</v>
      </c>
      <c r="O2" s="194"/>
      <c r="P2" s="194"/>
      <c r="Q2" s="21"/>
    </row>
    <row r="3" spans="1:22" s="13" customFormat="1" ht="38.25" x14ac:dyDescent="0.2">
      <c r="A3" s="114" t="s">
        <v>53</v>
      </c>
      <c r="B3" s="115" t="s">
        <v>54</v>
      </c>
      <c r="C3" s="122" t="s">
        <v>32</v>
      </c>
      <c r="D3" s="119" t="s">
        <v>0</v>
      </c>
      <c r="E3" s="119" t="s">
        <v>1</v>
      </c>
      <c r="F3" s="119" t="s">
        <v>2</v>
      </c>
      <c r="G3" s="119" t="s">
        <v>16</v>
      </c>
      <c r="H3" s="117" t="s">
        <v>3</v>
      </c>
      <c r="I3" s="117" t="s">
        <v>4</v>
      </c>
      <c r="J3" s="117" t="s">
        <v>5</v>
      </c>
      <c r="K3" s="117" t="s">
        <v>6</v>
      </c>
      <c r="L3" s="117" t="s">
        <v>7</v>
      </c>
      <c r="M3" s="117" t="s">
        <v>18</v>
      </c>
      <c r="N3" s="117" t="s">
        <v>39</v>
      </c>
      <c r="O3" s="117" t="s">
        <v>40</v>
      </c>
      <c r="P3" s="117" t="s">
        <v>41</v>
      </c>
      <c r="Q3" s="117" t="s">
        <v>14</v>
      </c>
      <c r="R3" s="118" t="s">
        <v>15</v>
      </c>
      <c r="S3" s="117" t="s">
        <v>17</v>
      </c>
      <c r="T3" s="123" t="s">
        <v>33</v>
      </c>
      <c r="U3" s="124" t="s">
        <v>61</v>
      </c>
      <c r="V3" s="13" t="s">
        <v>141</v>
      </c>
    </row>
    <row r="4" spans="1:22" s="13" customFormat="1" ht="30" x14ac:dyDescent="0.2">
      <c r="A4" s="84" t="s">
        <v>8</v>
      </c>
      <c r="B4" s="84"/>
      <c r="C4" s="84" t="str">
        <f>IF(OR(Tabella3[[#This Row],[LUN]]="X",Tabella3[[#This Row],[MAR]]="X",Tabella3[[#This Row],[MER]]="X",Tabella3[[#This Row],[GIO]]="X",Tabella3[[#This Row],[VEN]]="X",),"X","")</f>
        <v/>
      </c>
      <c r="D4" s="85" t="s">
        <v>10</v>
      </c>
      <c r="E4" s="81" t="s">
        <v>2366</v>
      </c>
      <c r="F4" s="81">
        <v>1200</v>
      </c>
      <c r="G4" s="81" t="s">
        <v>2367</v>
      </c>
      <c r="H4" s="83"/>
      <c r="I4" s="83"/>
      <c r="J4" s="83"/>
      <c r="K4" s="83"/>
      <c r="L4" s="83"/>
      <c r="M4" s="81" t="s">
        <v>3529</v>
      </c>
      <c r="N4" s="85"/>
      <c r="O4" s="85"/>
      <c r="P4" s="81"/>
      <c r="Q4" s="81" t="s">
        <v>2365</v>
      </c>
      <c r="R4" s="82"/>
      <c r="S4" s="81"/>
      <c r="T4" s="132" t="str">
        <f ca="1">IF(AND('Inserimento dati'!$B$3=$H$2, Tabella3[[#This Row],[LUN]]="X"), "X",IF(AND('Inserimento dati'!$B$3=$I$2, Tabella3[[#This Row],[MAR]]="X"), "X", IF(AND('Inserimento dati'!$B$3=$J$2, Tabella3[[#This Row],[MER]]="X"), "X",IF(AND('Inserimento dati'!$B$3=$K$2, Tabella3[[#This Row],[GIO]]="X"), "X", IF(AND('Inserimento dati'!$B$3=$L$2, Tabella3[[#This Row],[VEN]]="X"), "X","")))))</f>
        <v/>
      </c>
      <c r="U4" s="126" t="str">
        <f t="shared" ref="U4:U67" ca="1" si="0">IFERROR(MID(G4,_xlfn.AGGREGATE(15,6,(ROW(INDIRECT("1:"&amp;LEN(G4)-7)))/(ISNUMBER(--MID(G4,ROW(INDIRECT("1:"&amp;LEN(G4)-7)),8))),1),8),"")</f>
        <v/>
      </c>
      <c r="V4" s="109">
        <v>45955.390833333331</v>
      </c>
    </row>
    <row r="5" spans="1:22" s="13" customFormat="1" ht="60" x14ac:dyDescent="0.2">
      <c r="A5" s="84"/>
      <c r="B5" s="84"/>
      <c r="C5" s="84" t="str">
        <f>IF(OR(Tabella3[[#This Row],[LUN]]="X",Tabella3[[#This Row],[MAR]]="X",Tabella3[[#This Row],[MER]]="X",Tabella3[[#This Row],[GIO]]="X",Tabella3[[#This Row],[VEN]]="X",),"X","")</f>
        <v>X</v>
      </c>
      <c r="D5" s="85" t="s">
        <v>10</v>
      </c>
      <c r="E5" s="81" t="s">
        <v>1493</v>
      </c>
      <c r="F5" s="81" t="s">
        <v>199</v>
      </c>
      <c r="G5" s="81" t="s">
        <v>1494</v>
      </c>
      <c r="H5" s="83"/>
      <c r="I5" s="83"/>
      <c r="J5" s="83" t="s">
        <v>8</v>
      </c>
      <c r="K5" s="83" t="s">
        <v>8</v>
      </c>
      <c r="L5" s="83" t="s">
        <v>8</v>
      </c>
      <c r="M5" s="81" t="s">
        <v>52</v>
      </c>
      <c r="N5" s="85"/>
      <c r="O5" s="85"/>
      <c r="P5" s="81"/>
      <c r="Q5" s="81" t="s">
        <v>1495</v>
      </c>
      <c r="R5" s="82">
        <v>45951</v>
      </c>
      <c r="S5" s="81" t="s">
        <v>45</v>
      </c>
      <c r="T5" s="132" t="str">
        <f ca="1">IF(AND('Inserimento dati'!$B$3=$H$2, Tabella3[[#This Row],[LUN]]="X"), "X",IF(AND('Inserimento dati'!$B$3=$I$2, Tabella3[[#This Row],[MAR]]="X"), "X", IF(AND('Inserimento dati'!$B$3=$J$2, Tabella3[[#This Row],[MER]]="X"), "X",IF(AND('Inserimento dati'!$B$3=$K$2, Tabella3[[#This Row],[GIO]]="X"), "X", IF(AND('Inserimento dati'!$B$3=$L$2, Tabella3[[#This Row],[VEN]]="X"), "X","")))))</f>
        <v/>
      </c>
      <c r="U5" s="133" t="str">
        <f t="shared" ca="1" si="0"/>
        <v/>
      </c>
      <c r="V5" s="109">
        <v>45955.389247685183</v>
      </c>
    </row>
    <row r="6" spans="1:22" s="13" customFormat="1" ht="30" x14ac:dyDescent="0.2">
      <c r="A6" s="84"/>
      <c r="B6" s="84"/>
      <c r="C6" s="84" t="str">
        <f>IF(OR(Tabella3[[#This Row],[LUN]]="X",Tabella3[[#This Row],[MAR]]="X",Tabella3[[#This Row],[MER]]="X",Tabella3[[#This Row],[GIO]]="X",Tabella3[[#This Row],[VEN]]="X",),"X","")</f>
        <v/>
      </c>
      <c r="D6" s="85" t="s">
        <v>10</v>
      </c>
      <c r="E6" s="81" t="s">
        <v>1496</v>
      </c>
      <c r="F6" s="81">
        <v>800</v>
      </c>
      <c r="G6" s="81" t="s">
        <v>1497</v>
      </c>
      <c r="H6" s="83"/>
      <c r="I6" s="83"/>
      <c r="J6" s="83"/>
      <c r="K6" s="83"/>
      <c r="L6" s="83"/>
      <c r="M6" s="81" t="s">
        <v>52</v>
      </c>
      <c r="N6" s="85"/>
      <c r="O6" s="85"/>
      <c r="P6" s="81"/>
      <c r="Q6" s="81" t="s">
        <v>1498</v>
      </c>
      <c r="R6" s="82">
        <v>45947</v>
      </c>
      <c r="S6" s="81" t="s">
        <v>227</v>
      </c>
      <c r="T6" s="132" t="str">
        <f ca="1">IF(AND('Inserimento dati'!$B$3=$H$2, Tabella3[[#This Row],[LUN]]="X"), "X",IF(AND('Inserimento dati'!$B$3=$I$2, Tabella3[[#This Row],[MAR]]="X"), "X", IF(AND('Inserimento dati'!$B$3=$J$2, Tabella3[[#This Row],[MER]]="X"), "X",IF(AND('Inserimento dati'!$B$3=$K$2, Tabella3[[#This Row],[GIO]]="X"), "X", IF(AND('Inserimento dati'!$B$3=$L$2, Tabella3[[#This Row],[VEN]]="X"), "X","")))))</f>
        <v/>
      </c>
      <c r="U6" s="133" t="str">
        <f t="shared" ca="1" si="0"/>
        <v/>
      </c>
      <c r="V6" s="109">
        <v>45955.388437499998</v>
      </c>
    </row>
    <row r="7" spans="1:22" s="13" customFormat="1" ht="30" x14ac:dyDescent="0.2">
      <c r="A7" s="84"/>
      <c r="B7" s="84"/>
      <c r="C7" s="84" t="str">
        <f>IF(OR(Tabella3[[#This Row],[LUN]]="X",Tabella3[[#This Row],[MAR]]="X",Tabella3[[#This Row],[MER]]="X",Tabella3[[#This Row],[GIO]]="X",Tabella3[[#This Row],[VEN]]="X",),"X","")</f>
        <v/>
      </c>
      <c r="D7" s="85" t="s">
        <v>10</v>
      </c>
      <c r="E7" s="81" t="s">
        <v>1499</v>
      </c>
      <c r="F7" s="81">
        <v>800</v>
      </c>
      <c r="G7" s="81" t="s">
        <v>1500</v>
      </c>
      <c r="H7" s="83"/>
      <c r="I7" s="83"/>
      <c r="J7" s="83"/>
      <c r="K7" s="83"/>
      <c r="L7" s="83"/>
      <c r="M7" s="81" t="s">
        <v>52</v>
      </c>
      <c r="N7" s="85"/>
      <c r="O7" s="85"/>
      <c r="P7" s="81"/>
      <c r="Q7" s="81" t="s">
        <v>1501</v>
      </c>
      <c r="R7" s="82">
        <v>45917</v>
      </c>
      <c r="S7" s="81" t="s">
        <v>23</v>
      </c>
      <c r="T7" s="132" t="str">
        <f ca="1">IF(AND('Inserimento dati'!$B$3=$H$2, Tabella3[[#This Row],[LUN]]="X"), "X",IF(AND('Inserimento dati'!$B$3=$I$2, Tabella3[[#This Row],[MAR]]="X"), "X", IF(AND('Inserimento dati'!$B$3=$J$2, Tabella3[[#This Row],[MER]]="X"), "X",IF(AND('Inserimento dati'!$B$3=$K$2, Tabella3[[#This Row],[GIO]]="X"), "X", IF(AND('Inserimento dati'!$B$3=$L$2, Tabella3[[#This Row],[VEN]]="X"), "X","")))))</f>
        <v/>
      </c>
      <c r="U7" s="126" t="str">
        <f t="shared" ca="1" si="0"/>
        <v>10230468</v>
      </c>
      <c r="V7" s="109">
        <v>45954.284120370372</v>
      </c>
    </row>
    <row r="8" spans="1:22" s="13" customFormat="1" ht="23.25" x14ac:dyDescent="0.2">
      <c r="A8" s="84"/>
      <c r="B8" s="84"/>
      <c r="C8" s="84" t="str">
        <f>IF(OR(Tabella3[[#This Row],[LUN]]="X",Tabella3[[#This Row],[MAR]]="X",Tabella3[[#This Row],[MER]]="X",Tabella3[[#This Row],[GIO]]="X",Tabella3[[#This Row],[VEN]]="X",),"X","")</f>
        <v/>
      </c>
      <c r="D8" s="85" t="s">
        <v>10</v>
      </c>
      <c r="E8" s="81" t="s">
        <v>1502</v>
      </c>
      <c r="F8" s="81">
        <v>1800</v>
      </c>
      <c r="G8" s="81" t="s">
        <v>1503</v>
      </c>
      <c r="H8" s="83"/>
      <c r="I8" s="83"/>
      <c r="J8" s="83"/>
      <c r="K8" s="83"/>
      <c r="L8" s="83"/>
      <c r="M8" s="81" t="s">
        <v>52</v>
      </c>
      <c r="N8" s="85"/>
      <c r="O8" s="85"/>
      <c r="P8" s="81"/>
      <c r="Q8" s="81" t="s">
        <v>1504</v>
      </c>
      <c r="R8" s="82">
        <v>45873</v>
      </c>
      <c r="S8" s="81"/>
      <c r="T8" s="132" t="str">
        <f ca="1">IF(AND('Inserimento dati'!$B$3=$H$2, Tabella3[[#This Row],[LUN]]="X"), "X",IF(AND('Inserimento dati'!$B$3=$I$2, Tabella3[[#This Row],[MAR]]="X"), "X", IF(AND('Inserimento dati'!$B$3=$J$2, Tabella3[[#This Row],[MER]]="X"), "X",IF(AND('Inserimento dati'!$B$3=$K$2, Tabella3[[#This Row],[GIO]]="X"), "X", IF(AND('Inserimento dati'!$B$3=$L$2, Tabella3[[#This Row],[VEN]]="X"), "X","")))))</f>
        <v/>
      </c>
      <c r="U8" s="126" t="str">
        <f t="shared" ca="1" si="0"/>
        <v/>
      </c>
      <c r="V8" s="109">
        <v>45953.686874999999</v>
      </c>
    </row>
    <row r="9" spans="1:22" s="13" customFormat="1" ht="30" x14ac:dyDescent="0.2">
      <c r="A9" s="84"/>
      <c r="B9" s="84"/>
      <c r="C9" s="84" t="str">
        <f>IF(OR(Tabella3[[#This Row],[LUN]]="X",Tabella3[[#This Row],[MAR]]="X",Tabella3[[#This Row],[MER]]="X",Tabella3[[#This Row],[GIO]]="X",Tabella3[[#This Row],[VEN]]="X",),"X","")</f>
        <v/>
      </c>
      <c r="D9" s="85" t="s">
        <v>10</v>
      </c>
      <c r="E9" s="81" t="s">
        <v>1505</v>
      </c>
      <c r="F9" s="81">
        <v>1800</v>
      </c>
      <c r="G9" s="81" t="s">
        <v>1506</v>
      </c>
      <c r="H9" s="83"/>
      <c r="I9" s="83"/>
      <c r="J9" s="83"/>
      <c r="K9" s="83"/>
      <c r="L9" s="83"/>
      <c r="M9" s="81" t="s">
        <v>52</v>
      </c>
      <c r="N9" s="85"/>
      <c r="O9" s="85"/>
      <c r="P9" s="81"/>
      <c r="Q9" s="81" t="s">
        <v>1507</v>
      </c>
      <c r="R9" s="82">
        <v>45883</v>
      </c>
      <c r="S9" s="81" t="s">
        <v>1508</v>
      </c>
      <c r="T9" s="132" t="str">
        <f ca="1">IF(AND('Inserimento dati'!$B$3=$H$2, Tabella3[[#This Row],[LUN]]="X"), "X",IF(AND('Inserimento dati'!$B$3=$I$2, Tabella3[[#This Row],[MAR]]="X"), "X", IF(AND('Inserimento dati'!$B$3=$J$2, Tabella3[[#This Row],[MER]]="X"), "X",IF(AND('Inserimento dati'!$B$3=$K$2, Tabella3[[#This Row],[GIO]]="X"), "X", IF(AND('Inserimento dati'!$B$3=$L$2, Tabella3[[#This Row],[VEN]]="X"), "X","")))))</f>
        <v/>
      </c>
      <c r="U9" s="126" t="str">
        <f t="shared" ca="1" si="0"/>
        <v>10227289</v>
      </c>
      <c r="V9" s="109">
        <v>45953.686863425923</v>
      </c>
    </row>
    <row r="10" spans="1:22" s="13" customFormat="1" ht="30" x14ac:dyDescent="0.2">
      <c r="A10" s="84"/>
      <c r="B10" s="84"/>
      <c r="C10" s="84" t="str">
        <f>IF(OR(Tabella3[[#This Row],[LUN]]="X",Tabella3[[#This Row],[MAR]]="X",Tabella3[[#This Row],[MER]]="X",Tabella3[[#This Row],[GIO]]="X",Tabella3[[#This Row],[VEN]]="X",),"X","")</f>
        <v/>
      </c>
      <c r="D10" s="85" t="s">
        <v>10</v>
      </c>
      <c r="E10" s="81" t="s">
        <v>1509</v>
      </c>
      <c r="F10" s="81" t="s">
        <v>160</v>
      </c>
      <c r="G10" s="81" t="s">
        <v>1510</v>
      </c>
      <c r="H10" s="83"/>
      <c r="I10" s="83"/>
      <c r="J10" s="83"/>
      <c r="K10" s="83"/>
      <c r="L10" s="83"/>
      <c r="M10" s="81" t="s">
        <v>52</v>
      </c>
      <c r="N10" s="85"/>
      <c r="O10" s="85"/>
      <c r="P10" s="81"/>
      <c r="Q10" s="81" t="s">
        <v>1511</v>
      </c>
      <c r="R10" s="82">
        <v>45888</v>
      </c>
      <c r="S10" s="81" t="s">
        <v>23</v>
      </c>
      <c r="T10" s="132" t="str">
        <f ca="1">IF(AND('Inserimento dati'!$B$3=$H$2, Tabella3[[#This Row],[LUN]]="X"), "X",IF(AND('Inserimento dati'!$B$3=$I$2, Tabella3[[#This Row],[MAR]]="X"), "X", IF(AND('Inserimento dati'!$B$3=$J$2, Tabella3[[#This Row],[MER]]="X"), "X",IF(AND('Inserimento dati'!$B$3=$K$2, Tabella3[[#This Row],[GIO]]="X"), "X", IF(AND('Inserimento dati'!$B$3=$L$2, Tabella3[[#This Row],[VEN]]="X"), "X","")))))</f>
        <v/>
      </c>
      <c r="U10" s="126" t="str">
        <f t="shared" ca="1" si="0"/>
        <v>10229081</v>
      </c>
      <c r="V10" s="109">
        <v>45953.686840277776</v>
      </c>
    </row>
    <row r="11" spans="1:22" s="13" customFormat="1" ht="30" x14ac:dyDescent="0.2">
      <c r="A11" s="84"/>
      <c r="B11" s="84"/>
      <c r="C11" s="84" t="str">
        <f>IF(OR(Tabella3[[#This Row],[LUN]]="X",Tabella3[[#This Row],[MAR]]="X",Tabella3[[#This Row],[MER]]="X",Tabella3[[#This Row],[GIO]]="X",Tabella3[[#This Row],[VEN]]="X",),"X","")</f>
        <v/>
      </c>
      <c r="D11" s="85" t="s">
        <v>10</v>
      </c>
      <c r="E11" s="81" t="s">
        <v>1512</v>
      </c>
      <c r="F11" s="81">
        <v>1200</v>
      </c>
      <c r="G11" s="81" t="s">
        <v>1513</v>
      </c>
      <c r="H11" s="83"/>
      <c r="I11" s="83"/>
      <c r="J11" s="83"/>
      <c r="K11" s="83"/>
      <c r="L11" s="83"/>
      <c r="M11" s="81" t="s">
        <v>52</v>
      </c>
      <c r="N11" s="85"/>
      <c r="O11" s="85"/>
      <c r="P11" s="81"/>
      <c r="Q11" s="81" t="s">
        <v>1514</v>
      </c>
      <c r="R11" s="82">
        <v>45881</v>
      </c>
      <c r="S11" s="81" t="s">
        <v>735</v>
      </c>
      <c r="T11" s="132" t="str">
        <f ca="1">IF(AND('Inserimento dati'!$B$3=$H$2, Tabella3[[#This Row],[LUN]]="X"), "X",IF(AND('Inserimento dati'!$B$3=$I$2, Tabella3[[#This Row],[MAR]]="X"), "X", IF(AND('Inserimento dati'!$B$3=$J$2, Tabella3[[#This Row],[MER]]="X"), "X",IF(AND('Inserimento dati'!$B$3=$K$2, Tabella3[[#This Row],[GIO]]="X"), "X", IF(AND('Inserimento dati'!$B$3=$L$2, Tabella3[[#This Row],[VEN]]="X"), "X","")))))</f>
        <v/>
      </c>
      <c r="U11" s="126" t="str">
        <f t="shared" ca="1" si="0"/>
        <v/>
      </c>
      <c r="V11" s="109">
        <v>45953.68681712963</v>
      </c>
    </row>
    <row r="12" spans="1:22" s="13" customFormat="1" ht="45" x14ac:dyDescent="0.2">
      <c r="A12" s="84"/>
      <c r="B12" s="84"/>
      <c r="C12" s="84" t="str">
        <f>IF(OR(Tabella3[[#This Row],[LUN]]="X",Tabella3[[#This Row],[MAR]]="X",Tabella3[[#This Row],[MER]]="X",Tabella3[[#This Row],[GIO]]="X",Tabella3[[#This Row],[VEN]]="X",),"X","")</f>
        <v/>
      </c>
      <c r="D12" s="85" t="s">
        <v>10</v>
      </c>
      <c r="E12" s="81" t="s">
        <v>1515</v>
      </c>
      <c r="F12" s="81">
        <v>800</v>
      </c>
      <c r="G12" s="81" t="s">
        <v>1516</v>
      </c>
      <c r="H12" s="83"/>
      <c r="I12" s="83"/>
      <c r="J12" s="83"/>
      <c r="K12" s="83"/>
      <c r="L12" s="83"/>
      <c r="M12" s="81" t="s">
        <v>52</v>
      </c>
      <c r="N12" s="85"/>
      <c r="O12" s="85"/>
      <c r="P12" s="81"/>
      <c r="Q12" s="81" t="s">
        <v>1517</v>
      </c>
      <c r="R12" s="82">
        <v>45881</v>
      </c>
      <c r="S12" s="81" t="s">
        <v>23</v>
      </c>
      <c r="T12" s="132" t="str">
        <f ca="1">IF(AND('Inserimento dati'!$B$3=$H$2, Tabella3[[#This Row],[LUN]]="X"), "X",IF(AND('Inserimento dati'!$B$3=$I$2, Tabella3[[#This Row],[MAR]]="X"), "X", IF(AND('Inserimento dati'!$B$3=$J$2, Tabella3[[#This Row],[MER]]="X"), "X",IF(AND('Inserimento dati'!$B$3=$K$2, Tabella3[[#This Row],[GIO]]="X"), "X", IF(AND('Inserimento dati'!$B$3=$L$2, Tabella3[[#This Row],[VEN]]="X"), "X","")))))</f>
        <v/>
      </c>
      <c r="U12" s="126" t="str">
        <f t="shared" ca="1" si="0"/>
        <v>10228738</v>
      </c>
      <c r="V12" s="109">
        <v>45953.576018518521</v>
      </c>
    </row>
    <row r="13" spans="1:22" s="13" customFormat="1" ht="23.25" x14ac:dyDescent="0.2">
      <c r="A13" s="84"/>
      <c r="B13" s="84"/>
      <c r="C13" s="84" t="str">
        <f>IF(OR(Tabella3[[#This Row],[LUN]]="X",Tabella3[[#This Row],[MAR]]="X",Tabella3[[#This Row],[MER]]="X",Tabella3[[#This Row],[GIO]]="X",Tabella3[[#This Row],[VEN]]="X",),"X","")</f>
        <v/>
      </c>
      <c r="D13" s="85" t="s">
        <v>10</v>
      </c>
      <c r="E13" s="81" t="s">
        <v>1518</v>
      </c>
      <c r="F13" s="81">
        <v>1100</v>
      </c>
      <c r="G13" s="81" t="s">
        <v>1519</v>
      </c>
      <c r="H13" s="83"/>
      <c r="I13" s="83"/>
      <c r="J13" s="83"/>
      <c r="K13" s="83"/>
      <c r="L13" s="83"/>
      <c r="M13" s="81" t="s">
        <v>52</v>
      </c>
      <c r="N13" s="85"/>
      <c r="O13" s="85"/>
      <c r="P13" s="81"/>
      <c r="Q13" s="81" t="s">
        <v>1520</v>
      </c>
      <c r="R13" s="82">
        <v>45869</v>
      </c>
      <c r="S13" s="81" t="s">
        <v>45</v>
      </c>
      <c r="T13" s="132" t="str">
        <f ca="1">IF(AND('Inserimento dati'!$B$3=$H$2, Tabella3[[#This Row],[LUN]]="X"), "X",IF(AND('Inserimento dati'!$B$3=$I$2, Tabella3[[#This Row],[MAR]]="X"), "X", IF(AND('Inserimento dati'!$B$3=$J$2, Tabella3[[#This Row],[MER]]="X"), "X",IF(AND('Inserimento dati'!$B$3=$K$2, Tabella3[[#This Row],[GIO]]="X"), "X", IF(AND('Inserimento dati'!$B$3=$L$2, Tabella3[[#This Row],[VEN]]="X"), "X","")))))</f>
        <v/>
      </c>
      <c r="U13" s="126" t="str">
        <f t="shared" ca="1" si="0"/>
        <v>10228192</v>
      </c>
      <c r="V13" s="109">
        <v>45953.575983796298</v>
      </c>
    </row>
    <row r="14" spans="1:22" s="13" customFormat="1" ht="23.25" x14ac:dyDescent="0.2">
      <c r="A14" s="84"/>
      <c r="B14" s="84">
        <v>3</v>
      </c>
      <c r="C14" s="84" t="str">
        <f>IF(OR(Tabella3[[#This Row],[LUN]]="X",Tabella3[[#This Row],[MAR]]="X",Tabella3[[#This Row],[MER]]="X",Tabella3[[#This Row],[GIO]]="X",Tabella3[[#This Row],[VEN]]="X",),"X","")</f>
        <v/>
      </c>
      <c r="D14" s="85" t="s">
        <v>10</v>
      </c>
      <c r="E14" s="81" t="s">
        <v>1521</v>
      </c>
      <c r="F14" s="81" t="s">
        <v>198</v>
      </c>
      <c r="G14" s="81" t="s">
        <v>1522</v>
      </c>
      <c r="H14" s="83"/>
      <c r="I14" s="83"/>
      <c r="J14" s="83"/>
      <c r="K14" s="83"/>
      <c r="L14" s="83"/>
      <c r="M14" s="81" t="s">
        <v>52</v>
      </c>
      <c r="N14" s="85"/>
      <c r="O14" s="85"/>
      <c r="P14" s="81"/>
      <c r="Q14" s="81" t="s">
        <v>1523</v>
      </c>
      <c r="R14" s="82">
        <v>45812</v>
      </c>
      <c r="S14" s="81" t="s">
        <v>674</v>
      </c>
      <c r="T14" s="132" t="str">
        <f ca="1">IF(AND('Inserimento dati'!$B$3=$H$2, Tabella3[[#This Row],[LUN]]="X"), "X",IF(AND('Inserimento dati'!$B$3=$I$2, Tabella3[[#This Row],[MAR]]="X"), "X", IF(AND('Inserimento dati'!$B$3=$J$2, Tabella3[[#This Row],[MER]]="X"), "X",IF(AND('Inserimento dati'!$B$3=$K$2, Tabella3[[#This Row],[GIO]]="X"), "X", IF(AND('Inserimento dati'!$B$3=$L$2, Tabella3[[#This Row],[VEN]]="X"), "X","")))))</f>
        <v/>
      </c>
      <c r="U14" s="144" t="str">
        <f t="shared" ca="1" si="0"/>
        <v/>
      </c>
      <c r="V14" s="109">
        <v>45953.575949074075</v>
      </c>
    </row>
    <row r="15" spans="1:22" s="13" customFormat="1" ht="30" x14ac:dyDescent="0.2">
      <c r="A15" s="84"/>
      <c r="B15" s="84">
        <v>3</v>
      </c>
      <c r="C15" s="84" t="str">
        <f>IF(OR(Tabella3[[#This Row],[LUN]]="X",Tabella3[[#This Row],[MAR]]="X",Tabella3[[#This Row],[MER]]="X",Tabella3[[#This Row],[GIO]]="X",Tabella3[[#This Row],[VEN]]="X",),"X","")</f>
        <v/>
      </c>
      <c r="D15" s="85" t="s">
        <v>10</v>
      </c>
      <c r="E15" s="81" t="s">
        <v>1524</v>
      </c>
      <c r="F15" s="81">
        <v>800</v>
      </c>
      <c r="G15" s="81" t="s">
        <v>1525</v>
      </c>
      <c r="H15" s="83"/>
      <c r="I15" s="83"/>
      <c r="J15" s="83"/>
      <c r="K15" s="83"/>
      <c r="L15" s="83"/>
      <c r="M15" s="81" t="s">
        <v>52</v>
      </c>
      <c r="N15" s="85"/>
      <c r="O15" s="85"/>
      <c r="P15" s="81"/>
      <c r="Q15" s="81" t="s">
        <v>1526</v>
      </c>
      <c r="R15" s="82">
        <v>45825</v>
      </c>
      <c r="S15" s="81" t="s">
        <v>1403</v>
      </c>
      <c r="T15" s="150" t="str">
        <f ca="1">IF(AND('Inserimento dati'!$B$3=$H$2, Tabella3[[#This Row],[LUN]]="X"), "X",IF(AND('Inserimento dati'!$B$3=$I$2, Tabella3[[#This Row],[MAR]]="X"), "X", IF(AND('Inserimento dati'!$B$3=$J$2, Tabella3[[#This Row],[MER]]="X"), "X",IF(AND('Inserimento dati'!$B$3=$K$2, Tabella3[[#This Row],[GIO]]="X"), "X", IF(AND('Inserimento dati'!$B$3=$L$2, Tabella3[[#This Row],[VEN]]="X"), "X","")))))</f>
        <v/>
      </c>
      <c r="U15" s="144" t="str">
        <f t="shared" ca="1" si="0"/>
        <v xml:space="preserve"> 1022278</v>
      </c>
      <c r="V15" s="109">
        <v>45953.575914351852</v>
      </c>
    </row>
    <row r="16" spans="1:22" s="13" customFormat="1" ht="30" x14ac:dyDescent="0.2">
      <c r="A16" s="84"/>
      <c r="B16" s="84" t="str">
        <f t="shared" ref="B16:B21" si="1">IF(OR(A16="x",A16="X"),"",IF(ISBLANK(A16),"X",""))</f>
        <v>X</v>
      </c>
      <c r="C16" s="84" t="str">
        <f>IF(OR(Tabella3[[#This Row],[LUN]]="X",Tabella3[[#This Row],[MAR]]="X",Tabella3[[#This Row],[MER]]="X",Tabella3[[#This Row],[GIO]]="X",Tabella3[[#This Row],[VEN]]="X",),"X","")</f>
        <v/>
      </c>
      <c r="D16" s="85" t="s">
        <v>10</v>
      </c>
      <c r="E16" s="81" t="s">
        <v>1527</v>
      </c>
      <c r="F16" s="81">
        <v>1200</v>
      </c>
      <c r="G16" s="81" t="s">
        <v>1528</v>
      </c>
      <c r="H16" s="83"/>
      <c r="I16" s="83"/>
      <c r="J16" s="83"/>
      <c r="K16" s="83"/>
      <c r="L16" s="83"/>
      <c r="M16" s="81" t="s">
        <v>52</v>
      </c>
      <c r="N16" s="85"/>
      <c r="O16" s="85"/>
      <c r="P16" s="81"/>
      <c r="Q16" s="81" t="s">
        <v>725</v>
      </c>
      <c r="R16" s="82">
        <v>45763</v>
      </c>
      <c r="S16" s="81" t="s">
        <v>238</v>
      </c>
      <c r="T16" s="132" t="str">
        <f ca="1">IF(AND('Inserimento dati'!$B$3=$H$2, Tabella3[[#This Row],[LUN]]="X"), "X",IF(AND('Inserimento dati'!$B$3=$I$2, Tabella3[[#This Row],[MAR]]="X"), "X", IF(AND('Inserimento dati'!$B$3=$J$2, Tabella3[[#This Row],[MER]]="X"), "X",IF(AND('Inserimento dati'!$B$3=$K$2, Tabella3[[#This Row],[GIO]]="X"), "X", IF(AND('Inserimento dati'!$B$3=$L$2, Tabella3[[#This Row],[VEN]]="X"), "X","")))))</f>
        <v/>
      </c>
      <c r="U16" s="144" t="str">
        <f t="shared" ca="1" si="0"/>
        <v/>
      </c>
      <c r="V16" s="109">
        <v>45953.575868055559</v>
      </c>
    </row>
    <row r="17" spans="1:22" s="13" customFormat="1" ht="23.25" x14ac:dyDescent="0.2">
      <c r="A17" s="84"/>
      <c r="B17" s="84" t="str">
        <f t="shared" si="1"/>
        <v>X</v>
      </c>
      <c r="C17" s="84" t="str">
        <f>IF(OR(Tabella3[[#This Row],[LUN]]="X",Tabella3[[#This Row],[MAR]]="X",Tabella3[[#This Row],[MER]]="X",Tabella3[[#This Row],[GIO]]="X",Tabella3[[#This Row],[VEN]]="X",),"X","")</f>
        <v/>
      </c>
      <c r="D17" s="85" t="s">
        <v>10</v>
      </c>
      <c r="E17" s="81" t="s">
        <v>1529</v>
      </c>
      <c r="F17" s="81">
        <v>1200</v>
      </c>
      <c r="G17" s="81" t="s">
        <v>1530</v>
      </c>
      <c r="H17" s="83"/>
      <c r="I17" s="83"/>
      <c r="J17" s="83"/>
      <c r="K17" s="83"/>
      <c r="L17" s="83"/>
      <c r="M17" s="81" t="s">
        <v>52</v>
      </c>
      <c r="N17" s="85"/>
      <c r="O17" s="85"/>
      <c r="P17" s="81"/>
      <c r="Q17" s="81" t="s">
        <v>725</v>
      </c>
      <c r="R17" s="82">
        <v>45763</v>
      </c>
      <c r="S17" s="81" t="s">
        <v>238</v>
      </c>
      <c r="T17" s="132" t="str">
        <f ca="1">IF(AND('Inserimento dati'!$B$3=$H$2, Tabella3[[#This Row],[LUN]]="X"), "X",IF(AND('Inserimento dati'!$B$3=$I$2, Tabella3[[#This Row],[MAR]]="X"), "X", IF(AND('Inserimento dati'!$B$3=$J$2, Tabella3[[#This Row],[MER]]="X"), "X",IF(AND('Inserimento dati'!$B$3=$K$2, Tabella3[[#This Row],[GIO]]="X"), "X", IF(AND('Inserimento dati'!$B$3=$L$2, Tabella3[[#This Row],[VEN]]="X"), "X","")))))</f>
        <v/>
      </c>
      <c r="U17" s="144" t="str">
        <f t="shared" ca="1" si="0"/>
        <v/>
      </c>
      <c r="V17" s="109">
        <v>45953.575833333336</v>
      </c>
    </row>
    <row r="18" spans="1:22" s="13" customFormat="1" ht="23.25" x14ac:dyDescent="0.2">
      <c r="A18" s="84"/>
      <c r="B18" s="84" t="str">
        <f t="shared" si="1"/>
        <v>X</v>
      </c>
      <c r="C18" s="84" t="str">
        <f>IF(OR(Tabella3[[#This Row],[LUN]]="X",Tabella3[[#This Row],[MAR]]="X",Tabella3[[#This Row],[MER]]="X",Tabella3[[#This Row],[GIO]]="X",Tabella3[[#This Row],[VEN]]="X",),"X","")</f>
        <v/>
      </c>
      <c r="D18" s="85" t="s">
        <v>10</v>
      </c>
      <c r="E18" s="81" t="s">
        <v>1531</v>
      </c>
      <c r="F18" s="81" t="s">
        <v>106</v>
      </c>
      <c r="G18" s="81" t="s">
        <v>1532</v>
      </c>
      <c r="H18" s="83"/>
      <c r="I18" s="83"/>
      <c r="J18" s="83"/>
      <c r="K18" s="83"/>
      <c r="L18" s="83"/>
      <c r="M18" s="81" t="s">
        <v>52</v>
      </c>
      <c r="N18" s="85"/>
      <c r="O18" s="85"/>
      <c r="P18" s="81"/>
      <c r="Q18" s="81" t="s">
        <v>725</v>
      </c>
      <c r="R18" s="82">
        <v>45765</v>
      </c>
      <c r="S18" s="81" t="s">
        <v>23</v>
      </c>
      <c r="T18" s="132" t="str">
        <f ca="1">IF(AND('Inserimento dati'!$B$3=$H$2, Tabella3[[#This Row],[LUN]]="X"), "X",IF(AND('Inserimento dati'!$B$3=$I$2, Tabella3[[#This Row],[MAR]]="X"), "X", IF(AND('Inserimento dati'!$B$3=$J$2, Tabella3[[#This Row],[MER]]="X"), "X",IF(AND('Inserimento dati'!$B$3=$K$2, Tabella3[[#This Row],[GIO]]="X"), "X", IF(AND('Inserimento dati'!$B$3=$L$2, Tabella3[[#This Row],[VEN]]="X"), "X","")))))</f>
        <v/>
      </c>
      <c r="U18" s="144" t="str">
        <f t="shared" ca="1" si="0"/>
        <v xml:space="preserve"> 1800015</v>
      </c>
      <c r="V18" s="109">
        <v>45953.575787037036</v>
      </c>
    </row>
    <row r="19" spans="1:22" s="13" customFormat="1" ht="30" x14ac:dyDescent="0.2">
      <c r="A19" s="84"/>
      <c r="B19" s="84" t="str">
        <f t="shared" si="1"/>
        <v>X</v>
      </c>
      <c r="C19" s="84" t="str">
        <f>IF(OR(Tabella3[[#This Row],[LUN]]="X",Tabella3[[#This Row],[MAR]]="X",Tabella3[[#This Row],[MER]]="X",Tabella3[[#This Row],[GIO]]="X",Tabella3[[#This Row],[VEN]]="X",),"X","")</f>
        <v/>
      </c>
      <c r="D19" s="85" t="s">
        <v>10</v>
      </c>
      <c r="E19" s="81" t="s">
        <v>1533</v>
      </c>
      <c r="F19" s="81">
        <v>1200</v>
      </c>
      <c r="G19" s="81" t="s">
        <v>1534</v>
      </c>
      <c r="H19" s="83"/>
      <c r="I19" s="83"/>
      <c r="J19" s="83"/>
      <c r="K19" s="83"/>
      <c r="L19" s="83"/>
      <c r="M19" s="81" t="s">
        <v>52</v>
      </c>
      <c r="N19" s="85"/>
      <c r="O19" s="85"/>
      <c r="P19" s="81"/>
      <c r="Q19" s="81" t="s">
        <v>725</v>
      </c>
      <c r="R19" s="82">
        <v>45796</v>
      </c>
      <c r="S19" s="81" t="s">
        <v>535</v>
      </c>
      <c r="T19" s="132" t="str">
        <f ca="1">IF(AND('Inserimento dati'!$B$3=$H$2, Tabella3[[#This Row],[LUN]]="X"), "X",IF(AND('Inserimento dati'!$B$3=$I$2, Tabella3[[#This Row],[MAR]]="X"), "X", IF(AND('Inserimento dati'!$B$3=$J$2, Tabella3[[#This Row],[MER]]="X"), "X",IF(AND('Inserimento dati'!$B$3=$K$2, Tabella3[[#This Row],[GIO]]="X"), "X", IF(AND('Inserimento dati'!$B$3=$L$2, Tabella3[[#This Row],[VEN]]="X"), "X","")))))</f>
        <v/>
      </c>
      <c r="U19" s="144" t="str">
        <f t="shared" ca="1" si="0"/>
        <v/>
      </c>
      <c r="V19" s="109">
        <v>45952.77679398148</v>
      </c>
    </row>
    <row r="20" spans="1:22" s="13" customFormat="1" ht="23.25" x14ac:dyDescent="0.2">
      <c r="A20" s="84"/>
      <c r="B20" s="84" t="str">
        <f t="shared" si="1"/>
        <v>X</v>
      </c>
      <c r="C20" s="84" t="str">
        <f>IF(OR(Tabella3[[#This Row],[LUN]]="X",Tabella3[[#This Row],[MAR]]="X",Tabella3[[#This Row],[MER]]="X",Tabella3[[#This Row],[GIO]]="X",Tabella3[[#This Row],[VEN]]="X",),"X","")</f>
        <v/>
      </c>
      <c r="D20" s="85" t="s">
        <v>10</v>
      </c>
      <c r="E20" s="81" t="s">
        <v>1535</v>
      </c>
      <c r="F20" s="81">
        <v>1200</v>
      </c>
      <c r="G20" s="81" t="s">
        <v>1536</v>
      </c>
      <c r="H20" s="83"/>
      <c r="I20" s="83"/>
      <c r="J20" s="83"/>
      <c r="K20" s="83"/>
      <c r="L20" s="83"/>
      <c r="M20" s="81" t="s">
        <v>52</v>
      </c>
      <c r="N20" s="85"/>
      <c r="O20" s="85"/>
      <c r="P20" s="81"/>
      <c r="Q20" s="81" t="s">
        <v>725</v>
      </c>
      <c r="R20" s="82">
        <v>45798</v>
      </c>
      <c r="S20" s="81" t="s">
        <v>23</v>
      </c>
      <c r="T20" s="132" t="str">
        <f ca="1">IF(AND('Inserimento dati'!$B$3=$H$2, Tabella3[[#This Row],[LUN]]="X"), "X",IF(AND('Inserimento dati'!$B$3=$I$2, Tabella3[[#This Row],[MAR]]="X"), "X", IF(AND('Inserimento dati'!$B$3=$J$2, Tabella3[[#This Row],[MER]]="X"), "X",IF(AND('Inserimento dati'!$B$3=$K$2, Tabella3[[#This Row],[GIO]]="X"), "X", IF(AND('Inserimento dati'!$B$3=$L$2, Tabella3[[#This Row],[VEN]]="X"), "X","")))))</f>
        <v/>
      </c>
      <c r="U20" s="144" t="str">
        <f t="shared" ca="1" si="0"/>
        <v/>
      </c>
      <c r="V20" s="109">
        <v>45950.309224537035</v>
      </c>
    </row>
    <row r="21" spans="1:22" s="13" customFormat="1" ht="23.25" x14ac:dyDescent="0.2">
      <c r="A21" s="84"/>
      <c r="B21" s="84" t="str">
        <f t="shared" si="1"/>
        <v>X</v>
      </c>
      <c r="C21" s="84" t="str">
        <f>IF(OR(Tabella3[[#This Row],[LUN]]="X",Tabella3[[#This Row],[MAR]]="X",Tabella3[[#This Row],[MER]]="X",Tabella3[[#This Row],[GIO]]="X",Tabella3[[#This Row],[VEN]]="X",),"X","")</f>
        <v/>
      </c>
      <c r="D21" s="85" t="s">
        <v>10</v>
      </c>
      <c r="E21" s="81" t="s">
        <v>1537</v>
      </c>
      <c r="F21" s="81">
        <v>1200</v>
      </c>
      <c r="G21" s="81" t="s">
        <v>1538</v>
      </c>
      <c r="H21" s="83"/>
      <c r="I21" s="83"/>
      <c r="J21" s="83"/>
      <c r="K21" s="83"/>
      <c r="L21" s="83"/>
      <c r="M21" s="81" t="s">
        <v>52</v>
      </c>
      <c r="N21" s="85"/>
      <c r="O21" s="85"/>
      <c r="P21" s="81"/>
      <c r="Q21" s="81" t="s">
        <v>725</v>
      </c>
      <c r="R21" s="82">
        <v>45807</v>
      </c>
      <c r="S21" s="81" t="s">
        <v>23</v>
      </c>
      <c r="T21" s="132" t="str">
        <f ca="1">IF(AND('Inserimento dati'!$B$3=$H$2, Tabella3[[#This Row],[LUN]]="X"), "X",IF(AND('Inserimento dati'!$B$3=$I$2, Tabella3[[#This Row],[MAR]]="X"), "X", IF(AND('Inserimento dati'!$B$3=$J$2, Tabella3[[#This Row],[MER]]="X"), "X",IF(AND('Inserimento dati'!$B$3=$K$2, Tabella3[[#This Row],[GIO]]="X"), "X", IF(AND('Inserimento dati'!$B$3=$L$2, Tabella3[[#This Row],[VEN]]="X"), "X","")))))</f>
        <v/>
      </c>
      <c r="U21" s="144" t="str">
        <f t="shared" ca="1" si="0"/>
        <v/>
      </c>
      <c r="V21" s="109">
        <v>45947.585486111115</v>
      </c>
    </row>
    <row r="22" spans="1:22" s="13" customFormat="1" ht="30" x14ac:dyDescent="0.2">
      <c r="A22" s="84"/>
      <c r="B22" s="84">
        <v>3</v>
      </c>
      <c r="C22" s="84" t="str">
        <f>IF(OR(Tabella3[[#This Row],[LUN]]="X",Tabella3[[#This Row],[MAR]]="X",Tabella3[[#This Row],[MER]]="X",Tabella3[[#This Row],[GIO]]="X",Tabella3[[#This Row],[VEN]]="X",),"X","")</f>
        <v/>
      </c>
      <c r="D22" s="85" t="s">
        <v>10</v>
      </c>
      <c r="E22" s="81" t="s">
        <v>1539</v>
      </c>
      <c r="F22" s="81">
        <v>700</v>
      </c>
      <c r="G22" s="81" t="s">
        <v>1540</v>
      </c>
      <c r="H22" s="83"/>
      <c r="I22" s="83"/>
      <c r="J22" s="83"/>
      <c r="K22" s="83"/>
      <c r="L22" s="83"/>
      <c r="M22" s="81" t="s">
        <v>52</v>
      </c>
      <c r="N22" s="85"/>
      <c r="O22" s="85"/>
      <c r="P22" s="81"/>
      <c r="Q22" s="81" t="s">
        <v>725</v>
      </c>
      <c r="R22" s="82">
        <v>45811</v>
      </c>
      <c r="S22" s="81" t="s">
        <v>1211</v>
      </c>
      <c r="T22" s="132" t="str">
        <f ca="1">IF(AND('Inserimento dati'!$B$3=$H$2, Tabella3[[#This Row],[LUN]]="X"), "X",IF(AND('Inserimento dati'!$B$3=$I$2, Tabella3[[#This Row],[MAR]]="X"), "X", IF(AND('Inserimento dati'!$B$3=$J$2, Tabella3[[#This Row],[MER]]="X"), "X",IF(AND('Inserimento dati'!$B$3=$K$2, Tabella3[[#This Row],[GIO]]="X"), "X", IF(AND('Inserimento dati'!$B$3=$L$2, Tabella3[[#This Row],[VEN]]="X"), "X","")))))</f>
        <v/>
      </c>
      <c r="U22" s="144" t="str">
        <f t="shared" ca="1" si="0"/>
        <v/>
      </c>
      <c r="V22" s="109">
        <v>45939.57953703704</v>
      </c>
    </row>
    <row r="23" spans="1:22" s="13" customFormat="1" ht="30" x14ac:dyDescent="0.2">
      <c r="A23" s="84"/>
      <c r="B23" s="84" t="s">
        <v>8</v>
      </c>
      <c r="C23" s="84" t="str">
        <f>IF(OR(Tabella3[[#This Row],[LUN]]="X",Tabella3[[#This Row],[MAR]]="X",Tabella3[[#This Row],[MER]]="X",Tabella3[[#This Row],[GIO]]="X",Tabella3[[#This Row],[VEN]]="X",),"X","")</f>
        <v/>
      </c>
      <c r="D23" s="85" t="s">
        <v>10</v>
      </c>
      <c r="E23" s="81" t="s">
        <v>1541</v>
      </c>
      <c r="F23" s="81" t="s">
        <v>203</v>
      </c>
      <c r="G23" s="81" t="s">
        <v>1542</v>
      </c>
      <c r="H23" s="83"/>
      <c r="I23" s="83"/>
      <c r="J23" s="83"/>
      <c r="K23" s="83"/>
      <c r="L23" s="83"/>
      <c r="M23" s="81" t="s">
        <v>52</v>
      </c>
      <c r="N23" s="85"/>
      <c r="O23" s="85"/>
      <c r="P23" s="81"/>
      <c r="Q23" s="81" t="s">
        <v>1543</v>
      </c>
      <c r="R23" s="82">
        <v>45803</v>
      </c>
      <c r="S23" s="81" t="s">
        <v>9</v>
      </c>
      <c r="T23" s="84" t="str">
        <f ca="1">IF(AND('Inserimento dati'!$B$3=$H$2, Tabella3[[#This Row],[LUN]]="X"), "X",IF(AND('Inserimento dati'!$B$3=$I$2, Tabella3[[#This Row],[MAR]]="X"), "X", IF(AND('Inserimento dati'!$B$3=$J$2, Tabella3[[#This Row],[MER]]="X"), "X",IF(AND('Inserimento dati'!$B$3=$K$2, Tabella3[[#This Row],[GIO]]="X"), "X", IF(AND('Inserimento dati'!$B$3=$L$2, Tabella3[[#This Row],[VEN]]="X"), "X","")))))</f>
        <v/>
      </c>
      <c r="U23" s="151" t="str">
        <f t="shared" ca="1" si="0"/>
        <v xml:space="preserve"> 1021599</v>
      </c>
      <c r="V23" s="109">
        <v>45939.418657407405</v>
      </c>
    </row>
    <row r="24" spans="1:22" s="13" customFormat="1" ht="23.25" x14ac:dyDescent="0.2">
      <c r="A24" s="84"/>
      <c r="B24" s="84" t="s">
        <v>8</v>
      </c>
      <c r="C24" s="84" t="str">
        <f>IF(OR(Tabella3[[#This Row],[LUN]]="X",Tabella3[[#This Row],[MAR]]="X",Tabella3[[#This Row],[MER]]="X",Tabella3[[#This Row],[GIO]]="X",Tabella3[[#This Row],[VEN]]="X",),"X","")</f>
        <v/>
      </c>
      <c r="D24" s="85" t="s">
        <v>10</v>
      </c>
      <c r="E24" s="81" t="s">
        <v>1544</v>
      </c>
      <c r="F24" s="81">
        <v>1400</v>
      </c>
      <c r="G24" s="81" t="s">
        <v>1545</v>
      </c>
      <c r="H24" s="83"/>
      <c r="I24" s="83"/>
      <c r="J24" s="83"/>
      <c r="K24" s="83"/>
      <c r="L24" s="83"/>
      <c r="M24" s="81" t="s">
        <v>52</v>
      </c>
      <c r="N24" s="85"/>
      <c r="O24" s="85"/>
      <c r="P24" s="81"/>
      <c r="Q24" s="81" t="s">
        <v>1546</v>
      </c>
      <c r="R24" s="82">
        <v>45797</v>
      </c>
      <c r="S24" s="81" t="s">
        <v>238</v>
      </c>
      <c r="T24" s="150" t="str">
        <f ca="1">IF(AND('Inserimento dati'!$B$3=$H$2, Tabella3[[#This Row],[LUN]]="X"), "X",IF(AND('Inserimento dati'!$B$3=$I$2, Tabella3[[#This Row],[MAR]]="X"), "X", IF(AND('Inserimento dati'!$B$3=$J$2, Tabella3[[#This Row],[MER]]="X"), "X",IF(AND('Inserimento dati'!$B$3=$K$2, Tabella3[[#This Row],[GIO]]="X"), "X", IF(AND('Inserimento dati'!$B$3=$L$2, Tabella3[[#This Row],[VEN]]="X"), "X","")))))</f>
        <v/>
      </c>
      <c r="U24" s="144" t="str">
        <f t="shared" ca="1" si="0"/>
        <v/>
      </c>
      <c r="V24" s="109">
        <v>45939.418634259258</v>
      </c>
    </row>
    <row r="25" spans="1:22" s="13" customFormat="1" ht="23.25" x14ac:dyDescent="0.2">
      <c r="A25" s="84"/>
      <c r="B25" s="84" t="s">
        <v>8</v>
      </c>
      <c r="C25" s="84" t="str">
        <f>IF(OR(Tabella3[[#This Row],[LUN]]="X",Tabella3[[#This Row],[MAR]]="X",Tabella3[[#This Row],[MER]]="X",Tabella3[[#This Row],[GIO]]="X",Tabella3[[#This Row],[VEN]]="X",),"X","")</f>
        <v/>
      </c>
      <c r="D25" s="85" t="s">
        <v>10</v>
      </c>
      <c r="E25" s="81" t="s">
        <v>1547</v>
      </c>
      <c r="F25" s="81">
        <v>1400</v>
      </c>
      <c r="G25" s="81" t="s">
        <v>1548</v>
      </c>
      <c r="H25" s="83"/>
      <c r="I25" s="83"/>
      <c r="J25" s="83"/>
      <c r="K25" s="83"/>
      <c r="L25" s="83"/>
      <c r="M25" s="81" t="s">
        <v>52</v>
      </c>
      <c r="N25" s="85"/>
      <c r="O25" s="85"/>
      <c r="P25" s="81"/>
      <c r="Q25" s="81" t="s">
        <v>1549</v>
      </c>
      <c r="R25" s="82">
        <v>45797</v>
      </c>
      <c r="S25" s="81" t="s">
        <v>20</v>
      </c>
      <c r="T25" s="152" t="str">
        <f ca="1">IF(AND('Inserimento dati'!$B$3=$H$2, Tabella3[[#This Row],[LUN]]="X"), "X",IF(AND('Inserimento dati'!$B$3=$I$2, Tabella3[[#This Row],[MAR]]="X"), "X", IF(AND('Inserimento dati'!$B$3=$J$2, Tabella3[[#This Row],[MER]]="X"), "X",IF(AND('Inserimento dati'!$B$3=$K$2, Tabella3[[#This Row],[GIO]]="X"), "X", IF(AND('Inserimento dati'!$B$3=$L$2, Tabella3[[#This Row],[VEN]]="X"), "X","")))))</f>
        <v/>
      </c>
      <c r="U25" s="144" t="str">
        <f t="shared" ca="1" si="0"/>
        <v/>
      </c>
      <c r="V25" s="109">
        <v>45939.418611111112</v>
      </c>
    </row>
    <row r="26" spans="1:22" s="13" customFormat="1" ht="45" x14ac:dyDescent="0.2">
      <c r="A26" s="84"/>
      <c r="B26" s="84" t="s">
        <v>8</v>
      </c>
      <c r="C26" s="84" t="str">
        <f>IF(OR(Tabella3[[#This Row],[LUN]]="X",Tabella3[[#This Row],[MAR]]="X",Tabella3[[#This Row],[MER]]="X",Tabella3[[#This Row],[GIO]]="X",Tabella3[[#This Row],[VEN]]="X",),"X","")</f>
        <v/>
      </c>
      <c r="D26" s="85" t="s">
        <v>10</v>
      </c>
      <c r="E26" s="81" t="s">
        <v>1550</v>
      </c>
      <c r="F26" s="81" t="s">
        <v>198</v>
      </c>
      <c r="G26" s="81" t="s">
        <v>1551</v>
      </c>
      <c r="H26" s="83"/>
      <c r="I26" s="83"/>
      <c r="J26" s="83"/>
      <c r="K26" s="83"/>
      <c r="L26" s="83"/>
      <c r="M26" s="81" t="s">
        <v>52</v>
      </c>
      <c r="N26" s="85"/>
      <c r="O26" s="85"/>
      <c r="P26" s="81"/>
      <c r="Q26" s="81" t="s">
        <v>1552</v>
      </c>
      <c r="R26" s="82">
        <v>45791</v>
      </c>
      <c r="S26" s="81" t="s">
        <v>45</v>
      </c>
      <c r="T26" s="152" t="str">
        <f ca="1">IF(AND('Inserimento dati'!$B$3=$H$2, Tabella3[[#This Row],[LUN]]="X"), "X",IF(AND('Inserimento dati'!$B$3=$I$2, Tabella3[[#This Row],[MAR]]="X"), "X", IF(AND('Inserimento dati'!$B$3=$J$2, Tabella3[[#This Row],[MER]]="X"), "X",IF(AND('Inserimento dati'!$B$3=$K$2, Tabella3[[#This Row],[GIO]]="X"), "X", IF(AND('Inserimento dati'!$B$3=$L$2, Tabella3[[#This Row],[VEN]]="X"), "X","")))))</f>
        <v/>
      </c>
      <c r="U26" s="151" t="str">
        <f t="shared" ca="1" si="0"/>
        <v xml:space="preserve"> 1021368</v>
      </c>
      <c r="V26" s="109">
        <v>45939.418587962966</v>
      </c>
    </row>
    <row r="27" spans="1:22" s="13" customFormat="1" ht="30" x14ac:dyDescent="0.2">
      <c r="A27" s="84"/>
      <c r="B27" s="84">
        <v>1</v>
      </c>
      <c r="C27" s="84" t="str">
        <f>IF(OR(Tabella3[[#This Row],[LUN]]="X",Tabella3[[#This Row],[MAR]]="X",Tabella3[[#This Row],[MER]]="X",Tabella3[[#This Row],[GIO]]="X",Tabella3[[#This Row],[VEN]]="X",),"X","")</f>
        <v/>
      </c>
      <c r="D27" s="85" t="s">
        <v>10</v>
      </c>
      <c r="E27" s="81" t="s">
        <v>1553</v>
      </c>
      <c r="F27" s="81">
        <v>1400</v>
      </c>
      <c r="G27" s="81" t="s">
        <v>1554</v>
      </c>
      <c r="H27" s="83"/>
      <c r="I27" s="83"/>
      <c r="J27" s="83"/>
      <c r="K27" s="83"/>
      <c r="L27" s="83"/>
      <c r="M27" s="81" t="s">
        <v>52</v>
      </c>
      <c r="N27" s="85"/>
      <c r="O27" s="85"/>
      <c r="P27" s="81"/>
      <c r="Q27" s="81" t="s">
        <v>1555</v>
      </c>
      <c r="R27" s="82">
        <v>45797</v>
      </c>
      <c r="S27" s="81" t="s">
        <v>238</v>
      </c>
      <c r="T27" s="152" t="str">
        <f ca="1">IF(AND('Inserimento dati'!$B$3=$H$2, Tabella3[[#This Row],[LUN]]="X"), "X",IF(AND('Inserimento dati'!$B$3=$I$2, Tabella3[[#This Row],[MAR]]="X"), "X", IF(AND('Inserimento dati'!$B$3=$J$2, Tabella3[[#This Row],[MER]]="X"), "X",IF(AND('Inserimento dati'!$B$3=$K$2, Tabella3[[#This Row],[GIO]]="X"), "X", IF(AND('Inserimento dati'!$B$3=$L$2, Tabella3[[#This Row],[VEN]]="X"), "X","")))))</f>
        <v/>
      </c>
      <c r="U27" s="144" t="str">
        <f t="shared" ca="1" si="0"/>
        <v/>
      </c>
      <c r="V27" s="109">
        <v>45938.299224537041</v>
      </c>
    </row>
    <row r="28" spans="1:22" s="13" customFormat="1" ht="23.25" x14ac:dyDescent="0.2">
      <c r="A28" s="84"/>
      <c r="B28" s="84" t="s">
        <v>8</v>
      </c>
      <c r="C28" s="84" t="str">
        <f>IF(OR(Tabella3[[#This Row],[LUN]]="X",Tabella3[[#This Row],[MAR]]="X",Tabella3[[#This Row],[MER]]="X",Tabella3[[#This Row],[GIO]]="X",Tabella3[[#This Row],[VEN]]="X",),"X","")</f>
        <v/>
      </c>
      <c r="D28" s="85" t="s">
        <v>10</v>
      </c>
      <c r="E28" s="81" t="s">
        <v>1556</v>
      </c>
      <c r="F28" s="81">
        <v>1400</v>
      </c>
      <c r="G28" s="81" t="s">
        <v>1557</v>
      </c>
      <c r="H28" s="83"/>
      <c r="I28" s="83"/>
      <c r="J28" s="83"/>
      <c r="K28" s="83"/>
      <c r="L28" s="83"/>
      <c r="M28" s="81" t="s">
        <v>52</v>
      </c>
      <c r="N28" s="85"/>
      <c r="O28" s="85"/>
      <c r="P28" s="81"/>
      <c r="Q28" s="81" t="s">
        <v>1558</v>
      </c>
      <c r="R28" s="82">
        <v>45797</v>
      </c>
      <c r="S28" s="81" t="s">
        <v>238</v>
      </c>
      <c r="T28" s="152" t="str">
        <f ca="1">IF(AND('Inserimento dati'!$B$3=$H$2, Tabella3[[#This Row],[LUN]]="X"), "X",IF(AND('Inserimento dati'!$B$3=$I$2, Tabella3[[#This Row],[MAR]]="X"), "X", IF(AND('Inserimento dati'!$B$3=$J$2, Tabella3[[#This Row],[MER]]="X"), "X",IF(AND('Inserimento dati'!$B$3=$K$2, Tabella3[[#This Row],[GIO]]="X"), "X", IF(AND('Inserimento dati'!$B$3=$L$2, Tabella3[[#This Row],[VEN]]="X"), "X","")))))</f>
        <v/>
      </c>
      <c r="U28" s="151" t="str">
        <f t="shared" ca="1" si="0"/>
        <v/>
      </c>
      <c r="V28" s="109">
        <v>45938.299178240741</v>
      </c>
    </row>
    <row r="29" spans="1:22" s="13" customFormat="1" ht="30" x14ac:dyDescent="0.2">
      <c r="A29" s="84"/>
      <c r="B29" s="84" t="str">
        <f t="shared" ref="B29:B40" si="2">IF(OR(A29="x",A29="X"),"",IF(ISBLANK(A29),"X",""))</f>
        <v>X</v>
      </c>
      <c r="C29" s="84" t="str">
        <f>IF(OR(Tabella3[[#This Row],[LUN]]="X",Tabella3[[#This Row],[MAR]]="X",Tabella3[[#This Row],[MER]]="X",Tabella3[[#This Row],[GIO]]="X",Tabella3[[#This Row],[VEN]]="X",),"X","")</f>
        <v/>
      </c>
      <c r="D29" s="85" t="s">
        <v>10</v>
      </c>
      <c r="E29" s="81" t="s">
        <v>1559</v>
      </c>
      <c r="F29" s="81" t="s">
        <v>198</v>
      </c>
      <c r="G29" s="81" t="s">
        <v>1560</v>
      </c>
      <c r="H29" s="83"/>
      <c r="I29" s="83"/>
      <c r="J29" s="83"/>
      <c r="K29" s="83"/>
      <c r="L29" s="83"/>
      <c r="M29" s="81" t="s">
        <v>52</v>
      </c>
      <c r="N29" s="85"/>
      <c r="O29" s="85"/>
      <c r="P29" s="81"/>
      <c r="Q29" s="81"/>
      <c r="R29" s="82"/>
      <c r="S29" s="81"/>
      <c r="T29" s="138" t="str">
        <f ca="1">IF(AND('Inserimento dati'!$B$3=$H$2, Tabella3[[#This Row],[LUN]]="X"), "X",IF(AND('Inserimento dati'!$B$3=$I$2, Tabella3[[#This Row],[MAR]]="X"), "X", IF(AND('Inserimento dati'!$B$3=$J$2, Tabella3[[#This Row],[MER]]="X"), "X",IF(AND('Inserimento dati'!$B$3=$K$2, Tabella3[[#This Row],[GIO]]="X"), "X", IF(AND('Inserimento dati'!$B$3=$L$2, Tabella3[[#This Row],[VEN]]="X"), "X","")))))</f>
        <v/>
      </c>
      <c r="U29" s="151" t="str">
        <f t="shared" ca="1" si="0"/>
        <v/>
      </c>
      <c r="V29" s="109">
        <v>45938.299155092594</v>
      </c>
    </row>
    <row r="30" spans="1:22" s="13" customFormat="1" ht="30" x14ac:dyDescent="0.2">
      <c r="A30" s="84"/>
      <c r="B30" s="84" t="str">
        <f t="shared" si="2"/>
        <v>X</v>
      </c>
      <c r="C30" s="84" t="str">
        <f>IF(OR(Tabella3[[#This Row],[LUN]]="X",Tabella3[[#This Row],[MAR]]="X",Tabella3[[#This Row],[MER]]="X",Tabella3[[#This Row],[GIO]]="X",Tabella3[[#This Row],[VEN]]="X",),"X","")</f>
        <v/>
      </c>
      <c r="D30" s="85" t="s">
        <v>10</v>
      </c>
      <c r="E30" s="81" t="s">
        <v>1561</v>
      </c>
      <c r="F30" s="81" t="s">
        <v>198</v>
      </c>
      <c r="G30" s="81" t="s">
        <v>1562</v>
      </c>
      <c r="H30" s="83"/>
      <c r="I30" s="83"/>
      <c r="J30" s="83"/>
      <c r="K30" s="83"/>
      <c r="L30" s="83"/>
      <c r="M30" s="81" t="s">
        <v>52</v>
      </c>
      <c r="N30" s="85"/>
      <c r="O30" s="85"/>
      <c r="P30" s="81"/>
      <c r="Q30" s="81" t="s">
        <v>1563</v>
      </c>
      <c r="R30" s="82">
        <v>45754</v>
      </c>
      <c r="S30" s="81" t="s">
        <v>610</v>
      </c>
      <c r="T30" s="138" t="str">
        <f ca="1">IF(AND('Inserimento dati'!$B$3=$H$2, Tabella3[[#This Row],[LUN]]="X"), "X",IF(AND('Inserimento dati'!$B$3=$I$2, Tabella3[[#This Row],[MAR]]="X"), "X", IF(AND('Inserimento dati'!$B$3=$J$2, Tabella3[[#This Row],[MER]]="X"), "X",IF(AND('Inserimento dati'!$B$3=$K$2, Tabella3[[#This Row],[GIO]]="X"), "X", IF(AND('Inserimento dati'!$B$3=$L$2, Tabella3[[#This Row],[VEN]]="X"), "X","")))))</f>
        <v/>
      </c>
      <c r="U30" s="151" t="str">
        <f t="shared" ca="1" si="0"/>
        <v/>
      </c>
      <c r="V30" s="109">
        <v>45938.299131944441</v>
      </c>
    </row>
    <row r="31" spans="1:22" s="13" customFormat="1" ht="30" x14ac:dyDescent="0.2">
      <c r="A31" s="84"/>
      <c r="B31" s="84" t="str">
        <f t="shared" si="2"/>
        <v>X</v>
      </c>
      <c r="C31" s="84" t="str">
        <f>IF(OR(Tabella3[[#This Row],[LUN]]="X",Tabella3[[#This Row],[MAR]]="X",Tabella3[[#This Row],[MER]]="X",Tabella3[[#This Row],[GIO]]="X",Tabella3[[#This Row],[VEN]]="X",),"X","")</f>
        <v/>
      </c>
      <c r="D31" s="85" t="s">
        <v>10</v>
      </c>
      <c r="E31" s="81" t="s">
        <v>1564</v>
      </c>
      <c r="F31" s="81">
        <v>1400</v>
      </c>
      <c r="G31" s="81" t="s">
        <v>1565</v>
      </c>
      <c r="H31" s="83"/>
      <c r="I31" s="83"/>
      <c r="J31" s="83"/>
      <c r="K31" s="83"/>
      <c r="L31" s="83"/>
      <c r="M31" s="81" t="s">
        <v>52</v>
      </c>
      <c r="N31" s="85"/>
      <c r="O31" s="85"/>
      <c r="P31" s="81"/>
      <c r="Q31" s="81"/>
      <c r="R31" s="82"/>
      <c r="S31" s="81"/>
      <c r="T31" s="138" t="str">
        <f ca="1">IF(AND('Inserimento dati'!$B$3=$H$2, Tabella3[[#This Row],[LUN]]="X"), "X",IF(AND('Inserimento dati'!$B$3=$I$2, Tabella3[[#This Row],[MAR]]="X"), "X", IF(AND('Inserimento dati'!$B$3=$J$2, Tabella3[[#This Row],[MER]]="X"), "X",IF(AND('Inserimento dati'!$B$3=$K$2, Tabella3[[#This Row],[GIO]]="X"), "X", IF(AND('Inserimento dati'!$B$3=$L$2, Tabella3[[#This Row],[VEN]]="X"), "X","")))))</f>
        <v/>
      </c>
      <c r="U31" s="151" t="str">
        <f t="shared" ca="1" si="0"/>
        <v/>
      </c>
      <c r="V31" s="109">
        <v>45938.299108796295</v>
      </c>
    </row>
    <row r="32" spans="1:22" s="13" customFormat="1" ht="23.25" x14ac:dyDescent="0.2">
      <c r="A32" s="84"/>
      <c r="B32" s="84" t="str">
        <f t="shared" si="2"/>
        <v>X</v>
      </c>
      <c r="C32" s="84" t="str">
        <f>IF(OR(Tabella3[[#This Row],[LUN]]="X",Tabella3[[#This Row],[MAR]]="X",Tabella3[[#This Row],[MER]]="X",Tabella3[[#This Row],[GIO]]="X",Tabella3[[#This Row],[VEN]]="X",),"X","")</f>
        <v/>
      </c>
      <c r="D32" s="85" t="s">
        <v>10</v>
      </c>
      <c r="E32" s="81" t="s">
        <v>1566</v>
      </c>
      <c r="F32" s="81">
        <v>1400</v>
      </c>
      <c r="G32" s="81" t="s">
        <v>1567</v>
      </c>
      <c r="H32" s="83"/>
      <c r="I32" s="83"/>
      <c r="J32" s="83"/>
      <c r="K32" s="83"/>
      <c r="L32" s="83"/>
      <c r="M32" s="81" t="s">
        <v>52</v>
      </c>
      <c r="N32" s="85"/>
      <c r="O32" s="85"/>
      <c r="P32" s="81"/>
      <c r="Q32" s="81" t="s">
        <v>1568</v>
      </c>
      <c r="R32" s="82">
        <v>45729</v>
      </c>
      <c r="S32" s="82" t="s">
        <v>535</v>
      </c>
      <c r="T32" s="138" t="str">
        <f ca="1">IF(AND('Inserimento dati'!$B$3=$H$2, Tabella3[[#This Row],[LUN]]="X"), "X",IF(AND('Inserimento dati'!$B$3=$I$2, Tabella3[[#This Row],[MAR]]="X"), "X", IF(AND('Inserimento dati'!$B$3=$J$2, Tabella3[[#This Row],[MER]]="X"), "X",IF(AND('Inserimento dati'!$B$3=$K$2, Tabella3[[#This Row],[GIO]]="X"), "X", IF(AND('Inserimento dati'!$B$3=$L$2, Tabella3[[#This Row],[VEN]]="X"), "X","")))))</f>
        <v/>
      </c>
      <c r="U32" s="151" t="str">
        <f t="shared" ca="1" si="0"/>
        <v/>
      </c>
      <c r="V32" s="109">
        <v>45938.299062500002</v>
      </c>
    </row>
    <row r="33" spans="1:22" s="13" customFormat="1" ht="23.25" x14ac:dyDescent="0.2">
      <c r="A33" s="84"/>
      <c r="B33" s="84" t="str">
        <f t="shared" si="2"/>
        <v>X</v>
      </c>
      <c r="C33" s="84" t="str">
        <f>IF(OR(Tabella3[[#This Row],[LUN]]="X",Tabella3[[#This Row],[MAR]]="X",Tabella3[[#This Row],[MER]]="X",Tabella3[[#This Row],[GIO]]="X",Tabella3[[#This Row],[VEN]]="X",),"X","")</f>
        <v/>
      </c>
      <c r="D33" s="85" t="s">
        <v>10</v>
      </c>
      <c r="E33" s="81" t="s">
        <v>1569</v>
      </c>
      <c r="F33" s="81">
        <v>1400</v>
      </c>
      <c r="G33" s="81" t="s">
        <v>1570</v>
      </c>
      <c r="H33" s="83"/>
      <c r="I33" s="83"/>
      <c r="J33" s="83"/>
      <c r="K33" s="83"/>
      <c r="L33" s="83"/>
      <c r="M33" s="81" t="s">
        <v>52</v>
      </c>
      <c r="N33" s="85"/>
      <c r="O33" s="85"/>
      <c r="P33" s="81"/>
      <c r="Q33" s="81" t="s">
        <v>1568</v>
      </c>
      <c r="R33" s="82">
        <v>45729</v>
      </c>
      <c r="S33" s="82" t="s">
        <v>535</v>
      </c>
      <c r="T33" s="84" t="str">
        <f ca="1">IF(AND('Inserimento dati'!$B$3=$H$2, Tabella3[[#This Row],[LUN]]="X"), "X",IF(AND('Inserimento dati'!$B$3=$I$2, Tabella3[[#This Row],[MAR]]="X"), "X", IF(AND('Inserimento dati'!$B$3=$J$2, Tabella3[[#This Row],[MER]]="X"), "X",IF(AND('Inserimento dati'!$B$3=$K$2, Tabella3[[#This Row],[GIO]]="X"), "X", IF(AND('Inserimento dati'!$B$3=$L$2, Tabella3[[#This Row],[VEN]]="X"), "X","")))))</f>
        <v/>
      </c>
      <c r="U33" s="151" t="str">
        <f t="shared" ca="1" si="0"/>
        <v/>
      </c>
      <c r="V33" s="109">
        <v>45938.299039351848</v>
      </c>
    </row>
    <row r="34" spans="1:22" s="13" customFormat="1" ht="30" x14ac:dyDescent="0.2">
      <c r="A34" s="84"/>
      <c r="B34" s="84" t="str">
        <f t="shared" si="2"/>
        <v>X</v>
      </c>
      <c r="C34" s="84" t="str">
        <f>IF(OR(Tabella3[[#This Row],[LUN]]="X",Tabella3[[#This Row],[MAR]]="X",Tabella3[[#This Row],[MER]]="X",Tabella3[[#This Row],[GIO]]="X",Tabella3[[#This Row],[VEN]]="X",),"X","")</f>
        <v/>
      </c>
      <c r="D34" s="85" t="s">
        <v>10</v>
      </c>
      <c r="E34" s="81" t="s">
        <v>1571</v>
      </c>
      <c r="F34" s="81">
        <v>1400</v>
      </c>
      <c r="G34" s="81" t="s">
        <v>1572</v>
      </c>
      <c r="H34" s="83"/>
      <c r="I34" s="83"/>
      <c r="J34" s="83"/>
      <c r="K34" s="83"/>
      <c r="L34" s="83"/>
      <c r="M34" s="81" t="s">
        <v>52</v>
      </c>
      <c r="N34" s="85"/>
      <c r="O34" s="85"/>
      <c r="P34" s="81"/>
      <c r="Q34" s="81" t="s">
        <v>427</v>
      </c>
      <c r="R34" s="82">
        <v>45728</v>
      </c>
      <c r="S34" s="82" t="s">
        <v>535</v>
      </c>
      <c r="T34" s="138" t="str">
        <f ca="1">IF(AND('Inserimento dati'!$B$3=$H$2, Tabella3[[#This Row],[LUN]]="X"), "X",IF(AND('Inserimento dati'!$B$3=$I$2, Tabella3[[#This Row],[MAR]]="X"), "X", IF(AND('Inserimento dati'!$B$3=$J$2, Tabella3[[#This Row],[MER]]="X"), "X",IF(AND('Inserimento dati'!$B$3=$K$2, Tabella3[[#This Row],[GIO]]="X"), "X", IF(AND('Inserimento dati'!$B$3=$L$2, Tabella3[[#This Row],[VEN]]="X"), "X","")))))</f>
        <v/>
      </c>
      <c r="U34" s="151" t="str">
        <f t="shared" ca="1" si="0"/>
        <v/>
      </c>
      <c r="V34" s="109">
        <v>45938.299027777779</v>
      </c>
    </row>
    <row r="35" spans="1:22" s="13" customFormat="1" ht="23.25" x14ac:dyDescent="0.2">
      <c r="A35" s="84"/>
      <c r="B35" s="84" t="str">
        <f t="shared" si="2"/>
        <v>X</v>
      </c>
      <c r="C35" s="84" t="str">
        <f>IF(OR(Tabella3[[#This Row],[LUN]]="X",Tabella3[[#This Row],[MAR]]="X",Tabella3[[#This Row],[MER]]="X",Tabella3[[#This Row],[GIO]]="X",Tabella3[[#This Row],[VEN]]="X",),"X","")</f>
        <v/>
      </c>
      <c r="D35" s="85" t="s">
        <v>10</v>
      </c>
      <c r="E35" s="81" t="s">
        <v>1573</v>
      </c>
      <c r="F35" s="81">
        <v>1400</v>
      </c>
      <c r="G35" s="81" t="s">
        <v>1574</v>
      </c>
      <c r="H35" s="83"/>
      <c r="I35" s="83"/>
      <c r="J35" s="83"/>
      <c r="K35" s="83"/>
      <c r="L35" s="83"/>
      <c r="M35" s="81" t="s">
        <v>52</v>
      </c>
      <c r="N35" s="85"/>
      <c r="O35" s="85"/>
      <c r="P35" s="81"/>
      <c r="Q35" s="81" t="s">
        <v>427</v>
      </c>
      <c r="R35" s="82">
        <v>45728</v>
      </c>
      <c r="S35" s="82" t="s">
        <v>535</v>
      </c>
      <c r="T35" s="84" t="str">
        <f ca="1">IF(AND('Inserimento dati'!$B$3=$H$2, Tabella3[[#This Row],[LUN]]="X"), "X",IF(AND('Inserimento dati'!$B$3=$I$2, Tabella3[[#This Row],[MAR]]="X"), "X", IF(AND('Inserimento dati'!$B$3=$J$2, Tabella3[[#This Row],[MER]]="X"), "X",IF(AND('Inserimento dati'!$B$3=$K$2, Tabella3[[#This Row],[GIO]]="X"), "X", IF(AND('Inserimento dati'!$B$3=$L$2, Tabella3[[#This Row],[VEN]]="X"), "X","")))))</f>
        <v/>
      </c>
      <c r="U35" s="151" t="str">
        <f t="shared" ca="1" si="0"/>
        <v/>
      </c>
      <c r="V35" s="109">
        <v>45938.299004629633</v>
      </c>
    </row>
    <row r="36" spans="1:22" s="13" customFormat="1" ht="23.25" x14ac:dyDescent="0.2">
      <c r="A36" s="84"/>
      <c r="B36" s="84" t="str">
        <f t="shared" si="2"/>
        <v>X</v>
      </c>
      <c r="C36" s="84" t="str">
        <f>IF(OR(Tabella3[[#This Row],[LUN]]="X",Tabella3[[#This Row],[MAR]]="X",Tabella3[[#This Row],[MER]]="X",Tabella3[[#This Row],[GIO]]="X",Tabella3[[#This Row],[VEN]]="X",),"X","")</f>
        <v/>
      </c>
      <c r="D36" s="85" t="s">
        <v>10</v>
      </c>
      <c r="E36" s="81" t="s">
        <v>1575</v>
      </c>
      <c r="F36" s="81">
        <v>1400</v>
      </c>
      <c r="G36" s="81" t="s">
        <v>1576</v>
      </c>
      <c r="H36" s="83"/>
      <c r="I36" s="83"/>
      <c r="J36" s="83"/>
      <c r="K36" s="83"/>
      <c r="L36" s="83"/>
      <c r="M36" s="81" t="s">
        <v>52</v>
      </c>
      <c r="N36" s="85"/>
      <c r="O36" s="85"/>
      <c r="P36" s="81"/>
      <c r="Q36" s="81" t="s">
        <v>427</v>
      </c>
      <c r="R36" s="82">
        <v>45728</v>
      </c>
      <c r="S36" s="82" t="s">
        <v>535</v>
      </c>
      <c r="T36" s="84" t="str">
        <f ca="1">IF(AND('Inserimento dati'!$B$3=$H$2, Tabella3[[#This Row],[LUN]]="X"), "X",IF(AND('Inserimento dati'!$B$3=$I$2, Tabella3[[#This Row],[MAR]]="X"), "X", IF(AND('Inserimento dati'!$B$3=$J$2, Tabella3[[#This Row],[MER]]="X"), "X",IF(AND('Inserimento dati'!$B$3=$K$2, Tabella3[[#This Row],[GIO]]="X"), "X", IF(AND('Inserimento dati'!$B$3=$L$2, Tabella3[[#This Row],[VEN]]="X"), "X","")))))</f>
        <v/>
      </c>
      <c r="U36" s="151" t="str">
        <f t="shared" ca="1" si="0"/>
        <v/>
      </c>
      <c r="V36" s="109">
        <v>45938.298981481479</v>
      </c>
    </row>
    <row r="37" spans="1:22" s="13" customFormat="1" ht="23.25" x14ac:dyDescent="0.2">
      <c r="A37" s="84"/>
      <c r="B37" s="84" t="str">
        <f t="shared" si="2"/>
        <v>X</v>
      </c>
      <c r="C37" s="84" t="str">
        <f>IF(OR(Tabella3[[#This Row],[LUN]]="X",Tabella3[[#This Row],[MAR]]="X",Tabella3[[#This Row],[MER]]="X",Tabella3[[#This Row],[GIO]]="X",Tabella3[[#This Row],[VEN]]="X",),"X","")</f>
        <v/>
      </c>
      <c r="D37" s="85" t="s">
        <v>10</v>
      </c>
      <c r="E37" s="81" t="s">
        <v>1577</v>
      </c>
      <c r="F37" s="81">
        <v>1400</v>
      </c>
      <c r="G37" s="81" t="s">
        <v>1578</v>
      </c>
      <c r="H37" s="83"/>
      <c r="I37" s="83"/>
      <c r="J37" s="83"/>
      <c r="K37" s="83"/>
      <c r="L37" s="83"/>
      <c r="M37" s="81" t="s">
        <v>52</v>
      </c>
      <c r="N37" s="85"/>
      <c r="O37" s="85"/>
      <c r="P37" s="81"/>
      <c r="Q37" s="81" t="s">
        <v>1579</v>
      </c>
      <c r="R37" s="82">
        <v>45728</v>
      </c>
      <c r="S37" s="82" t="s">
        <v>535</v>
      </c>
      <c r="T37" s="84" t="str">
        <f ca="1">IF(AND('Inserimento dati'!$B$3=$H$2, Tabella3[[#This Row],[LUN]]="X"), "X",IF(AND('Inserimento dati'!$B$3=$I$2, Tabella3[[#This Row],[MAR]]="X"), "X", IF(AND('Inserimento dati'!$B$3=$J$2, Tabella3[[#This Row],[MER]]="X"), "X",IF(AND('Inserimento dati'!$B$3=$K$2, Tabella3[[#This Row],[GIO]]="X"), "X", IF(AND('Inserimento dati'!$B$3=$L$2, Tabella3[[#This Row],[VEN]]="X"), "X","")))))</f>
        <v/>
      </c>
      <c r="U37" s="151" t="str">
        <f t="shared" ca="1" si="0"/>
        <v/>
      </c>
      <c r="V37" s="109">
        <v>45938.298495370371</v>
      </c>
    </row>
    <row r="38" spans="1:22" s="13" customFormat="1" ht="23.25" x14ac:dyDescent="0.2">
      <c r="A38" s="84"/>
      <c r="B38" s="84" t="str">
        <f t="shared" si="2"/>
        <v>X</v>
      </c>
      <c r="C38" s="84" t="str">
        <f>IF(OR(Tabella3[[#This Row],[LUN]]="X",Tabella3[[#This Row],[MAR]]="X",Tabella3[[#This Row],[MER]]="X",Tabella3[[#This Row],[GIO]]="X",Tabella3[[#This Row],[VEN]]="X",),"X","")</f>
        <v/>
      </c>
      <c r="D38" s="85" t="s">
        <v>10</v>
      </c>
      <c r="E38" s="81" t="s">
        <v>1580</v>
      </c>
      <c r="F38" s="81">
        <v>1400</v>
      </c>
      <c r="G38" s="81" t="s">
        <v>1581</v>
      </c>
      <c r="H38" s="83"/>
      <c r="I38" s="83"/>
      <c r="J38" s="83"/>
      <c r="K38" s="83"/>
      <c r="L38" s="83"/>
      <c r="M38" s="81" t="s">
        <v>52</v>
      </c>
      <c r="N38" s="85"/>
      <c r="O38" s="85"/>
      <c r="P38" s="81"/>
      <c r="Q38" s="81" t="s">
        <v>427</v>
      </c>
      <c r="R38" s="82">
        <v>45728</v>
      </c>
      <c r="S38" s="82" t="s">
        <v>535</v>
      </c>
      <c r="T38" s="84" t="str">
        <f ca="1">IF(AND('Inserimento dati'!$B$3=$H$2, Tabella3[[#This Row],[LUN]]="X"), "X",IF(AND('Inserimento dati'!$B$3=$I$2, Tabella3[[#This Row],[MAR]]="X"), "X", IF(AND('Inserimento dati'!$B$3=$J$2, Tabella3[[#This Row],[MER]]="X"), "X",IF(AND('Inserimento dati'!$B$3=$K$2, Tabella3[[#This Row],[GIO]]="X"), "X", IF(AND('Inserimento dati'!$B$3=$L$2, Tabella3[[#This Row],[VEN]]="X"), "X","")))))</f>
        <v/>
      </c>
      <c r="U38" s="151" t="str">
        <f t="shared" ca="1" si="0"/>
        <v/>
      </c>
      <c r="V38" s="109">
        <v>45938.298483796294</v>
      </c>
    </row>
    <row r="39" spans="1:22" s="13" customFormat="1" ht="23.25" x14ac:dyDescent="0.2">
      <c r="A39" s="84"/>
      <c r="B39" s="84" t="str">
        <f t="shared" si="2"/>
        <v>X</v>
      </c>
      <c r="C39" s="84" t="str">
        <f>IF(OR(Tabella3[[#This Row],[LUN]]="X",Tabella3[[#This Row],[MAR]]="X",Tabella3[[#This Row],[MER]]="X",Tabella3[[#This Row],[GIO]]="X",Tabella3[[#This Row],[VEN]]="X",),"X","")</f>
        <v/>
      </c>
      <c r="D39" s="85" t="s">
        <v>10</v>
      </c>
      <c r="E39" s="81" t="s">
        <v>1582</v>
      </c>
      <c r="F39" s="81">
        <v>1400</v>
      </c>
      <c r="G39" s="81" t="s">
        <v>1583</v>
      </c>
      <c r="H39" s="83"/>
      <c r="I39" s="83"/>
      <c r="J39" s="83"/>
      <c r="K39" s="83"/>
      <c r="L39" s="83"/>
      <c r="M39" s="81" t="s">
        <v>52</v>
      </c>
      <c r="N39" s="85"/>
      <c r="O39" s="85"/>
      <c r="P39" s="81"/>
      <c r="Q39" s="81" t="s">
        <v>427</v>
      </c>
      <c r="R39" s="82">
        <v>45729</v>
      </c>
      <c r="S39" s="82" t="s">
        <v>535</v>
      </c>
      <c r="T39" s="84" t="str">
        <f ca="1">IF(AND('Inserimento dati'!$B$3=$H$2, Tabella3[[#This Row],[LUN]]="X"), "X",IF(AND('Inserimento dati'!$B$3=$I$2, Tabella3[[#This Row],[MAR]]="X"), "X", IF(AND('Inserimento dati'!$B$3=$J$2, Tabella3[[#This Row],[MER]]="X"), "X",IF(AND('Inserimento dati'!$B$3=$K$2, Tabella3[[#This Row],[GIO]]="X"), "X", IF(AND('Inserimento dati'!$B$3=$L$2, Tabella3[[#This Row],[VEN]]="X"), "X","")))))</f>
        <v/>
      </c>
      <c r="U39" s="153" t="str">
        <f t="shared" ca="1" si="0"/>
        <v/>
      </c>
      <c r="V39" s="109">
        <v>45938.298460648148</v>
      </c>
    </row>
    <row r="40" spans="1:22" s="13" customFormat="1" ht="45" x14ac:dyDescent="0.2">
      <c r="A40" s="84"/>
      <c r="B40" s="84" t="str">
        <f t="shared" si="2"/>
        <v>X</v>
      </c>
      <c r="C40" s="84" t="str">
        <f>IF(OR(Tabella3[[#This Row],[LUN]]="X",Tabella3[[#This Row],[MAR]]="X",Tabella3[[#This Row],[MER]]="X",Tabella3[[#This Row],[GIO]]="X",Tabella3[[#This Row],[VEN]]="X",),"X","")</f>
        <v/>
      </c>
      <c r="D40" s="85" t="s">
        <v>10</v>
      </c>
      <c r="E40" s="81" t="s">
        <v>1584</v>
      </c>
      <c r="F40" s="81" t="s">
        <v>198</v>
      </c>
      <c r="G40" s="81" t="s">
        <v>1585</v>
      </c>
      <c r="H40" s="83"/>
      <c r="I40" s="83"/>
      <c r="J40" s="83"/>
      <c r="K40" s="83"/>
      <c r="L40" s="83"/>
      <c r="M40" s="81" t="s">
        <v>52</v>
      </c>
      <c r="N40" s="85"/>
      <c r="O40" s="85"/>
      <c r="P40" s="81"/>
      <c r="Q40" s="81" t="s">
        <v>1586</v>
      </c>
      <c r="R40" s="82"/>
      <c r="S40" s="81"/>
      <c r="T40" s="138" t="str">
        <f ca="1">IF(AND('Inserimento dati'!$B$3=$H$2, Tabella3[[#This Row],[LUN]]="X"), "X",IF(AND('Inserimento dati'!$B$3=$I$2, Tabella3[[#This Row],[MAR]]="X"), "X", IF(AND('Inserimento dati'!$B$3=$J$2, Tabella3[[#This Row],[MER]]="X"), "X",IF(AND('Inserimento dati'!$B$3=$K$2, Tabella3[[#This Row],[GIO]]="X"), "X", IF(AND('Inserimento dati'!$B$3=$L$2, Tabella3[[#This Row],[VEN]]="X"), "X","")))))</f>
        <v/>
      </c>
      <c r="U40" s="153" t="str">
        <f t="shared" ca="1" si="0"/>
        <v/>
      </c>
      <c r="V40" s="109">
        <v>45938.298437500001</v>
      </c>
    </row>
    <row r="41" spans="1:22" s="13" customFormat="1" ht="45" x14ac:dyDescent="0.2">
      <c r="A41" s="84"/>
      <c r="B41" s="84" t="s">
        <v>8</v>
      </c>
      <c r="C41" s="84" t="str">
        <f>IF(OR(Tabella3[[#This Row],[LUN]]="X",Tabella3[[#This Row],[MAR]]="X",Tabella3[[#This Row],[MER]]="X",Tabella3[[#This Row],[GIO]]="X",Tabella3[[#This Row],[VEN]]="X",),"X","")</f>
        <v/>
      </c>
      <c r="D41" s="85" t="s">
        <v>10</v>
      </c>
      <c r="E41" s="81" t="s">
        <v>1587</v>
      </c>
      <c r="F41" s="81" t="s">
        <v>199</v>
      </c>
      <c r="G41" s="81" t="s">
        <v>1588</v>
      </c>
      <c r="H41" s="83"/>
      <c r="I41" s="83"/>
      <c r="J41" s="83"/>
      <c r="K41" s="83"/>
      <c r="L41" s="83"/>
      <c r="M41" s="81" t="s">
        <v>52</v>
      </c>
      <c r="N41" s="85"/>
      <c r="O41" s="85"/>
      <c r="P41" s="81"/>
      <c r="Q41" s="81" t="s">
        <v>1589</v>
      </c>
      <c r="R41" s="82">
        <v>45790</v>
      </c>
      <c r="S41" s="81" t="s">
        <v>238</v>
      </c>
      <c r="T41" s="150" t="str">
        <f ca="1">IF(AND('Inserimento dati'!$B$3=$H$2, Tabella3[[#This Row],[LUN]]="X"), "X",IF(AND('Inserimento dati'!$B$3=$I$2, Tabella3[[#This Row],[MAR]]="X"), "X", IF(AND('Inserimento dati'!$B$3=$J$2, Tabella3[[#This Row],[MER]]="X"), "X",IF(AND('Inserimento dati'!$B$3=$K$2, Tabella3[[#This Row],[GIO]]="X"), "X", IF(AND('Inserimento dati'!$B$3=$L$2, Tabella3[[#This Row],[VEN]]="X"), "X","")))))</f>
        <v/>
      </c>
      <c r="U41" s="153" t="str">
        <f t="shared" ca="1" si="0"/>
        <v xml:space="preserve"> 1022357</v>
      </c>
      <c r="V41" s="109">
        <v>45938.298333333332</v>
      </c>
    </row>
    <row r="42" spans="1:22" s="13" customFormat="1" ht="23.25" x14ac:dyDescent="0.2">
      <c r="A42" s="84"/>
      <c r="B42" s="84" t="s">
        <v>8</v>
      </c>
      <c r="C42" s="84" t="str">
        <f>IF(OR(Tabella3[[#This Row],[LUN]]="X",Tabella3[[#This Row],[MAR]]="X",Tabella3[[#This Row],[MER]]="X",Tabella3[[#This Row],[GIO]]="X",Tabella3[[#This Row],[VEN]]="X",),"X","")</f>
        <v/>
      </c>
      <c r="D42" s="85" t="s">
        <v>10</v>
      </c>
      <c r="E42" s="81" t="s">
        <v>1590</v>
      </c>
      <c r="F42" s="81">
        <v>2200</v>
      </c>
      <c r="G42" s="81" t="s">
        <v>1591</v>
      </c>
      <c r="H42" s="83"/>
      <c r="I42" s="83"/>
      <c r="J42" s="83"/>
      <c r="K42" s="83"/>
      <c r="L42" s="83"/>
      <c r="M42" s="81" t="s">
        <v>52</v>
      </c>
      <c r="N42" s="85"/>
      <c r="O42" s="85"/>
      <c r="P42" s="81"/>
      <c r="Q42" s="81" t="s">
        <v>1592</v>
      </c>
      <c r="R42" s="82">
        <v>45874</v>
      </c>
      <c r="S42" s="81" t="s">
        <v>238</v>
      </c>
      <c r="T42" s="150" t="str">
        <f ca="1">IF(AND('Inserimento dati'!$B$3=$H$2, Tabella3[[#This Row],[LUN]]="X"), "X",IF(AND('Inserimento dati'!$B$3=$I$2, Tabella3[[#This Row],[MAR]]="X"), "X", IF(AND('Inserimento dati'!$B$3=$J$2, Tabella3[[#This Row],[MER]]="X"), "X",IF(AND('Inserimento dati'!$B$3=$K$2, Tabella3[[#This Row],[GIO]]="X"), "X", IF(AND('Inserimento dati'!$B$3=$L$2, Tabella3[[#This Row],[VEN]]="X"), "X","")))))</f>
        <v/>
      </c>
      <c r="U42" s="153" t="str">
        <f t="shared" ca="1" si="0"/>
        <v/>
      </c>
      <c r="V42" s="109">
        <v>45936.96025462963</v>
      </c>
    </row>
    <row r="43" spans="1:22" s="13" customFormat="1" ht="30" x14ac:dyDescent="0.2">
      <c r="A43" s="84"/>
      <c r="B43" s="84" t="s">
        <v>8</v>
      </c>
      <c r="C43" s="84" t="str">
        <f>IF(OR(Tabella3[[#This Row],[LUN]]="X",Tabella3[[#This Row],[MAR]]="X",Tabella3[[#This Row],[MER]]="X",Tabella3[[#This Row],[GIO]]="X",Tabella3[[#This Row],[VEN]]="X",),"X","")</f>
        <v/>
      </c>
      <c r="D43" s="85" t="s">
        <v>10</v>
      </c>
      <c r="E43" s="81" t="s">
        <v>1593</v>
      </c>
      <c r="F43" s="81">
        <v>1100</v>
      </c>
      <c r="G43" s="81" t="s">
        <v>1594</v>
      </c>
      <c r="H43" s="83"/>
      <c r="I43" s="83"/>
      <c r="J43" s="83"/>
      <c r="K43" s="83"/>
      <c r="L43" s="83"/>
      <c r="M43" s="81" t="s">
        <v>52</v>
      </c>
      <c r="N43" s="85"/>
      <c r="O43" s="85"/>
      <c r="P43" s="81"/>
      <c r="Q43" s="81" t="s">
        <v>1595</v>
      </c>
      <c r="R43" s="82">
        <v>45813</v>
      </c>
      <c r="S43" s="81" t="s">
        <v>1596</v>
      </c>
      <c r="T43" s="138" t="str">
        <f ca="1">IF(AND('Inserimento dati'!$B$3=$H$2, Tabella3[[#This Row],[LUN]]="X"), "X",IF(AND('Inserimento dati'!$B$3=$I$2, Tabella3[[#This Row],[MAR]]="X"), "X", IF(AND('Inserimento dati'!$B$3=$J$2, Tabella3[[#This Row],[MER]]="X"), "X",IF(AND('Inserimento dati'!$B$3=$K$2, Tabella3[[#This Row],[GIO]]="X"), "X", IF(AND('Inserimento dati'!$B$3=$L$2, Tabella3[[#This Row],[VEN]]="X"), "X","")))))</f>
        <v/>
      </c>
      <c r="U43" s="153" t="str">
        <f t="shared" ca="1" si="0"/>
        <v xml:space="preserve"> 1022278</v>
      </c>
      <c r="V43" s="109">
        <v>45936.960231481484</v>
      </c>
    </row>
    <row r="44" spans="1:22" s="13" customFormat="1" ht="30" x14ac:dyDescent="0.2">
      <c r="A44" s="84"/>
      <c r="B44" s="84" t="s">
        <v>8</v>
      </c>
      <c r="C44" s="84" t="str">
        <f>IF(OR(Tabella3[[#This Row],[LUN]]="X",Tabella3[[#This Row],[MAR]]="X",Tabella3[[#This Row],[MER]]="X",Tabella3[[#This Row],[GIO]]="X",Tabella3[[#This Row],[VEN]]="X",),"X","")</f>
        <v/>
      </c>
      <c r="D44" s="85" t="s">
        <v>10</v>
      </c>
      <c r="E44" s="81" t="s">
        <v>1597</v>
      </c>
      <c r="F44" s="81" t="s">
        <v>199</v>
      </c>
      <c r="G44" s="81" t="s">
        <v>1598</v>
      </c>
      <c r="H44" s="83"/>
      <c r="I44" s="83"/>
      <c r="J44" s="83"/>
      <c r="K44" s="83"/>
      <c r="L44" s="83"/>
      <c r="M44" s="81" t="s">
        <v>52</v>
      </c>
      <c r="N44" s="85"/>
      <c r="O44" s="85"/>
      <c r="P44" s="81"/>
      <c r="Q44" s="81" t="s">
        <v>1599</v>
      </c>
      <c r="R44" s="82">
        <v>45779</v>
      </c>
      <c r="S44" s="81" t="s">
        <v>1600</v>
      </c>
      <c r="T44" s="138" t="str">
        <f ca="1">IF(AND('Inserimento dati'!$B$3=$H$2, Tabella3[[#This Row],[LUN]]="X"), "X",IF(AND('Inserimento dati'!$B$3=$I$2, Tabella3[[#This Row],[MAR]]="X"), "X", IF(AND('Inserimento dati'!$B$3=$J$2, Tabella3[[#This Row],[MER]]="X"), "X",IF(AND('Inserimento dati'!$B$3=$K$2, Tabella3[[#This Row],[GIO]]="X"), "X", IF(AND('Inserimento dati'!$B$3=$L$2, Tabella3[[#This Row],[VEN]]="X"), "X","")))))</f>
        <v/>
      </c>
      <c r="U44" s="153" t="str">
        <f t="shared" ca="1" si="0"/>
        <v/>
      </c>
      <c r="V44" s="109">
        <v>45936.867280092592</v>
      </c>
    </row>
    <row r="45" spans="1:22" s="13" customFormat="1" ht="30" x14ac:dyDescent="0.2">
      <c r="A45" s="84"/>
      <c r="B45" s="84" t="str">
        <f t="shared" ref="B45:B76" si="3">IF(OR(A45="x",A45="X"),"",IF(ISBLANK(A45),"X",""))</f>
        <v>X</v>
      </c>
      <c r="C45" s="84" t="str">
        <f>IF(OR(Tabella3[[#This Row],[LUN]]="X",Tabella3[[#This Row],[MAR]]="X",Tabella3[[#This Row],[MER]]="X",Tabella3[[#This Row],[GIO]]="X",Tabella3[[#This Row],[VEN]]="X",),"X","")</f>
        <v/>
      </c>
      <c r="D45" s="85" t="s">
        <v>10</v>
      </c>
      <c r="E45" s="81" t="s">
        <v>1601</v>
      </c>
      <c r="F45" s="81">
        <v>1400</v>
      </c>
      <c r="G45" s="81" t="s">
        <v>1602</v>
      </c>
      <c r="H45" s="83"/>
      <c r="I45" s="83"/>
      <c r="J45" s="83"/>
      <c r="K45" s="83"/>
      <c r="L45" s="83"/>
      <c r="M45" s="81" t="s">
        <v>52</v>
      </c>
      <c r="N45" s="85"/>
      <c r="O45" s="85"/>
      <c r="P45" s="81"/>
      <c r="Q45" s="81" t="s">
        <v>1603</v>
      </c>
      <c r="R45" s="82">
        <v>45756</v>
      </c>
      <c r="S45" s="81" t="s">
        <v>23</v>
      </c>
      <c r="T45" s="138" t="str">
        <f ca="1">IF(AND('Inserimento dati'!$B$3=$H$2, Tabella3[[#This Row],[LUN]]="X"), "X",IF(AND('Inserimento dati'!$B$3=$I$2, Tabella3[[#This Row],[MAR]]="X"), "X", IF(AND('Inserimento dati'!$B$3=$J$2, Tabella3[[#This Row],[MER]]="X"), "X",IF(AND('Inserimento dati'!$B$3=$K$2, Tabella3[[#This Row],[GIO]]="X"), "X", IF(AND('Inserimento dati'!$B$3=$L$2, Tabella3[[#This Row],[VEN]]="X"), "X","")))))</f>
        <v/>
      </c>
      <c r="U45" s="153" t="str">
        <f t="shared" ca="1" si="0"/>
        <v/>
      </c>
      <c r="V45" s="109">
        <v>45935.640856481485</v>
      </c>
    </row>
    <row r="46" spans="1:22" s="13" customFormat="1" ht="23.25" x14ac:dyDescent="0.2">
      <c r="A46" s="84"/>
      <c r="B46" s="84" t="str">
        <f t="shared" si="3"/>
        <v>X</v>
      </c>
      <c r="C46" s="84" t="str">
        <f>IF(OR(Tabella3[[#This Row],[LUN]]="X",Tabella3[[#This Row],[MAR]]="X",Tabella3[[#This Row],[MER]]="X",Tabella3[[#This Row],[GIO]]="X",Tabella3[[#This Row],[VEN]]="X",),"X","")</f>
        <v/>
      </c>
      <c r="D46" s="85" t="s">
        <v>10</v>
      </c>
      <c r="E46" s="81" t="s">
        <v>1604</v>
      </c>
      <c r="F46" s="81" t="s">
        <v>201</v>
      </c>
      <c r="G46" s="81" t="s">
        <v>1605</v>
      </c>
      <c r="H46" s="83"/>
      <c r="I46" s="83"/>
      <c r="J46" s="83"/>
      <c r="K46" s="83"/>
      <c r="L46" s="83"/>
      <c r="M46" s="81" t="s">
        <v>52</v>
      </c>
      <c r="N46" s="85"/>
      <c r="O46" s="85"/>
      <c r="P46" s="81"/>
      <c r="Q46" s="81"/>
      <c r="R46" s="82">
        <v>45779</v>
      </c>
      <c r="S46" s="81"/>
      <c r="T46" s="138" t="str">
        <f ca="1">IF(AND('Inserimento dati'!$B$3=$H$2, Tabella3[[#This Row],[LUN]]="X"), "X",IF(AND('Inserimento dati'!$B$3=$I$2, Tabella3[[#This Row],[MAR]]="X"), "X", IF(AND('Inserimento dati'!$B$3=$J$2, Tabella3[[#This Row],[MER]]="X"), "X",IF(AND('Inserimento dati'!$B$3=$K$2, Tabella3[[#This Row],[GIO]]="X"), "X", IF(AND('Inserimento dati'!$B$3=$L$2, Tabella3[[#This Row],[VEN]]="X"), "X","")))))</f>
        <v/>
      </c>
      <c r="U46" s="153" t="str">
        <f t="shared" ca="1" si="0"/>
        <v xml:space="preserve"> 1022303</v>
      </c>
      <c r="V46" s="109">
        <v>45934.685717592591</v>
      </c>
    </row>
    <row r="47" spans="1:22" s="13" customFormat="1" ht="23.25" x14ac:dyDescent="0.2">
      <c r="A47" s="84"/>
      <c r="B47" s="84" t="str">
        <f t="shared" si="3"/>
        <v>X</v>
      </c>
      <c r="C47" s="84" t="str">
        <f>IF(OR(Tabella3[[#This Row],[LUN]]="X",Tabella3[[#This Row],[MAR]]="X",Tabella3[[#This Row],[MER]]="X",Tabella3[[#This Row],[GIO]]="X",Tabella3[[#This Row],[VEN]]="X",),"X","")</f>
        <v/>
      </c>
      <c r="D47" s="85" t="s">
        <v>10</v>
      </c>
      <c r="E47" s="81" t="s">
        <v>1606</v>
      </c>
      <c r="F47" s="81">
        <v>2200</v>
      </c>
      <c r="G47" s="81" t="s">
        <v>1607</v>
      </c>
      <c r="H47" s="83"/>
      <c r="I47" s="83"/>
      <c r="J47" s="83"/>
      <c r="K47" s="83"/>
      <c r="L47" s="83"/>
      <c r="M47" s="81" t="s">
        <v>52</v>
      </c>
      <c r="N47" s="85"/>
      <c r="O47" s="85"/>
      <c r="P47" s="81"/>
      <c r="Q47" s="81" t="s">
        <v>1608</v>
      </c>
      <c r="R47" s="82">
        <v>45779</v>
      </c>
      <c r="S47" s="81" t="s">
        <v>20</v>
      </c>
      <c r="T47" s="138" t="str">
        <f ca="1">IF(AND('Inserimento dati'!$B$3=$H$2, Tabella3[[#This Row],[LUN]]="X"), "X",IF(AND('Inserimento dati'!$B$3=$I$2, Tabella3[[#This Row],[MAR]]="X"), "X", IF(AND('Inserimento dati'!$B$3=$J$2, Tabella3[[#This Row],[MER]]="X"), "X",IF(AND('Inserimento dati'!$B$3=$K$2, Tabella3[[#This Row],[GIO]]="X"), "X", IF(AND('Inserimento dati'!$B$3=$L$2, Tabella3[[#This Row],[VEN]]="X"), "X","")))))</f>
        <v/>
      </c>
      <c r="U47" s="153" t="str">
        <f t="shared" ca="1" si="0"/>
        <v/>
      </c>
      <c r="V47" s="109">
        <v>45934.685578703706</v>
      </c>
    </row>
    <row r="48" spans="1:22" s="13" customFormat="1" ht="30" x14ac:dyDescent="0.2">
      <c r="A48" s="84"/>
      <c r="B48" s="84" t="str">
        <f t="shared" si="3"/>
        <v>X</v>
      </c>
      <c r="C48" s="84" t="str">
        <f>IF(OR(Tabella3[[#This Row],[LUN]]="X",Tabella3[[#This Row],[MAR]]="X",Tabella3[[#This Row],[MER]]="X",Tabella3[[#This Row],[GIO]]="X",Tabella3[[#This Row],[VEN]]="X",),"X","")</f>
        <v/>
      </c>
      <c r="D48" s="85" t="s">
        <v>10</v>
      </c>
      <c r="E48" s="81" t="s">
        <v>1609</v>
      </c>
      <c r="F48" s="81" t="s">
        <v>199</v>
      </c>
      <c r="G48" s="81" t="s">
        <v>1610</v>
      </c>
      <c r="H48" s="83"/>
      <c r="I48" s="83"/>
      <c r="J48" s="83"/>
      <c r="K48" s="83"/>
      <c r="L48" s="83"/>
      <c r="M48" s="81" t="s">
        <v>52</v>
      </c>
      <c r="N48" s="85"/>
      <c r="O48" s="85"/>
      <c r="P48" s="81"/>
      <c r="Q48" s="81" t="s">
        <v>1611</v>
      </c>
      <c r="R48" s="82">
        <v>45775</v>
      </c>
      <c r="S48" s="81" t="s">
        <v>11</v>
      </c>
      <c r="T48" s="138" t="str">
        <f ca="1">IF(AND('Inserimento dati'!$B$3=$H$2, Tabella3[[#This Row],[LUN]]="X"), "X",IF(AND('Inserimento dati'!$B$3=$I$2, Tabella3[[#This Row],[MAR]]="X"), "X", IF(AND('Inserimento dati'!$B$3=$J$2, Tabella3[[#This Row],[MER]]="X"), "X",IF(AND('Inserimento dati'!$B$3=$K$2, Tabella3[[#This Row],[GIO]]="X"), "X", IF(AND('Inserimento dati'!$B$3=$L$2, Tabella3[[#This Row],[VEN]]="X"), "X","")))))</f>
        <v/>
      </c>
      <c r="U48" s="153" t="str">
        <f t="shared" ca="1" si="0"/>
        <v xml:space="preserve"> 1022278</v>
      </c>
      <c r="V48" s="109"/>
    </row>
    <row r="49" spans="1:21" ht="30" x14ac:dyDescent="0.25">
      <c r="A49" s="84"/>
      <c r="B49" s="84" t="str">
        <f t="shared" si="3"/>
        <v>X</v>
      </c>
      <c r="C49" s="84" t="str">
        <f>IF(OR(Tabella3[[#This Row],[LUN]]="X",Tabella3[[#This Row],[MAR]]="X",Tabella3[[#This Row],[MER]]="X",Tabella3[[#This Row],[GIO]]="X",Tabella3[[#This Row],[VEN]]="X",),"X","")</f>
        <v/>
      </c>
      <c r="D49" s="85" t="s">
        <v>10</v>
      </c>
      <c r="E49" s="81" t="s">
        <v>1612</v>
      </c>
      <c r="F49" s="81">
        <v>800</v>
      </c>
      <c r="G49" s="81" t="s">
        <v>1613</v>
      </c>
      <c r="H49" s="83"/>
      <c r="I49" s="83"/>
      <c r="J49" s="83"/>
      <c r="K49" s="83"/>
      <c r="L49" s="83"/>
      <c r="M49" s="81" t="s">
        <v>52</v>
      </c>
      <c r="N49" s="85"/>
      <c r="O49" s="85"/>
      <c r="P49" s="81"/>
      <c r="Q49" s="81" t="s">
        <v>1614</v>
      </c>
      <c r="R49" s="82">
        <v>45775</v>
      </c>
      <c r="S49" s="81" t="s">
        <v>1615</v>
      </c>
      <c r="T49" s="138" t="str">
        <f ca="1">IF(AND('Inserimento dati'!$B$3=$H$2, Tabella3[[#This Row],[LUN]]="X"), "X",IF(AND('Inserimento dati'!$B$3=$I$2, Tabella3[[#This Row],[MAR]]="X"), "X", IF(AND('Inserimento dati'!$B$3=$J$2, Tabella3[[#This Row],[MER]]="X"), "X",IF(AND('Inserimento dati'!$B$3=$K$2, Tabella3[[#This Row],[GIO]]="X"), "X", IF(AND('Inserimento dati'!$B$3=$L$2, Tabella3[[#This Row],[VEN]]="X"), "X","")))))</f>
        <v/>
      </c>
      <c r="U49" s="153" t="str">
        <f t="shared" ca="1" si="0"/>
        <v xml:space="preserve"> 1022278</v>
      </c>
    </row>
    <row r="50" spans="1:21" ht="30" x14ac:dyDescent="0.25">
      <c r="A50" s="84"/>
      <c r="B50" s="84" t="str">
        <f t="shared" si="3"/>
        <v>X</v>
      </c>
      <c r="C50" s="84" t="str">
        <f>IF(OR(Tabella3[[#This Row],[LUN]]="X",Tabella3[[#This Row],[MAR]]="X",Tabella3[[#This Row],[MER]]="X",Tabella3[[#This Row],[GIO]]="X",Tabella3[[#This Row],[VEN]]="X",),"X","")</f>
        <v/>
      </c>
      <c r="D50" s="85" t="s">
        <v>10</v>
      </c>
      <c r="E50" s="81" t="s">
        <v>1616</v>
      </c>
      <c r="F50" s="81">
        <v>1800</v>
      </c>
      <c r="G50" s="81" t="s">
        <v>1617</v>
      </c>
      <c r="H50" s="83"/>
      <c r="I50" s="83"/>
      <c r="J50" s="83"/>
      <c r="K50" s="83"/>
      <c r="L50" s="83"/>
      <c r="M50" s="81" t="s">
        <v>52</v>
      </c>
      <c r="N50" s="85"/>
      <c r="O50" s="85"/>
      <c r="P50" s="81"/>
      <c r="Q50" s="81" t="s">
        <v>1618</v>
      </c>
      <c r="R50" s="82">
        <v>45775</v>
      </c>
      <c r="S50" s="81" t="s">
        <v>242</v>
      </c>
      <c r="T50" s="138" t="str">
        <f ca="1">IF(AND('Inserimento dati'!$B$3=$H$2, Tabella3[[#This Row],[LUN]]="X"), "X",IF(AND('Inserimento dati'!$B$3=$I$2, Tabella3[[#This Row],[MAR]]="X"), "X", IF(AND('Inserimento dati'!$B$3=$J$2, Tabella3[[#This Row],[MER]]="X"), "X",IF(AND('Inserimento dati'!$B$3=$K$2, Tabella3[[#This Row],[GIO]]="X"), "X", IF(AND('Inserimento dati'!$B$3=$L$2, Tabella3[[#This Row],[VEN]]="X"), "X","")))))</f>
        <v/>
      </c>
      <c r="U50" s="153" t="str">
        <f t="shared" ca="1" si="0"/>
        <v xml:space="preserve"> 1021941</v>
      </c>
    </row>
    <row r="51" spans="1:21" ht="23.25" x14ac:dyDescent="0.25">
      <c r="A51" s="84"/>
      <c r="B51" s="84" t="str">
        <f t="shared" si="3"/>
        <v>X</v>
      </c>
      <c r="C51" s="84" t="str">
        <f>IF(OR(Tabella3[[#This Row],[LUN]]="X",Tabella3[[#This Row],[MAR]]="X",Tabella3[[#This Row],[MER]]="X",Tabella3[[#This Row],[GIO]]="X",Tabella3[[#This Row],[VEN]]="X",),"X","")</f>
        <v/>
      </c>
      <c r="D51" s="85" t="s">
        <v>10</v>
      </c>
      <c r="E51" s="81" t="s">
        <v>1619</v>
      </c>
      <c r="F51" s="81">
        <v>1800</v>
      </c>
      <c r="G51" s="81" t="s">
        <v>1620</v>
      </c>
      <c r="H51" s="83"/>
      <c r="I51" s="83"/>
      <c r="J51" s="83"/>
      <c r="K51" s="83"/>
      <c r="L51" s="83"/>
      <c r="M51" s="81" t="s">
        <v>52</v>
      </c>
      <c r="N51" s="103"/>
      <c r="O51" s="103"/>
      <c r="P51" s="82"/>
      <c r="Q51" s="82" t="s">
        <v>1621</v>
      </c>
      <c r="R51" s="82">
        <v>45771</v>
      </c>
      <c r="S51" s="82" t="s">
        <v>20</v>
      </c>
      <c r="T51" s="138" t="str">
        <f ca="1">IF(AND('Inserimento dati'!$B$3=$H$2, Tabella3[[#This Row],[LUN]]="X"), "X",IF(AND('Inserimento dati'!$B$3=$I$2, Tabella3[[#This Row],[MAR]]="X"), "X", IF(AND('Inserimento dati'!$B$3=$J$2, Tabella3[[#This Row],[MER]]="X"), "X",IF(AND('Inserimento dati'!$B$3=$K$2, Tabella3[[#This Row],[GIO]]="X"), "X", IF(AND('Inserimento dati'!$B$3=$L$2, Tabella3[[#This Row],[VEN]]="X"), "X","")))))</f>
        <v/>
      </c>
      <c r="U51" s="153" t="str">
        <f t="shared" ca="1" si="0"/>
        <v/>
      </c>
    </row>
    <row r="52" spans="1:21" ht="23.25" x14ac:dyDescent="0.25">
      <c r="A52" s="84"/>
      <c r="B52" s="84" t="str">
        <f t="shared" si="3"/>
        <v>X</v>
      </c>
      <c r="C52" s="84" t="str">
        <f>IF(OR(Tabella3[[#This Row],[LUN]]="X",Tabella3[[#This Row],[MAR]]="X",Tabella3[[#This Row],[MER]]="X",Tabella3[[#This Row],[GIO]]="X",Tabella3[[#This Row],[VEN]]="X",),"X","")</f>
        <v/>
      </c>
      <c r="D52" s="85" t="s">
        <v>10</v>
      </c>
      <c r="E52" s="81" t="s">
        <v>1622</v>
      </c>
      <c r="F52" s="81">
        <v>700</v>
      </c>
      <c r="G52" s="81" t="s">
        <v>1623</v>
      </c>
      <c r="H52" s="83"/>
      <c r="I52" s="83"/>
      <c r="J52" s="83"/>
      <c r="K52" s="83"/>
      <c r="L52" s="83"/>
      <c r="M52" s="81" t="s">
        <v>52</v>
      </c>
      <c r="N52" s="85"/>
      <c r="O52" s="85"/>
      <c r="P52" s="81"/>
      <c r="Q52" s="81" t="s">
        <v>47</v>
      </c>
      <c r="R52" s="82">
        <v>45771</v>
      </c>
      <c r="S52" s="81" t="s">
        <v>46</v>
      </c>
      <c r="T52" s="138" t="str">
        <f ca="1">IF(AND('Inserimento dati'!$B$3=$H$2, Tabella3[[#This Row],[LUN]]="X"), "X",IF(AND('Inserimento dati'!$B$3=$I$2, Tabella3[[#This Row],[MAR]]="X"), "X", IF(AND('Inserimento dati'!$B$3=$J$2, Tabella3[[#This Row],[MER]]="X"), "X",IF(AND('Inserimento dati'!$B$3=$K$2, Tabella3[[#This Row],[GIO]]="X"), "X", IF(AND('Inserimento dati'!$B$3=$L$2, Tabella3[[#This Row],[VEN]]="X"), "X","")))))</f>
        <v/>
      </c>
      <c r="U52" s="153" t="str">
        <f t="shared" ca="1" si="0"/>
        <v xml:space="preserve"> 1021869</v>
      </c>
    </row>
    <row r="53" spans="1:21" ht="30" x14ac:dyDescent="0.25">
      <c r="A53" s="84"/>
      <c r="B53" s="84" t="str">
        <f t="shared" si="3"/>
        <v>X</v>
      </c>
      <c r="C53" s="84" t="str">
        <f>IF(OR(Tabella3[[#This Row],[LUN]]="X",Tabella3[[#This Row],[MAR]]="X",Tabella3[[#This Row],[MER]]="X",Tabella3[[#This Row],[GIO]]="X",Tabella3[[#This Row],[VEN]]="X",),"X","")</f>
        <v/>
      </c>
      <c r="D53" s="85" t="s">
        <v>10</v>
      </c>
      <c r="E53" s="81" t="s">
        <v>1624</v>
      </c>
      <c r="F53" s="81" t="s">
        <v>199</v>
      </c>
      <c r="G53" s="81" t="s">
        <v>1625</v>
      </c>
      <c r="H53" s="83"/>
      <c r="I53" s="83"/>
      <c r="J53" s="83"/>
      <c r="K53" s="83"/>
      <c r="L53" s="83"/>
      <c r="M53" s="81" t="s">
        <v>52</v>
      </c>
      <c r="N53" s="85"/>
      <c r="O53" s="85"/>
      <c r="P53" s="81"/>
      <c r="Q53" s="81" t="s">
        <v>1626</v>
      </c>
      <c r="R53" s="82">
        <v>45770</v>
      </c>
      <c r="S53" s="81" t="s">
        <v>238</v>
      </c>
      <c r="T53" s="138" t="str">
        <f ca="1">IF(AND('Inserimento dati'!$B$3=$H$2, Tabella3[[#This Row],[LUN]]="X"), "X",IF(AND('Inserimento dati'!$B$3=$I$2, Tabella3[[#This Row],[MAR]]="X"), "X", IF(AND('Inserimento dati'!$B$3=$J$2, Tabella3[[#This Row],[MER]]="X"), "X",IF(AND('Inserimento dati'!$B$3=$K$2, Tabella3[[#This Row],[GIO]]="X"), "X", IF(AND('Inserimento dati'!$B$3=$L$2, Tabella3[[#This Row],[VEN]]="X"), "X","")))))</f>
        <v/>
      </c>
      <c r="U53" s="153" t="str">
        <f t="shared" ca="1" si="0"/>
        <v/>
      </c>
    </row>
    <row r="54" spans="1:21" ht="23.25" x14ac:dyDescent="0.25">
      <c r="A54" s="84"/>
      <c r="B54" s="84" t="str">
        <f t="shared" si="3"/>
        <v>X</v>
      </c>
      <c r="C54" s="84" t="str">
        <f>IF(OR(Tabella3[[#This Row],[LUN]]="X",Tabella3[[#This Row],[MAR]]="X",Tabella3[[#This Row],[MER]]="X",Tabella3[[#This Row],[GIO]]="X",Tabella3[[#This Row],[VEN]]="X",),"X","")</f>
        <v/>
      </c>
      <c r="D54" s="85" t="s">
        <v>10</v>
      </c>
      <c r="E54" s="81" t="s">
        <v>1627</v>
      </c>
      <c r="F54" s="81" t="s">
        <v>200</v>
      </c>
      <c r="G54" s="81" t="s">
        <v>1628</v>
      </c>
      <c r="H54" s="83"/>
      <c r="I54" s="83"/>
      <c r="J54" s="83"/>
      <c r="K54" s="83"/>
      <c r="L54" s="83"/>
      <c r="M54" s="81" t="s">
        <v>52</v>
      </c>
      <c r="N54" s="85"/>
      <c r="O54" s="85"/>
      <c r="P54" s="81"/>
      <c r="Q54" s="81"/>
      <c r="R54" s="82"/>
      <c r="S54" s="82"/>
      <c r="T54" s="84" t="str">
        <f ca="1">IF(AND('Inserimento dati'!$B$3=$H$2, Tabella3[[#This Row],[LUN]]="X"), "X",IF(AND('Inserimento dati'!$B$3=$I$2, Tabella3[[#This Row],[MAR]]="X"), "X", IF(AND('Inserimento dati'!$B$3=$J$2, Tabella3[[#This Row],[MER]]="X"), "X",IF(AND('Inserimento dati'!$B$3=$K$2, Tabella3[[#This Row],[GIO]]="X"), "X", IF(AND('Inserimento dati'!$B$3=$L$2, Tabella3[[#This Row],[VEN]]="X"), "X","")))))</f>
        <v/>
      </c>
      <c r="U54" s="153" t="str">
        <f t="shared" ca="1" si="0"/>
        <v/>
      </c>
    </row>
    <row r="55" spans="1:21" ht="23.25" x14ac:dyDescent="0.25">
      <c r="A55" s="84"/>
      <c r="B55" s="84" t="str">
        <f t="shared" si="3"/>
        <v>X</v>
      </c>
      <c r="C55" s="84" t="str">
        <f>IF(OR(Tabella3[[#This Row],[LUN]]="X",Tabella3[[#This Row],[MAR]]="X",Tabella3[[#This Row],[MER]]="X",Tabella3[[#This Row],[GIO]]="X",Tabella3[[#This Row],[VEN]]="X",),"X","")</f>
        <v/>
      </c>
      <c r="D55" s="85" t="s">
        <v>10</v>
      </c>
      <c r="E55" s="81" t="s">
        <v>1629</v>
      </c>
      <c r="F55" s="81" t="s">
        <v>160</v>
      </c>
      <c r="G55" s="81" t="s">
        <v>1630</v>
      </c>
      <c r="H55" s="83"/>
      <c r="I55" s="83"/>
      <c r="J55" s="83"/>
      <c r="K55" s="83"/>
      <c r="L55" s="83"/>
      <c r="M55" s="81" t="s">
        <v>52</v>
      </c>
      <c r="N55" s="85"/>
      <c r="O55" s="85"/>
      <c r="P55" s="81"/>
      <c r="Q55" s="81" t="s">
        <v>1631</v>
      </c>
      <c r="R55" s="82">
        <v>45761</v>
      </c>
      <c r="S55" s="82" t="s">
        <v>238</v>
      </c>
      <c r="T55" s="84" t="str">
        <f ca="1">IF(AND('Inserimento dati'!$B$3=$H$2, Tabella3[[#This Row],[LUN]]="X"), "X",IF(AND('Inserimento dati'!$B$3=$I$2, Tabella3[[#This Row],[MAR]]="X"), "X", IF(AND('Inserimento dati'!$B$3=$J$2, Tabella3[[#This Row],[MER]]="X"), "X",IF(AND('Inserimento dati'!$B$3=$K$2, Tabella3[[#This Row],[GIO]]="X"), "X", IF(AND('Inserimento dati'!$B$3=$L$2, Tabella3[[#This Row],[VEN]]="X"), "X","")))))</f>
        <v/>
      </c>
      <c r="U55" s="153" t="str">
        <f t="shared" ca="1" si="0"/>
        <v xml:space="preserve"> 1021524</v>
      </c>
    </row>
    <row r="56" spans="1:21" ht="30" x14ac:dyDescent="0.25">
      <c r="A56" s="84"/>
      <c r="B56" s="84" t="str">
        <f t="shared" si="3"/>
        <v>X</v>
      </c>
      <c r="C56" s="84" t="str">
        <f>IF(OR(Tabella3[[#This Row],[LUN]]="X",Tabella3[[#This Row],[MAR]]="X",Tabella3[[#This Row],[MER]]="X",Tabella3[[#This Row],[GIO]]="X",Tabella3[[#This Row],[VEN]]="X",),"X","")</f>
        <v/>
      </c>
      <c r="D56" s="85" t="s">
        <v>10</v>
      </c>
      <c r="E56" s="81" t="s">
        <v>1632</v>
      </c>
      <c r="F56" s="81" t="s">
        <v>203</v>
      </c>
      <c r="G56" s="81" t="s">
        <v>1633</v>
      </c>
      <c r="H56" s="83"/>
      <c r="I56" s="83"/>
      <c r="J56" s="83"/>
      <c r="K56" s="83"/>
      <c r="L56" s="83"/>
      <c r="M56" s="81" t="s">
        <v>52</v>
      </c>
      <c r="N56" s="85"/>
      <c r="O56" s="85"/>
      <c r="P56" s="81"/>
      <c r="Q56" s="81" t="s">
        <v>1634</v>
      </c>
      <c r="R56" s="82">
        <v>45758</v>
      </c>
      <c r="S56" s="82" t="s">
        <v>20</v>
      </c>
      <c r="T56" s="84" t="str">
        <f ca="1">IF(AND('Inserimento dati'!$B$3=$H$2, Tabella3[[#This Row],[LUN]]="X"), "X",IF(AND('Inserimento dati'!$B$3=$I$2, Tabella3[[#This Row],[MAR]]="X"), "X", IF(AND('Inserimento dati'!$B$3=$J$2, Tabella3[[#This Row],[MER]]="X"), "X",IF(AND('Inserimento dati'!$B$3=$K$2, Tabella3[[#This Row],[GIO]]="X"), "X", IF(AND('Inserimento dati'!$B$3=$L$2, Tabella3[[#This Row],[VEN]]="X"), "X","")))))</f>
        <v/>
      </c>
      <c r="U56" s="153" t="str">
        <f t="shared" ca="1" si="0"/>
        <v xml:space="preserve"> 1021599</v>
      </c>
    </row>
    <row r="57" spans="1:21" ht="23.25" x14ac:dyDescent="0.25">
      <c r="A57" s="84"/>
      <c r="B57" s="84" t="str">
        <f t="shared" si="3"/>
        <v>X</v>
      </c>
      <c r="C57" s="84" t="str">
        <f>IF(OR(Tabella3[[#This Row],[LUN]]="X",Tabella3[[#This Row],[MAR]]="X",Tabella3[[#This Row],[MER]]="X",Tabella3[[#This Row],[GIO]]="X",Tabella3[[#This Row],[VEN]]="X",),"X","")</f>
        <v/>
      </c>
      <c r="D57" s="85" t="s">
        <v>10</v>
      </c>
      <c r="E57" s="81" t="s">
        <v>1635</v>
      </c>
      <c r="F57" s="81">
        <v>800</v>
      </c>
      <c r="G57" s="81" t="s">
        <v>1636</v>
      </c>
      <c r="H57" s="83"/>
      <c r="I57" s="83"/>
      <c r="J57" s="83"/>
      <c r="K57" s="83"/>
      <c r="L57" s="83"/>
      <c r="M57" s="81" t="s">
        <v>52</v>
      </c>
      <c r="N57" s="85"/>
      <c r="O57" s="85"/>
      <c r="P57" s="81"/>
      <c r="Q57" s="81" t="s">
        <v>1637</v>
      </c>
      <c r="R57" s="82">
        <v>45757</v>
      </c>
      <c r="S57" s="81" t="s">
        <v>45</v>
      </c>
      <c r="T57" s="138" t="str">
        <f ca="1">IF(AND('Inserimento dati'!$B$3=$H$2, Tabella3[[#This Row],[LUN]]="X"), "X",IF(AND('Inserimento dati'!$B$3=$I$2, Tabella3[[#This Row],[MAR]]="X"), "X", IF(AND('Inserimento dati'!$B$3=$J$2, Tabella3[[#This Row],[MER]]="X"), "X",IF(AND('Inserimento dati'!$B$3=$K$2, Tabella3[[#This Row],[GIO]]="X"), "X", IF(AND('Inserimento dati'!$B$3=$L$2, Tabella3[[#This Row],[VEN]]="X"), "X","")))))</f>
        <v/>
      </c>
      <c r="U57" s="153" t="str">
        <f t="shared" ca="1" si="0"/>
        <v/>
      </c>
    </row>
    <row r="58" spans="1:21" ht="23.25" x14ac:dyDescent="0.25">
      <c r="A58" s="84"/>
      <c r="B58" s="84" t="str">
        <f t="shared" si="3"/>
        <v>X</v>
      </c>
      <c r="C58" s="84" t="str">
        <f>IF(OR(Tabella3[[#This Row],[LUN]]="X",Tabella3[[#This Row],[MAR]]="X",Tabella3[[#This Row],[MER]]="X",Tabella3[[#This Row],[GIO]]="X",Tabella3[[#This Row],[VEN]]="X",),"X","")</f>
        <v/>
      </c>
      <c r="D58" s="85" t="s">
        <v>10</v>
      </c>
      <c r="E58" s="81" t="s">
        <v>1638</v>
      </c>
      <c r="F58" s="81" t="s">
        <v>203</v>
      </c>
      <c r="G58" s="81" t="s">
        <v>1639</v>
      </c>
      <c r="H58" s="83"/>
      <c r="I58" s="83"/>
      <c r="J58" s="83"/>
      <c r="K58" s="83"/>
      <c r="L58" s="83"/>
      <c r="M58" s="81" t="s">
        <v>52</v>
      </c>
      <c r="N58" s="85"/>
      <c r="O58" s="85"/>
      <c r="P58" s="81"/>
      <c r="Q58" s="81"/>
      <c r="R58" s="82">
        <v>45755</v>
      </c>
      <c r="S58" s="81" t="s">
        <v>1470</v>
      </c>
      <c r="T58" s="138" t="str">
        <f ca="1">IF(AND('Inserimento dati'!$B$3=$H$2, Tabella3[[#This Row],[LUN]]="X"), "X",IF(AND('Inserimento dati'!$B$3=$I$2, Tabella3[[#This Row],[MAR]]="X"), "X", IF(AND('Inserimento dati'!$B$3=$J$2, Tabella3[[#This Row],[MER]]="X"), "X",IF(AND('Inserimento dati'!$B$3=$K$2, Tabella3[[#This Row],[GIO]]="X"), "X", IF(AND('Inserimento dati'!$B$3=$L$2, Tabella3[[#This Row],[VEN]]="X"), "X","")))))</f>
        <v/>
      </c>
      <c r="U58" s="153" t="str">
        <f t="shared" ca="1" si="0"/>
        <v/>
      </c>
    </row>
    <row r="59" spans="1:21" ht="30" x14ac:dyDescent="0.25">
      <c r="A59" s="84"/>
      <c r="B59" s="84" t="str">
        <f t="shared" si="3"/>
        <v>X</v>
      </c>
      <c r="C59" s="84" t="str">
        <f>IF(OR(Tabella3[[#This Row],[LUN]]="X",Tabella3[[#This Row],[MAR]]="X",Tabella3[[#This Row],[MER]]="X",Tabella3[[#This Row],[GIO]]="X",Tabella3[[#This Row],[VEN]]="X",),"X","")</f>
        <v/>
      </c>
      <c r="D59" s="85" t="s">
        <v>10</v>
      </c>
      <c r="E59" s="81" t="s">
        <v>1640</v>
      </c>
      <c r="F59" s="81">
        <v>700</v>
      </c>
      <c r="G59" s="81" t="s">
        <v>1641</v>
      </c>
      <c r="H59" s="83"/>
      <c r="I59" s="83"/>
      <c r="J59" s="83"/>
      <c r="K59" s="83"/>
      <c r="L59" s="83"/>
      <c r="M59" s="81" t="s">
        <v>52</v>
      </c>
      <c r="N59" s="85"/>
      <c r="O59" s="85"/>
      <c r="P59" s="81"/>
      <c r="Q59" s="81" t="s">
        <v>1642</v>
      </c>
      <c r="R59" s="82">
        <v>45755</v>
      </c>
      <c r="S59" s="81" t="s">
        <v>11</v>
      </c>
      <c r="T59" s="138" t="str">
        <f ca="1">IF(AND('Inserimento dati'!$B$3=$H$2, Tabella3[[#This Row],[LUN]]="X"), "X",IF(AND('Inserimento dati'!$B$3=$I$2, Tabella3[[#This Row],[MAR]]="X"), "X", IF(AND('Inserimento dati'!$B$3=$J$2, Tabella3[[#This Row],[MER]]="X"), "X",IF(AND('Inserimento dati'!$B$3=$K$2, Tabella3[[#This Row],[GIO]]="X"), "X", IF(AND('Inserimento dati'!$B$3=$L$2, Tabella3[[#This Row],[VEN]]="X"), "X","")))))</f>
        <v/>
      </c>
      <c r="U59" s="153" t="str">
        <f t="shared" ca="1" si="0"/>
        <v xml:space="preserve"> 1022162</v>
      </c>
    </row>
    <row r="60" spans="1:21" ht="30" x14ac:dyDescent="0.25">
      <c r="A60" s="84"/>
      <c r="B60" s="84" t="str">
        <f t="shared" si="3"/>
        <v>X</v>
      </c>
      <c r="C60" s="84" t="str">
        <f>IF(OR(Tabella3[[#This Row],[LUN]]="X",Tabella3[[#This Row],[MAR]]="X",Tabella3[[#This Row],[MER]]="X",Tabella3[[#This Row],[GIO]]="X",Tabella3[[#This Row],[VEN]]="X",),"X","")</f>
        <v/>
      </c>
      <c r="D60" s="85" t="s">
        <v>10</v>
      </c>
      <c r="E60" s="81" t="s">
        <v>1643</v>
      </c>
      <c r="F60" s="81" t="s">
        <v>160</v>
      </c>
      <c r="G60" s="81" t="s">
        <v>1644</v>
      </c>
      <c r="H60" s="83"/>
      <c r="I60" s="83"/>
      <c r="J60" s="83"/>
      <c r="K60" s="83"/>
      <c r="L60" s="83"/>
      <c r="M60" s="81" t="s">
        <v>52</v>
      </c>
      <c r="N60" s="85"/>
      <c r="O60" s="85"/>
      <c r="P60" s="81"/>
      <c r="Q60" s="81" t="s">
        <v>1645</v>
      </c>
      <c r="R60" s="82">
        <v>45755</v>
      </c>
      <c r="S60" s="81" t="s">
        <v>1470</v>
      </c>
      <c r="T60" s="138" t="str">
        <f ca="1">IF(AND('Inserimento dati'!$B$3=$H$2, Tabella3[[#This Row],[LUN]]="X"), "X",IF(AND('Inserimento dati'!$B$3=$I$2, Tabella3[[#This Row],[MAR]]="X"), "X", IF(AND('Inserimento dati'!$B$3=$J$2, Tabella3[[#This Row],[MER]]="X"), "X",IF(AND('Inserimento dati'!$B$3=$K$2, Tabella3[[#This Row],[GIO]]="X"), "X", IF(AND('Inserimento dati'!$B$3=$L$2, Tabella3[[#This Row],[VEN]]="X"), "X","")))))</f>
        <v/>
      </c>
      <c r="U60" s="153" t="str">
        <f t="shared" ca="1" si="0"/>
        <v/>
      </c>
    </row>
    <row r="61" spans="1:21" ht="23.25" x14ac:dyDescent="0.25">
      <c r="A61" s="84"/>
      <c r="B61" s="84" t="str">
        <f t="shared" si="3"/>
        <v>X</v>
      </c>
      <c r="C61" s="84" t="str">
        <f>IF(OR(Tabella3[[#This Row],[LUN]]="X",Tabella3[[#This Row],[MAR]]="X",Tabella3[[#This Row],[MER]]="X",Tabella3[[#This Row],[GIO]]="X",Tabella3[[#This Row],[VEN]]="X",),"X","")</f>
        <v/>
      </c>
      <c r="D61" s="85" t="s">
        <v>10</v>
      </c>
      <c r="E61" s="81" t="s">
        <v>1646</v>
      </c>
      <c r="F61" s="81" t="s">
        <v>199</v>
      </c>
      <c r="G61" s="81" t="s">
        <v>1647</v>
      </c>
      <c r="H61" s="83"/>
      <c r="I61" s="83"/>
      <c r="J61" s="83"/>
      <c r="K61" s="83"/>
      <c r="L61" s="83"/>
      <c r="M61" s="81" t="s">
        <v>52</v>
      </c>
      <c r="N61" s="85"/>
      <c r="O61" s="85"/>
      <c r="P61" s="81"/>
      <c r="Q61" s="81"/>
      <c r="R61" s="82">
        <v>45756</v>
      </c>
      <c r="S61" s="81"/>
      <c r="T61" s="138" t="str">
        <f ca="1">IF(AND('Inserimento dati'!$B$3=$H$2, Tabella3[[#This Row],[LUN]]="X"), "X",IF(AND('Inserimento dati'!$B$3=$I$2, Tabella3[[#This Row],[MAR]]="X"), "X", IF(AND('Inserimento dati'!$B$3=$J$2, Tabella3[[#This Row],[MER]]="X"), "X",IF(AND('Inserimento dati'!$B$3=$K$2, Tabella3[[#This Row],[GIO]]="X"), "X", IF(AND('Inserimento dati'!$B$3=$L$2, Tabella3[[#This Row],[VEN]]="X"), "X","")))))</f>
        <v/>
      </c>
      <c r="U61" s="153" t="str">
        <f t="shared" ca="1" si="0"/>
        <v xml:space="preserve"> 1021817</v>
      </c>
    </row>
    <row r="62" spans="1:21" ht="30" x14ac:dyDescent="0.25">
      <c r="A62" s="84"/>
      <c r="B62" s="84" t="str">
        <f t="shared" si="3"/>
        <v>X</v>
      </c>
      <c r="C62" s="84" t="str">
        <f>IF(OR(Tabella3[[#This Row],[LUN]]="X",Tabella3[[#This Row],[MAR]]="X",Tabella3[[#This Row],[MER]]="X",Tabella3[[#This Row],[GIO]]="X",Tabella3[[#This Row],[VEN]]="X",),"X","")</f>
        <v/>
      </c>
      <c r="D62" s="85" t="s">
        <v>10</v>
      </c>
      <c r="E62" s="81" t="s">
        <v>1648</v>
      </c>
      <c r="F62" s="81">
        <v>700</v>
      </c>
      <c r="G62" s="81" t="s">
        <v>1649</v>
      </c>
      <c r="H62" s="83"/>
      <c r="I62" s="83"/>
      <c r="J62" s="83"/>
      <c r="K62" s="83"/>
      <c r="L62" s="83"/>
      <c r="M62" s="81" t="s">
        <v>52</v>
      </c>
      <c r="N62" s="85"/>
      <c r="O62" s="85"/>
      <c r="P62" s="81"/>
      <c r="Q62" s="81" t="s">
        <v>1650</v>
      </c>
      <c r="R62" s="111">
        <v>45718</v>
      </c>
      <c r="S62" s="111" t="s">
        <v>23</v>
      </c>
      <c r="T62" s="138" t="str">
        <f ca="1">IF(AND('Inserimento dati'!$B$3=$H$2, Tabella3[[#This Row],[LUN]]="X"), "X",IF(AND('Inserimento dati'!$B$3=$I$2, Tabella3[[#This Row],[MAR]]="X"), "X", IF(AND('Inserimento dati'!$B$3=$J$2, Tabella3[[#This Row],[MER]]="X"), "X",IF(AND('Inserimento dati'!$B$3=$K$2, Tabella3[[#This Row],[GIO]]="X"), "X", IF(AND('Inserimento dati'!$B$3=$L$2, Tabella3[[#This Row],[VEN]]="X"), "X","")))))</f>
        <v/>
      </c>
      <c r="U62" s="153" t="str">
        <f t="shared" ca="1" si="0"/>
        <v/>
      </c>
    </row>
    <row r="63" spans="1:21" ht="23.25" x14ac:dyDescent="0.25">
      <c r="A63" s="84"/>
      <c r="B63" s="84" t="str">
        <f t="shared" si="3"/>
        <v>X</v>
      </c>
      <c r="C63" s="84" t="str">
        <f>IF(OR(Tabella3[[#This Row],[LUN]]="X",Tabella3[[#This Row],[MAR]]="X",Tabella3[[#This Row],[MER]]="X",Tabella3[[#This Row],[GIO]]="X",Tabella3[[#This Row],[VEN]]="X",),"X","")</f>
        <v/>
      </c>
      <c r="D63" s="85" t="s">
        <v>10</v>
      </c>
      <c r="E63" s="81" t="s">
        <v>1651</v>
      </c>
      <c r="F63" s="81">
        <v>2400</v>
      </c>
      <c r="G63" s="81" t="s">
        <v>1652</v>
      </c>
      <c r="H63" s="83"/>
      <c r="I63" s="83"/>
      <c r="J63" s="83"/>
      <c r="K63" s="83"/>
      <c r="L63" s="83"/>
      <c r="M63" s="81" t="s">
        <v>52</v>
      </c>
      <c r="N63" s="85"/>
      <c r="O63" s="85"/>
      <c r="P63" s="81"/>
      <c r="Q63" s="81" t="s">
        <v>1653</v>
      </c>
      <c r="R63" s="82"/>
      <c r="S63" s="81"/>
      <c r="T63" s="138" t="str">
        <f ca="1">IF(AND('Inserimento dati'!$B$3=$H$2, Tabella3[[#This Row],[LUN]]="X"), "X",IF(AND('Inserimento dati'!$B$3=$I$2, Tabella3[[#This Row],[MAR]]="X"), "X", IF(AND('Inserimento dati'!$B$3=$J$2, Tabella3[[#This Row],[MER]]="X"), "X",IF(AND('Inserimento dati'!$B$3=$K$2, Tabella3[[#This Row],[GIO]]="X"), "X", IF(AND('Inserimento dati'!$B$3=$L$2, Tabella3[[#This Row],[VEN]]="X"), "X","")))))</f>
        <v/>
      </c>
      <c r="U63" s="153" t="str">
        <f t="shared" ca="1" si="0"/>
        <v xml:space="preserve"> 1021922</v>
      </c>
    </row>
    <row r="64" spans="1:21" ht="23.25" x14ac:dyDescent="0.25">
      <c r="A64" s="84"/>
      <c r="B64" s="84" t="str">
        <f t="shared" si="3"/>
        <v>X</v>
      </c>
      <c r="C64" s="84" t="str">
        <f>IF(OR(Tabella3[[#This Row],[LUN]]="X",Tabella3[[#This Row],[MAR]]="X",Tabella3[[#This Row],[MER]]="X",Tabella3[[#This Row],[GIO]]="X",Tabella3[[#This Row],[VEN]]="X",),"X","")</f>
        <v/>
      </c>
      <c r="D64" s="85" t="s">
        <v>10</v>
      </c>
      <c r="E64" s="81" t="s">
        <v>1654</v>
      </c>
      <c r="F64" s="81" t="s">
        <v>199</v>
      </c>
      <c r="G64" s="81" t="s">
        <v>1655</v>
      </c>
      <c r="H64" s="83"/>
      <c r="I64" s="83"/>
      <c r="J64" s="83"/>
      <c r="K64" s="83"/>
      <c r="L64" s="83"/>
      <c r="M64" s="81" t="s">
        <v>52</v>
      </c>
      <c r="N64" s="85"/>
      <c r="O64" s="85"/>
      <c r="P64" s="81"/>
      <c r="Q64" s="81" t="s">
        <v>1656</v>
      </c>
      <c r="R64" s="82">
        <v>45729</v>
      </c>
      <c r="S64" s="81" t="s">
        <v>238</v>
      </c>
      <c r="T64" s="138" t="str">
        <f ca="1">IF(AND('Inserimento dati'!$B$3=$H$2, Tabella3[[#This Row],[LUN]]="X"), "X",IF(AND('Inserimento dati'!$B$3=$I$2, Tabella3[[#This Row],[MAR]]="X"), "X", IF(AND('Inserimento dati'!$B$3=$J$2, Tabella3[[#This Row],[MER]]="X"), "X",IF(AND('Inserimento dati'!$B$3=$K$2, Tabella3[[#This Row],[GIO]]="X"), "X", IF(AND('Inserimento dati'!$B$3=$L$2, Tabella3[[#This Row],[VEN]]="X"), "X","")))))</f>
        <v/>
      </c>
      <c r="U64" s="153" t="str">
        <f t="shared" ca="1" si="0"/>
        <v/>
      </c>
    </row>
    <row r="65" spans="1:21" ht="45" x14ac:dyDescent="0.25">
      <c r="A65" s="84"/>
      <c r="B65" s="84" t="str">
        <f t="shared" si="3"/>
        <v>X</v>
      </c>
      <c r="C65" s="84" t="str">
        <f>IF(OR(Tabella3[[#This Row],[LUN]]="X",Tabella3[[#This Row],[MAR]]="X",Tabella3[[#This Row],[MER]]="X",Tabella3[[#This Row],[GIO]]="X",Tabella3[[#This Row],[VEN]]="X",),"X","")</f>
        <v/>
      </c>
      <c r="D65" s="85" t="s">
        <v>10</v>
      </c>
      <c r="E65" s="81" t="s">
        <v>1657</v>
      </c>
      <c r="F65" s="81" t="s">
        <v>202</v>
      </c>
      <c r="G65" s="81" t="s">
        <v>1658</v>
      </c>
      <c r="H65" s="83"/>
      <c r="I65" s="83"/>
      <c r="J65" s="83"/>
      <c r="K65" s="83"/>
      <c r="L65" s="83"/>
      <c r="M65" s="81" t="s">
        <v>52</v>
      </c>
      <c r="N65" s="85"/>
      <c r="O65" s="85"/>
      <c r="P65" s="81"/>
      <c r="Q65" s="81"/>
      <c r="R65" s="82"/>
      <c r="S65" s="81"/>
      <c r="T65" s="138" t="str">
        <f ca="1">IF(AND('Inserimento dati'!$B$3=$H$2, Tabella3[[#This Row],[LUN]]="X"), "X",IF(AND('Inserimento dati'!$B$3=$I$2, Tabella3[[#This Row],[MAR]]="X"), "X", IF(AND('Inserimento dati'!$B$3=$J$2, Tabella3[[#This Row],[MER]]="X"), "X",IF(AND('Inserimento dati'!$B$3=$K$2, Tabella3[[#This Row],[GIO]]="X"), "X", IF(AND('Inserimento dati'!$B$3=$L$2, Tabella3[[#This Row],[VEN]]="X"), "X","")))))</f>
        <v/>
      </c>
      <c r="U65" s="153" t="str">
        <f t="shared" ca="1" si="0"/>
        <v/>
      </c>
    </row>
    <row r="66" spans="1:21" ht="23.25" x14ac:dyDescent="0.25">
      <c r="A66" s="84"/>
      <c r="B66" s="84" t="str">
        <f t="shared" si="3"/>
        <v>X</v>
      </c>
      <c r="C66" s="84" t="str">
        <f>IF(OR(Tabella3[[#This Row],[LUN]]="X",Tabella3[[#This Row],[MAR]]="X",Tabella3[[#This Row],[MER]]="X",Tabella3[[#This Row],[GIO]]="X",Tabella3[[#This Row],[VEN]]="X",),"X","")</f>
        <v/>
      </c>
      <c r="D66" s="85" t="s">
        <v>10</v>
      </c>
      <c r="E66" s="81" t="s">
        <v>1659</v>
      </c>
      <c r="F66" s="81" t="s">
        <v>199</v>
      </c>
      <c r="G66" s="81" t="s">
        <v>1660</v>
      </c>
      <c r="H66" s="83"/>
      <c r="I66" s="83"/>
      <c r="J66" s="83"/>
      <c r="K66" s="83"/>
      <c r="L66" s="83"/>
      <c r="M66" s="81" t="s">
        <v>52</v>
      </c>
      <c r="N66" s="85"/>
      <c r="O66" s="85"/>
      <c r="P66" s="81"/>
      <c r="Q66" s="81"/>
      <c r="R66" s="82"/>
      <c r="S66" s="81"/>
      <c r="T66" s="138" t="str">
        <f ca="1">IF(AND('Inserimento dati'!$B$3=$H$2, Tabella3[[#This Row],[LUN]]="X"), "X",IF(AND('Inserimento dati'!$B$3=$I$2, Tabella3[[#This Row],[MAR]]="X"), "X", IF(AND('Inserimento dati'!$B$3=$J$2, Tabella3[[#This Row],[MER]]="X"), "X",IF(AND('Inserimento dati'!$B$3=$K$2, Tabella3[[#This Row],[GIO]]="X"), "X", IF(AND('Inserimento dati'!$B$3=$L$2, Tabella3[[#This Row],[VEN]]="X"), "X","")))))</f>
        <v/>
      </c>
      <c r="U66" s="153" t="str">
        <f t="shared" ca="1" si="0"/>
        <v xml:space="preserve"> 1022138</v>
      </c>
    </row>
    <row r="67" spans="1:21" ht="23.25" x14ac:dyDescent="0.25">
      <c r="A67" s="84"/>
      <c r="B67" s="84" t="str">
        <f t="shared" si="3"/>
        <v>X</v>
      </c>
      <c r="C67" s="84" t="str">
        <f>IF(OR(Tabella3[[#This Row],[LUN]]="X",Tabella3[[#This Row],[MAR]]="X",Tabella3[[#This Row],[MER]]="X",Tabella3[[#This Row],[GIO]]="X",Tabella3[[#This Row],[VEN]]="X",),"X","")</f>
        <v/>
      </c>
      <c r="D67" s="85" t="s">
        <v>10</v>
      </c>
      <c r="E67" s="81" t="s">
        <v>1661</v>
      </c>
      <c r="F67" s="81" t="s">
        <v>199</v>
      </c>
      <c r="G67" s="81" t="s">
        <v>1662</v>
      </c>
      <c r="H67" s="83"/>
      <c r="I67" s="83"/>
      <c r="J67" s="83"/>
      <c r="K67" s="83"/>
      <c r="L67" s="83"/>
      <c r="M67" s="81" t="s">
        <v>52</v>
      </c>
      <c r="N67" s="85"/>
      <c r="O67" s="85"/>
      <c r="P67" s="81"/>
      <c r="Q67" s="81" t="s">
        <v>1663</v>
      </c>
      <c r="R67" s="82"/>
      <c r="S67" s="111">
        <v>45750</v>
      </c>
      <c r="T67" s="138" t="str">
        <f ca="1">IF(AND('Inserimento dati'!$B$3=$H$2, Tabella3[[#This Row],[LUN]]="X"), "X",IF(AND('Inserimento dati'!$B$3=$I$2, Tabella3[[#This Row],[MAR]]="X"), "X", IF(AND('Inserimento dati'!$B$3=$J$2, Tabella3[[#This Row],[MER]]="X"), "X",IF(AND('Inserimento dati'!$B$3=$K$2, Tabella3[[#This Row],[GIO]]="X"), "X", IF(AND('Inserimento dati'!$B$3=$L$2, Tabella3[[#This Row],[VEN]]="X"), "X","")))))</f>
        <v/>
      </c>
      <c r="U67" s="153" t="str">
        <f t="shared" ca="1" si="0"/>
        <v/>
      </c>
    </row>
    <row r="68" spans="1:21" ht="23.25" x14ac:dyDescent="0.25">
      <c r="A68" s="84"/>
      <c r="B68" s="84" t="str">
        <f t="shared" si="3"/>
        <v>X</v>
      </c>
      <c r="C68" s="84" t="str">
        <f>IF(OR(Tabella3[[#This Row],[LUN]]="X",Tabella3[[#This Row],[MAR]]="X",Tabella3[[#This Row],[MER]]="X",Tabella3[[#This Row],[GIO]]="X",Tabella3[[#This Row],[VEN]]="X",),"X","")</f>
        <v/>
      </c>
      <c r="D68" s="85" t="s">
        <v>10</v>
      </c>
      <c r="E68" s="81" t="s">
        <v>1664</v>
      </c>
      <c r="F68" s="81">
        <v>800</v>
      </c>
      <c r="G68" s="81" t="s">
        <v>1665</v>
      </c>
      <c r="H68" s="83"/>
      <c r="I68" s="83"/>
      <c r="J68" s="83"/>
      <c r="K68" s="83"/>
      <c r="L68" s="83"/>
      <c r="M68" s="81" t="s">
        <v>52</v>
      </c>
      <c r="N68" s="85"/>
      <c r="O68" s="85"/>
      <c r="P68" s="81"/>
      <c r="Q68" s="81"/>
      <c r="R68" s="82"/>
      <c r="S68" s="81"/>
      <c r="T68" s="138" t="str">
        <f ca="1">IF(AND('Inserimento dati'!$B$3=$H$2, Tabella3[[#This Row],[LUN]]="X"), "X",IF(AND('Inserimento dati'!$B$3=$I$2, Tabella3[[#This Row],[MAR]]="X"), "X", IF(AND('Inserimento dati'!$B$3=$J$2, Tabella3[[#This Row],[MER]]="X"), "X",IF(AND('Inserimento dati'!$B$3=$K$2, Tabella3[[#This Row],[GIO]]="X"), "X", IF(AND('Inserimento dati'!$B$3=$L$2, Tabella3[[#This Row],[VEN]]="X"), "X","")))))</f>
        <v/>
      </c>
      <c r="U68" s="153" t="str">
        <f t="shared" ref="U68:U131" ca="1" si="4">IFERROR(MID(G68,_xlfn.AGGREGATE(15,6,(ROW(INDIRECT("1:"&amp;LEN(G68)-7)))/(ISNUMBER(--MID(G68,ROW(INDIRECT("1:"&amp;LEN(G68)-7)),8))),1),8),"")</f>
        <v/>
      </c>
    </row>
    <row r="69" spans="1:21" ht="30" x14ac:dyDescent="0.25">
      <c r="A69" s="84"/>
      <c r="B69" s="84" t="str">
        <f t="shared" si="3"/>
        <v>X</v>
      </c>
      <c r="C69" s="84" t="str">
        <f>IF(OR(Tabella3[[#This Row],[LUN]]="X",Tabella3[[#This Row],[MAR]]="X",Tabella3[[#This Row],[MER]]="X",Tabella3[[#This Row],[GIO]]="X",Tabella3[[#This Row],[VEN]]="X",),"X","")</f>
        <v/>
      </c>
      <c r="D69" s="85" t="s">
        <v>10</v>
      </c>
      <c r="E69" s="81" t="s">
        <v>1666</v>
      </c>
      <c r="F69" s="81">
        <v>1800</v>
      </c>
      <c r="G69" s="81" t="s">
        <v>1667</v>
      </c>
      <c r="H69" s="83"/>
      <c r="I69" s="83"/>
      <c r="J69" s="83"/>
      <c r="K69" s="83"/>
      <c r="L69" s="83"/>
      <c r="M69" s="81" t="s">
        <v>52</v>
      </c>
      <c r="N69" s="85"/>
      <c r="O69" s="85"/>
      <c r="P69" s="81"/>
      <c r="Q69" s="81"/>
      <c r="R69" s="82"/>
      <c r="S69" s="81"/>
      <c r="T69" s="138" t="str">
        <f ca="1">IF(AND('Inserimento dati'!$B$3=$H$2, Tabella3[[#This Row],[LUN]]="X"), "X",IF(AND('Inserimento dati'!$B$3=$I$2, Tabella3[[#This Row],[MAR]]="X"), "X", IF(AND('Inserimento dati'!$B$3=$J$2, Tabella3[[#This Row],[MER]]="X"), "X",IF(AND('Inserimento dati'!$B$3=$K$2, Tabella3[[#This Row],[GIO]]="X"), "X", IF(AND('Inserimento dati'!$B$3=$L$2, Tabella3[[#This Row],[VEN]]="X"), "X","")))))</f>
        <v/>
      </c>
      <c r="U69" s="153" t="str">
        <f t="shared" ca="1" si="4"/>
        <v xml:space="preserve"> 1022052</v>
      </c>
    </row>
    <row r="70" spans="1:21" ht="23.25" x14ac:dyDescent="0.25">
      <c r="A70" s="84"/>
      <c r="B70" s="84" t="str">
        <f t="shared" si="3"/>
        <v>X</v>
      </c>
      <c r="C70" s="84" t="str">
        <f>IF(OR(Tabella3[[#This Row],[LUN]]="X",Tabella3[[#This Row],[MAR]]="X",Tabella3[[#This Row],[MER]]="X",Tabella3[[#This Row],[GIO]]="X",Tabella3[[#This Row],[VEN]]="X",),"X","")</f>
        <v/>
      </c>
      <c r="D70" s="85" t="s">
        <v>10</v>
      </c>
      <c r="E70" s="81" t="s">
        <v>1668</v>
      </c>
      <c r="F70" s="81" t="s">
        <v>203</v>
      </c>
      <c r="G70" s="81" t="s">
        <v>1669</v>
      </c>
      <c r="H70" s="83"/>
      <c r="I70" s="83"/>
      <c r="J70" s="83"/>
      <c r="K70" s="83"/>
      <c r="L70" s="83"/>
      <c r="M70" s="81" t="s">
        <v>52</v>
      </c>
      <c r="N70" s="85"/>
      <c r="O70" s="85"/>
      <c r="P70" s="81"/>
      <c r="Q70" s="81" t="s">
        <v>19</v>
      </c>
      <c r="R70" s="82"/>
      <c r="S70" s="81"/>
      <c r="T70" s="138" t="str">
        <f ca="1">IF(AND('Inserimento dati'!$B$3=$H$2, Tabella3[[#This Row],[LUN]]="X"), "X",IF(AND('Inserimento dati'!$B$3=$I$2, Tabella3[[#This Row],[MAR]]="X"), "X", IF(AND('Inserimento dati'!$B$3=$J$2, Tabella3[[#This Row],[MER]]="X"), "X",IF(AND('Inserimento dati'!$B$3=$K$2, Tabella3[[#This Row],[GIO]]="X"), "X", IF(AND('Inserimento dati'!$B$3=$L$2, Tabella3[[#This Row],[VEN]]="X"), "X","")))))</f>
        <v/>
      </c>
      <c r="U70" s="153" t="str">
        <f t="shared" ca="1" si="4"/>
        <v xml:space="preserve"> 1022049</v>
      </c>
    </row>
    <row r="71" spans="1:21" ht="23.25" x14ac:dyDescent="0.25">
      <c r="A71" s="84"/>
      <c r="B71" s="84" t="str">
        <f t="shared" si="3"/>
        <v>X</v>
      </c>
      <c r="C71" s="84" t="str">
        <f>IF(OR(Tabella3[[#This Row],[LUN]]="X",Tabella3[[#This Row],[MAR]]="X",Tabella3[[#This Row],[MER]]="X",Tabella3[[#This Row],[GIO]]="X",Tabella3[[#This Row],[VEN]]="X",),"X","")</f>
        <v/>
      </c>
      <c r="D71" s="85" t="s">
        <v>10</v>
      </c>
      <c r="E71" s="81" t="s">
        <v>1670</v>
      </c>
      <c r="F71" s="81" t="s">
        <v>203</v>
      </c>
      <c r="G71" s="81" t="s">
        <v>1671</v>
      </c>
      <c r="H71" s="83"/>
      <c r="I71" s="83"/>
      <c r="J71" s="83"/>
      <c r="K71" s="83"/>
      <c r="L71" s="83"/>
      <c r="M71" s="81" t="s">
        <v>52</v>
      </c>
      <c r="N71" s="85"/>
      <c r="O71" s="85"/>
      <c r="P71" s="81"/>
      <c r="Q71" s="81"/>
      <c r="R71" s="82"/>
      <c r="S71" s="81"/>
      <c r="T71" s="138" t="str">
        <f ca="1">IF(AND('Inserimento dati'!$B$3=$H$2, Tabella3[[#This Row],[LUN]]="X"), "X",IF(AND('Inserimento dati'!$B$3=$I$2, Tabella3[[#This Row],[MAR]]="X"), "X", IF(AND('Inserimento dati'!$B$3=$J$2, Tabella3[[#This Row],[MER]]="X"), "X",IF(AND('Inserimento dati'!$B$3=$K$2, Tabella3[[#This Row],[GIO]]="X"), "X", IF(AND('Inserimento dati'!$B$3=$L$2, Tabella3[[#This Row],[VEN]]="X"), "X","")))))</f>
        <v/>
      </c>
      <c r="U71" s="153" t="str">
        <f t="shared" ca="1" si="4"/>
        <v/>
      </c>
    </row>
    <row r="72" spans="1:21" ht="23.25" x14ac:dyDescent="0.25">
      <c r="A72" s="84"/>
      <c r="B72" s="84" t="str">
        <f t="shared" si="3"/>
        <v>X</v>
      </c>
      <c r="C72" s="84" t="str">
        <f>IF(OR(Tabella3[[#This Row],[LUN]]="X",Tabella3[[#This Row],[MAR]]="X",Tabella3[[#This Row],[MER]]="X",Tabella3[[#This Row],[GIO]]="X",Tabella3[[#This Row],[VEN]]="X",),"X","")</f>
        <v/>
      </c>
      <c r="D72" s="85" t="s">
        <v>10</v>
      </c>
      <c r="E72" s="81" t="s">
        <v>1672</v>
      </c>
      <c r="F72" s="81" t="s">
        <v>199</v>
      </c>
      <c r="G72" s="81" t="s">
        <v>1673</v>
      </c>
      <c r="H72" s="83"/>
      <c r="I72" s="83"/>
      <c r="J72" s="83"/>
      <c r="K72" s="83"/>
      <c r="L72" s="83"/>
      <c r="M72" s="81" t="s">
        <v>52</v>
      </c>
      <c r="N72" s="85"/>
      <c r="O72" s="85"/>
      <c r="P72" s="81"/>
      <c r="Q72" s="81" t="s">
        <v>1674</v>
      </c>
      <c r="R72" s="82">
        <v>45727</v>
      </c>
      <c r="S72" s="81" t="s">
        <v>20</v>
      </c>
      <c r="T72" s="138" t="str">
        <f ca="1">IF(AND('Inserimento dati'!$B$3=$H$2, Tabella3[[#This Row],[LUN]]="X"), "X",IF(AND('Inserimento dati'!$B$3=$I$2, Tabella3[[#This Row],[MAR]]="X"), "X", IF(AND('Inserimento dati'!$B$3=$J$2, Tabella3[[#This Row],[MER]]="X"), "X",IF(AND('Inserimento dati'!$B$3=$K$2, Tabella3[[#This Row],[GIO]]="X"), "X", IF(AND('Inserimento dati'!$B$3=$L$2, Tabella3[[#This Row],[VEN]]="X"), "X","")))))</f>
        <v/>
      </c>
      <c r="U72" s="153" t="str">
        <f t="shared" ca="1" si="4"/>
        <v/>
      </c>
    </row>
    <row r="73" spans="1:21" ht="23.25" x14ac:dyDescent="0.25">
      <c r="A73" s="84"/>
      <c r="B73" s="84" t="str">
        <f t="shared" si="3"/>
        <v>X</v>
      </c>
      <c r="C73" s="84" t="str">
        <f>IF(OR(Tabella3[[#This Row],[LUN]]="X",Tabella3[[#This Row],[MAR]]="X",Tabella3[[#This Row],[MER]]="X",Tabella3[[#This Row],[GIO]]="X",Tabella3[[#This Row],[VEN]]="X",),"X","")</f>
        <v/>
      </c>
      <c r="D73" s="85" t="s">
        <v>10</v>
      </c>
      <c r="E73" s="81" t="s">
        <v>1675</v>
      </c>
      <c r="F73" s="81" t="s">
        <v>199</v>
      </c>
      <c r="G73" s="81" t="s">
        <v>1676</v>
      </c>
      <c r="H73" s="83"/>
      <c r="I73" s="83"/>
      <c r="J73" s="83"/>
      <c r="K73" s="83"/>
      <c r="L73" s="83"/>
      <c r="M73" s="81" t="s">
        <v>52</v>
      </c>
      <c r="N73" s="85"/>
      <c r="O73" s="85"/>
      <c r="P73" s="81"/>
      <c r="Q73" s="81"/>
      <c r="R73" s="82">
        <v>45728</v>
      </c>
      <c r="S73" s="81" t="s">
        <v>535</v>
      </c>
      <c r="T73" s="138" t="str">
        <f ca="1">IF(AND('Inserimento dati'!$B$3=$H$2, Tabella3[[#This Row],[LUN]]="X"), "X",IF(AND('Inserimento dati'!$B$3=$I$2, Tabella3[[#This Row],[MAR]]="X"), "X", IF(AND('Inserimento dati'!$B$3=$J$2, Tabella3[[#This Row],[MER]]="X"), "X",IF(AND('Inserimento dati'!$B$3=$K$2, Tabella3[[#This Row],[GIO]]="X"), "X", IF(AND('Inserimento dati'!$B$3=$L$2, Tabella3[[#This Row],[VEN]]="X"), "X","")))))</f>
        <v/>
      </c>
      <c r="U73" s="153" t="str">
        <f t="shared" ca="1" si="4"/>
        <v/>
      </c>
    </row>
    <row r="74" spans="1:21" ht="23.25" x14ac:dyDescent="0.25">
      <c r="A74" s="84"/>
      <c r="B74" s="84" t="str">
        <f t="shared" si="3"/>
        <v>X</v>
      </c>
      <c r="C74" s="84" t="str">
        <f>IF(OR(Tabella3[[#This Row],[LUN]]="X",Tabella3[[#This Row],[MAR]]="X",Tabella3[[#This Row],[MER]]="X",Tabella3[[#This Row],[GIO]]="X",Tabella3[[#This Row],[VEN]]="X",),"X","")</f>
        <v/>
      </c>
      <c r="D74" s="85" t="s">
        <v>10</v>
      </c>
      <c r="E74" s="81" t="s">
        <v>1677</v>
      </c>
      <c r="F74" s="81" t="s">
        <v>199</v>
      </c>
      <c r="G74" s="81" t="s">
        <v>1678</v>
      </c>
      <c r="H74" s="83"/>
      <c r="I74" s="83"/>
      <c r="J74" s="83"/>
      <c r="K74" s="83"/>
      <c r="L74" s="83"/>
      <c r="M74" s="81" t="s">
        <v>52</v>
      </c>
      <c r="N74" s="85"/>
      <c r="O74" s="85"/>
      <c r="P74" s="81"/>
      <c r="Q74" s="81"/>
      <c r="R74" s="82">
        <v>45727</v>
      </c>
      <c r="S74" s="81" t="s">
        <v>238</v>
      </c>
      <c r="T74" s="138" t="str">
        <f ca="1">IF(AND('Inserimento dati'!$B$3=$H$2, Tabella3[[#This Row],[LUN]]="X"), "X",IF(AND('Inserimento dati'!$B$3=$I$2, Tabella3[[#This Row],[MAR]]="X"), "X", IF(AND('Inserimento dati'!$B$3=$J$2, Tabella3[[#This Row],[MER]]="X"), "X",IF(AND('Inserimento dati'!$B$3=$K$2, Tabella3[[#This Row],[GIO]]="X"), "X", IF(AND('Inserimento dati'!$B$3=$L$2, Tabella3[[#This Row],[VEN]]="X"), "X","")))))</f>
        <v/>
      </c>
      <c r="U74" s="153" t="str">
        <f t="shared" ca="1" si="4"/>
        <v/>
      </c>
    </row>
    <row r="75" spans="1:21" ht="23.25" x14ac:dyDescent="0.25">
      <c r="A75" s="84"/>
      <c r="B75" s="84" t="str">
        <f t="shared" si="3"/>
        <v>X</v>
      </c>
      <c r="C75" s="84" t="str">
        <f>IF(OR(Tabella3[[#This Row],[LUN]]="X",Tabella3[[#This Row],[MAR]]="X",Tabella3[[#This Row],[MER]]="X",Tabella3[[#This Row],[GIO]]="X",Tabella3[[#This Row],[VEN]]="X",),"X","")</f>
        <v/>
      </c>
      <c r="D75" s="85" t="s">
        <v>10</v>
      </c>
      <c r="E75" s="81" t="s">
        <v>1679</v>
      </c>
      <c r="F75" s="81">
        <v>1100</v>
      </c>
      <c r="G75" s="81" t="s">
        <v>1680</v>
      </c>
      <c r="H75" s="83"/>
      <c r="I75" s="83"/>
      <c r="J75" s="83"/>
      <c r="K75" s="83"/>
      <c r="L75" s="83"/>
      <c r="M75" s="81" t="s">
        <v>52</v>
      </c>
      <c r="N75" s="85"/>
      <c r="O75" s="85"/>
      <c r="P75" s="81"/>
      <c r="Q75" s="81"/>
      <c r="R75" s="82"/>
      <c r="S75" s="81"/>
      <c r="T75" s="138" t="str">
        <f ca="1">IF(AND('Inserimento dati'!$B$3=$H$2, Tabella3[[#This Row],[LUN]]="X"), "X",IF(AND('Inserimento dati'!$B$3=$I$2, Tabella3[[#This Row],[MAR]]="X"), "X", IF(AND('Inserimento dati'!$B$3=$J$2, Tabella3[[#This Row],[MER]]="X"), "X",IF(AND('Inserimento dati'!$B$3=$K$2, Tabella3[[#This Row],[GIO]]="X"), "X", IF(AND('Inserimento dati'!$B$3=$L$2, Tabella3[[#This Row],[VEN]]="X"), "X","")))))</f>
        <v/>
      </c>
      <c r="U75" s="153" t="str">
        <f t="shared" ca="1" si="4"/>
        <v/>
      </c>
    </row>
    <row r="76" spans="1:21" ht="23.25" x14ac:dyDescent="0.25">
      <c r="A76" s="84"/>
      <c r="B76" s="84" t="str">
        <f t="shared" si="3"/>
        <v>X</v>
      </c>
      <c r="C76" s="84" t="str">
        <f>IF(OR(Tabella3[[#This Row],[LUN]]="X",Tabella3[[#This Row],[MAR]]="X",Tabella3[[#This Row],[MER]]="X",Tabella3[[#This Row],[GIO]]="X",Tabella3[[#This Row],[VEN]]="X",),"X","")</f>
        <v/>
      </c>
      <c r="D76" s="85" t="s">
        <v>10</v>
      </c>
      <c r="E76" s="81" t="s">
        <v>1681</v>
      </c>
      <c r="F76" s="81" t="s">
        <v>160</v>
      </c>
      <c r="G76" s="81" t="s">
        <v>1682</v>
      </c>
      <c r="H76" s="83"/>
      <c r="I76" s="83"/>
      <c r="J76" s="83"/>
      <c r="K76" s="83"/>
      <c r="L76" s="83"/>
      <c r="M76" s="81" t="s">
        <v>52</v>
      </c>
      <c r="N76" s="85"/>
      <c r="O76" s="85"/>
      <c r="P76" s="81"/>
      <c r="Q76" s="81"/>
      <c r="R76" s="82"/>
      <c r="S76" s="81"/>
      <c r="T76" s="138" t="str">
        <f ca="1">IF(AND('Inserimento dati'!$B$3=$H$2, Tabella3[[#This Row],[LUN]]="X"), "X",IF(AND('Inserimento dati'!$B$3=$I$2, Tabella3[[#This Row],[MAR]]="X"), "X", IF(AND('Inserimento dati'!$B$3=$J$2, Tabella3[[#This Row],[MER]]="X"), "X",IF(AND('Inserimento dati'!$B$3=$K$2, Tabella3[[#This Row],[GIO]]="X"), "X", IF(AND('Inserimento dati'!$B$3=$L$2, Tabella3[[#This Row],[VEN]]="X"), "X","")))))</f>
        <v/>
      </c>
      <c r="U76" s="153" t="str">
        <f t="shared" ca="1" si="4"/>
        <v/>
      </c>
    </row>
    <row r="77" spans="1:21" ht="30" x14ac:dyDescent="0.25">
      <c r="A77" s="84"/>
      <c r="B77" s="84" t="str">
        <f t="shared" ref="B77:B108" si="5">IF(OR(A77="x",A77="X"),"",IF(ISBLANK(A77),"X",""))</f>
        <v>X</v>
      </c>
      <c r="C77" s="84" t="str">
        <f>IF(OR(Tabella3[[#This Row],[LUN]]="X",Tabella3[[#This Row],[MAR]]="X",Tabella3[[#This Row],[MER]]="X",Tabella3[[#This Row],[GIO]]="X",Tabella3[[#This Row],[VEN]]="X",),"X","")</f>
        <v/>
      </c>
      <c r="D77" s="85" t="s">
        <v>10</v>
      </c>
      <c r="E77" s="81" t="s">
        <v>1683</v>
      </c>
      <c r="F77" s="81" t="s">
        <v>199</v>
      </c>
      <c r="G77" s="81" t="s">
        <v>1684</v>
      </c>
      <c r="H77" s="83"/>
      <c r="I77" s="83"/>
      <c r="J77" s="83"/>
      <c r="K77" s="83"/>
      <c r="L77" s="83"/>
      <c r="M77" s="81" t="s">
        <v>52</v>
      </c>
      <c r="N77" s="85"/>
      <c r="O77" s="85"/>
      <c r="P77" s="81"/>
      <c r="Q77" s="81" t="s">
        <v>1685</v>
      </c>
      <c r="R77" s="82">
        <v>45726</v>
      </c>
      <c r="S77" s="81" t="s">
        <v>1686</v>
      </c>
      <c r="T77" s="138" t="str">
        <f ca="1">IF(AND('Inserimento dati'!$B$3=$H$2, Tabella3[[#This Row],[LUN]]="X"), "X",IF(AND('Inserimento dati'!$B$3=$I$2, Tabella3[[#This Row],[MAR]]="X"), "X", IF(AND('Inserimento dati'!$B$3=$J$2, Tabella3[[#This Row],[MER]]="X"), "X",IF(AND('Inserimento dati'!$B$3=$K$2, Tabella3[[#This Row],[GIO]]="X"), "X", IF(AND('Inserimento dati'!$B$3=$L$2, Tabella3[[#This Row],[VEN]]="X"), "X","")))))</f>
        <v/>
      </c>
      <c r="U77" s="153" t="str">
        <f t="shared" ca="1" si="4"/>
        <v/>
      </c>
    </row>
    <row r="78" spans="1:21" ht="30" x14ac:dyDescent="0.25">
      <c r="A78" s="84"/>
      <c r="B78" s="84" t="str">
        <f t="shared" si="5"/>
        <v>X</v>
      </c>
      <c r="C78" s="84" t="str">
        <f>IF(OR(Tabella3[[#This Row],[LUN]]="X",Tabella3[[#This Row],[MAR]]="X",Tabella3[[#This Row],[MER]]="X",Tabella3[[#This Row],[GIO]]="X",Tabella3[[#This Row],[VEN]]="X",),"X","")</f>
        <v/>
      </c>
      <c r="D78" s="85" t="s">
        <v>10</v>
      </c>
      <c r="E78" s="81" t="s">
        <v>1687</v>
      </c>
      <c r="F78" s="81" t="s">
        <v>198</v>
      </c>
      <c r="G78" s="81" t="s">
        <v>1688</v>
      </c>
      <c r="H78" s="83"/>
      <c r="I78" s="83"/>
      <c r="J78" s="83"/>
      <c r="K78" s="83"/>
      <c r="L78" s="83"/>
      <c r="M78" s="81" t="s">
        <v>52</v>
      </c>
      <c r="N78" s="85"/>
      <c r="O78" s="85"/>
      <c r="P78" s="81"/>
      <c r="Q78" s="81" t="s">
        <v>1689</v>
      </c>
      <c r="R78" s="82">
        <v>45720</v>
      </c>
      <c r="S78" s="82" t="s">
        <v>1690</v>
      </c>
      <c r="T78" s="84" t="str">
        <f ca="1">IF(AND('Inserimento dati'!$B$3=$H$2, Tabella3[[#This Row],[LUN]]="X"), "X",IF(AND('Inserimento dati'!$B$3=$I$2, Tabella3[[#This Row],[MAR]]="X"), "X", IF(AND('Inserimento dati'!$B$3=$J$2, Tabella3[[#This Row],[MER]]="X"), "X",IF(AND('Inserimento dati'!$B$3=$K$2, Tabella3[[#This Row],[GIO]]="X"), "X", IF(AND('Inserimento dati'!$B$3=$L$2, Tabella3[[#This Row],[VEN]]="X"), "X","")))))</f>
        <v/>
      </c>
      <c r="U78" s="153" t="str">
        <f t="shared" ca="1" si="4"/>
        <v/>
      </c>
    </row>
    <row r="79" spans="1:21" ht="30" x14ac:dyDescent="0.25">
      <c r="A79" s="84"/>
      <c r="B79" s="84" t="str">
        <f t="shared" si="5"/>
        <v>X</v>
      </c>
      <c r="C79" s="84" t="str">
        <f>IF(OR(Tabella3[[#This Row],[LUN]]="X",Tabella3[[#This Row],[MAR]]="X",Tabella3[[#This Row],[MER]]="X",Tabella3[[#This Row],[GIO]]="X",Tabella3[[#This Row],[VEN]]="X",),"X","")</f>
        <v/>
      </c>
      <c r="D79" s="85" t="s">
        <v>10</v>
      </c>
      <c r="E79" s="81" t="s">
        <v>1691</v>
      </c>
      <c r="F79" s="81" t="s">
        <v>203</v>
      </c>
      <c r="G79" s="81" t="s">
        <v>1692</v>
      </c>
      <c r="H79" s="83"/>
      <c r="I79" s="83"/>
      <c r="J79" s="83"/>
      <c r="K79" s="83"/>
      <c r="L79" s="83"/>
      <c r="M79" s="81" t="s">
        <v>52</v>
      </c>
      <c r="N79" s="85"/>
      <c r="O79" s="85"/>
      <c r="P79" s="81"/>
      <c r="Q79" s="81" t="s">
        <v>1693</v>
      </c>
      <c r="R79" s="82">
        <v>45720</v>
      </c>
      <c r="S79" s="81" t="s">
        <v>1686</v>
      </c>
      <c r="T79" s="138" t="str">
        <f ca="1">IF(AND('Inserimento dati'!$B$3=$H$2, Tabella3[[#This Row],[LUN]]="X"), "X",IF(AND('Inserimento dati'!$B$3=$I$2, Tabella3[[#This Row],[MAR]]="X"), "X", IF(AND('Inserimento dati'!$B$3=$J$2, Tabella3[[#This Row],[MER]]="X"), "X",IF(AND('Inserimento dati'!$B$3=$K$2, Tabella3[[#This Row],[GIO]]="X"), "X", IF(AND('Inserimento dati'!$B$3=$L$2, Tabella3[[#This Row],[VEN]]="X"), "X","")))))</f>
        <v/>
      </c>
      <c r="U79" s="153" t="str">
        <f t="shared" ca="1" si="4"/>
        <v/>
      </c>
    </row>
    <row r="80" spans="1:21" ht="30" x14ac:dyDescent="0.25">
      <c r="A80" s="84"/>
      <c r="B80" s="84" t="str">
        <f t="shared" si="5"/>
        <v>X</v>
      </c>
      <c r="C80" s="84" t="str">
        <f>IF(OR(Tabella3[[#This Row],[LUN]]="X",Tabella3[[#This Row],[MAR]]="X",Tabella3[[#This Row],[MER]]="X",Tabella3[[#This Row],[GIO]]="X",Tabella3[[#This Row],[VEN]]="X",),"X","")</f>
        <v/>
      </c>
      <c r="D80" s="85" t="s">
        <v>10</v>
      </c>
      <c r="E80" s="81" t="s">
        <v>1694</v>
      </c>
      <c r="F80" s="81" t="s">
        <v>199</v>
      </c>
      <c r="G80" s="81" t="s">
        <v>1695</v>
      </c>
      <c r="H80" s="83"/>
      <c r="I80" s="83"/>
      <c r="J80" s="83"/>
      <c r="K80" s="83"/>
      <c r="L80" s="83"/>
      <c r="M80" s="81" t="s">
        <v>52</v>
      </c>
      <c r="N80" s="85"/>
      <c r="O80" s="85"/>
      <c r="P80" s="81"/>
      <c r="Q80" s="81" t="s">
        <v>1696</v>
      </c>
      <c r="R80" s="82">
        <v>45719</v>
      </c>
      <c r="S80" s="81" t="s">
        <v>1483</v>
      </c>
      <c r="T80" s="138" t="str">
        <f ca="1">IF(AND('Inserimento dati'!$B$3=$H$2, Tabella3[[#This Row],[LUN]]="X"), "X",IF(AND('Inserimento dati'!$B$3=$I$2, Tabella3[[#This Row],[MAR]]="X"), "X", IF(AND('Inserimento dati'!$B$3=$J$2, Tabella3[[#This Row],[MER]]="X"), "X",IF(AND('Inserimento dati'!$B$3=$K$2, Tabella3[[#This Row],[GIO]]="X"), "X", IF(AND('Inserimento dati'!$B$3=$L$2, Tabella3[[#This Row],[VEN]]="X"), "X","")))))</f>
        <v/>
      </c>
      <c r="U80" s="153" t="str">
        <f t="shared" ca="1" si="4"/>
        <v/>
      </c>
    </row>
    <row r="81" spans="1:21" ht="30" x14ac:dyDescent="0.25">
      <c r="A81" s="84"/>
      <c r="B81" s="84" t="str">
        <f t="shared" si="5"/>
        <v>X</v>
      </c>
      <c r="C81" s="84" t="str">
        <f>IF(OR(Tabella3[[#This Row],[LUN]]="X",Tabella3[[#This Row],[MAR]]="X",Tabella3[[#This Row],[MER]]="X",Tabella3[[#This Row],[GIO]]="X",Tabella3[[#This Row],[VEN]]="X",),"X","")</f>
        <v/>
      </c>
      <c r="D81" s="85" t="s">
        <v>10</v>
      </c>
      <c r="E81" s="81" t="s">
        <v>1697</v>
      </c>
      <c r="F81" s="81" t="s">
        <v>199</v>
      </c>
      <c r="G81" s="81" t="s">
        <v>1698</v>
      </c>
      <c r="H81" s="83"/>
      <c r="I81" s="83"/>
      <c r="J81" s="83"/>
      <c r="K81" s="83"/>
      <c r="L81" s="83"/>
      <c r="M81" s="81" t="s">
        <v>52</v>
      </c>
      <c r="N81" s="85"/>
      <c r="O81" s="85"/>
      <c r="P81" s="81"/>
      <c r="Q81" s="81" t="s">
        <v>1699</v>
      </c>
      <c r="R81" s="82">
        <v>45716</v>
      </c>
      <c r="S81" s="81" t="s">
        <v>9</v>
      </c>
      <c r="T81" s="138" t="str">
        <f ca="1">IF(AND('Inserimento dati'!$B$3=$H$2, Tabella3[[#This Row],[LUN]]="X"), "X",IF(AND('Inserimento dati'!$B$3=$I$2, Tabella3[[#This Row],[MAR]]="X"), "X", IF(AND('Inserimento dati'!$B$3=$J$2, Tabella3[[#This Row],[MER]]="X"), "X",IF(AND('Inserimento dati'!$B$3=$K$2, Tabella3[[#This Row],[GIO]]="X"), "X", IF(AND('Inserimento dati'!$B$3=$L$2, Tabella3[[#This Row],[VEN]]="X"), "X","")))))</f>
        <v/>
      </c>
      <c r="U81" s="153" t="str">
        <f t="shared" ca="1" si="4"/>
        <v/>
      </c>
    </row>
    <row r="82" spans="1:21" ht="60" x14ac:dyDescent="0.25">
      <c r="A82" s="84"/>
      <c r="B82" s="84" t="str">
        <f t="shared" si="5"/>
        <v>X</v>
      </c>
      <c r="C82" s="84" t="str">
        <f>IF(OR(Tabella3[[#This Row],[LUN]]="X",Tabella3[[#This Row],[MAR]]="X",Tabella3[[#This Row],[MER]]="X",Tabella3[[#This Row],[GIO]]="X",Tabella3[[#This Row],[VEN]]="X",),"X","")</f>
        <v/>
      </c>
      <c r="D82" s="85" t="s">
        <v>10</v>
      </c>
      <c r="E82" s="81" t="s">
        <v>1700</v>
      </c>
      <c r="F82" s="81">
        <v>700</v>
      </c>
      <c r="G82" s="81" t="s">
        <v>1701</v>
      </c>
      <c r="H82" s="83"/>
      <c r="I82" s="83"/>
      <c r="J82" s="83"/>
      <c r="K82" s="83"/>
      <c r="L82" s="83"/>
      <c r="M82" s="81" t="s">
        <v>52</v>
      </c>
      <c r="N82" s="85"/>
      <c r="O82" s="85"/>
      <c r="P82" s="81"/>
      <c r="Q82" s="81" t="s">
        <v>1702</v>
      </c>
      <c r="R82" s="82">
        <v>45719</v>
      </c>
      <c r="S82" s="81" t="s">
        <v>254</v>
      </c>
      <c r="T82" s="138" t="str">
        <f ca="1">IF(AND('Inserimento dati'!$B$3=$H$2, Tabella3[[#This Row],[LUN]]="X"), "X",IF(AND('Inserimento dati'!$B$3=$I$2, Tabella3[[#This Row],[MAR]]="X"), "X", IF(AND('Inserimento dati'!$B$3=$J$2, Tabella3[[#This Row],[MER]]="X"), "X",IF(AND('Inserimento dati'!$B$3=$K$2, Tabella3[[#This Row],[GIO]]="X"), "X", IF(AND('Inserimento dati'!$B$3=$L$2, Tabella3[[#This Row],[VEN]]="X"), "X","")))))</f>
        <v/>
      </c>
      <c r="U82" s="153" t="str">
        <f t="shared" ca="1" si="4"/>
        <v xml:space="preserve"> 1021826</v>
      </c>
    </row>
    <row r="83" spans="1:21" ht="30" x14ac:dyDescent="0.25">
      <c r="A83" s="84"/>
      <c r="B83" s="84" t="str">
        <f t="shared" si="5"/>
        <v>X</v>
      </c>
      <c r="C83" s="84" t="str">
        <f>IF(OR(Tabella3[[#This Row],[LUN]]="X",Tabella3[[#This Row],[MAR]]="X",Tabella3[[#This Row],[MER]]="X",Tabella3[[#This Row],[GIO]]="X",Tabella3[[#This Row],[VEN]]="X",),"X","")</f>
        <v/>
      </c>
      <c r="D83" s="85" t="s">
        <v>10</v>
      </c>
      <c r="E83" s="81" t="s">
        <v>1703</v>
      </c>
      <c r="F83" s="81" t="s">
        <v>199</v>
      </c>
      <c r="G83" s="81" t="s">
        <v>1704</v>
      </c>
      <c r="H83" s="83"/>
      <c r="I83" s="83"/>
      <c r="J83" s="83"/>
      <c r="K83" s="83"/>
      <c r="L83" s="83"/>
      <c r="M83" s="81" t="s">
        <v>52</v>
      </c>
      <c r="N83" s="85"/>
      <c r="O83" s="85"/>
      <c r="P83" s="81"/>
      <c r="Q83" s="81" t="s">
        <v>1705</v>
      </c>
      <c r="R83" s="82">
        <v>45701</v>
      </c>
      <c r="S83" s="81" t="s">
        <v>238</v>
      </c>
      <c r="T83" s="138" t="str">
        <f ca="1">IF(AND('Inserimento dati'!$B$3=$H$2, Tabella3[[#This Row],[LUN]]="X"), "X",IF(AND('Inserimento dati'!$B$3=$I$2, Tabella3[[#This Row],[MAR]]="X"), "X", IF(AND('Inserimento dati'!$B$3=$J$2, Tabella3[[#This Row],[MER]]="X"), "X",IF(AND('Inserimento dati'!$B$3=$K$2, Tabella3[[#This Row],[GIO]]="X"), "X", IF(AND('Inserimento dati'!$B$3=$L$2, Tabella3[[#This Row],[VEN]]="X"), "X","")))))</f>
        <v/>
      </c>
      <c r="U83" s="153" t="str">
        <f t="shared" ca="1" si="4"/>
        <v/>
      </c>
    </row>
    <row r="84" spans="1:21" ht="30" x14ac:dyDescent="0.25">
      <c r="A84" s="84"/>
      <c r="B84" s="84" t="str">
        <f t="shared" si="5"/>
        <v>X</v>
      </c>
      <c r="C84" s="84" t="str">
        <f>IF(OR(Tabella3[[#This Row],[LUN]]="X",Tabella3[[#This Row],[MAR]]="X",Tabella3[[#This Row],[MER]]="X",Tabella3[[#This Row],[GIO]]="X",Tabella3[[#This Row],[VEN]]="X",),"X","")</f>
        <v/>
      </c>
      <c r="D84" s="85" t="s">
        <v>10</v>
      </c>
      <c r="E84" s="81" t="s">
        <v>1706</v>
      </c>
      <c r="F84" s="81">
        <v>2400</v>
      </c>
      <c r="G84" s="81" t="s">
        <v>1707</v>
      </c>
      <c r="H84" s="83"/>
      <c r="I84" s="83"/>
      <c r="J84" s="83"/>
      <c r="K84" s="83"/>
      <c r="L84" s="83"/>
      <c r="M84" s="81" t="s">
        <v>52</v>
      </c>
      <c r="N84" s="85" t="s">
        <v>8</v>
      </c>
      <c r="O84" s="85"/>
      <c r="P84" s="81"/>
      <c r="Q84" s="81" t="s">
        <v>1708</v>
      </c>
      <c r="R84" s="82">
        <v>45635</v>
      </c>
      <c r="S84" s="82"/>
      <c r="T84" s="138" t="str">
        <f ca="1">IF(AND('Inserimento dati'!$B$3=$H$2, Tabella3[[#This Row],[LUN]]="X"), "X",IF(AND('Inserimento dati'!$B$3=$I$2, Tabella3[[#This Row],[MAR]]="X"), "X", IF(AND('Inserimento dati'!$B$3=$J$2, Tabella3[[#This Row],[MER]]="X"), "X",IF(AND('Inserimento dati'!$B$3=$K$2, Tabella3[[#This Row],[GIO]]="X"), "X", IF(AND('Inserimento dati'!$B$3=$L$2, Tabella3[[#This Row],[VEN]]="X"), "X","")))))</f>
        <v/>
      </c>
      <c r="U84" s="153" t="str">
        <f t="shared" ca="1" si="4"/>
        <v/>
      </c>
    </row>
    <row r="85" spans="1:21" ht="30" x14ac:dyDescent="0.25">
      <c r="A85" s="84"/>
      <c r="B85" s="84" t="str">
        <f t="shared" si="5"/>
        <v>X</v>
      </c>
      <c r="C85" s="84" t="str">
        <f>IF(OR(Tabella3[[#This Row],[LUN]]="X",Tabella3[[#This Row],[MAR]]="X",Tabella3[[#This Row],[MER]]="X",Tabella3[[#This Row],[GIO]]="X",Tabella3[[#This Row],[VEN]]="X",),"X","")</f>
        <v/>
      </c>
      <c r="D85" s="85" t="s">
        <v>10</v>
      </c>
      <c r="E85" s="81" t="s">
        <v>1709</v>
      </c>
      <c r="F85" s="81">
        <v>1800</v>
      </c>
      <c r="G85" s="81" t="s">
        <v>1710</v>
      </c>
      <c r="H85" s="83"/>
      <c r="I85" s="83"/>
      <c r="J85" s="83"/>
      <c r="K85" s="83"/>
      <c r="L85" s="83"/>
      <c r="M85" s="81" t="s">
        <v>52</v>
      </c>
      <c r="N85" s="85"/>
      <c r="O85" s="85"/>
      <c r="P85" s="81"/>
      <c r="Q85" s="81" t="s">
        <v>1711</v>
      </c>
      <c r="R85" s="82">
        <v>45714</v>
      </c>
      <c r="S85" s="81" t="s">
        <v>1712</v>
      </c>
      <c r="T85" s="138" t="str">
        <f ca="1">IF(AND('Inserimento dati'!$B$3=$H$2, Tabella3[[#This Row],[LUN]]="X"), "X",IF(AND('Inserimento dati'!$B$3=$I$2, Tabella3[[#This Row],[MAR]]="X"), "X", IF(AND('Inserimento dati'!$B$3=$J$2, Tabella3[[#This Row],[MER]]="X"), "X",IF(AND('Inserimento dati'!$B$3=$K$2, Tabella3[[#This Row],[GIO]]="X"), "X", IF(AND('Inserimento dati'!$B$3=$L$2, Tabella3[[#This Row],[VEN]]="X"), "X","")))))</f>
        <v/>
      </c>
      <c r="U85" s="153" t="str">
        <f t="shared" ca="1" si="4"/>
        <v/>
      </c>
    </row>
    <row r="86" spans="1:21" ht="45" x14ac:dyDescent="0.25">
      <c r="A86" s="84"/>
      <c r="B86" s="84" t="str">
        <f t="shared" si="5"/>
        <v>X</v>
      </c>
      <c r="C86" s="84" t="str">
        <f>IF(OR(Tabella3[[#This Row],[LUN]]="X",Tabella3[[#This Row],[MAR]]="X",Tabella3[[#This Row],[MER]]="X",Tabella3[[#This Row],[GIO]]="X",Tabella3[[#This Row],[VEN]]="X",),"X","")</f>
        <v/>
      </c>
      <c r="D86" s="85" t="s">
        <v>10</v>
      </c>
      <c r="E86" s="81" t="s">
        <v>1713</v>
      </c>
      <c r="F86" s="81" t="s">
        <v>160</v>
      </c>
      <c r="G86" s="81" t="s">
        <v>1714</v>
      </c>
      <c r="H86" s="83"/>
      <c r="I86" s="83"/>
      <c r="J86" s="83"/>
      <c r="K86" s="83"/>
      <c r="L86" s="83"/>
      <c r="M86" s="81" t="s">
        <v>52</v>
      </c>
      <c r="N86" s="85"/>
      <c r="O86" s="85"/>
      <c r="P86" s="81"/>
      <c r="Q86" s="81" t="s">
        <v>1715</v>
      </c>
      <c r="R86" s="82">
        <v>45700</v>
      </c>
      <c r="S86" s="81" t="s">
        <v>610</v>
      </c>
      <c r="T86" s="138" t="str">
        <f ca="1">IF(AND('Inserimento dati'!$B$3=$H$2, Tabella3[[#This Row],[LUN]]="X"), "X",IF(AND('Inserimento dati'!$B$3=$I$2, Tabella3[[#This Row],[MAR]]="X"), "X", IF(AND('Inserimento dati'!$B$3=$J$2, Tabella3[[#This Row],[MER]]="X"), "X",IF(AND('Inserimento dati'!$B$3=$K$2, Tabella3[[#This Row],[GIO]]="X"), "X", IF(AND('Inserimento dati'!$B$3=$L$2, Tabella3[[#This Row],[VEN]]="X"), "X","")))))</f>
        <v/>
      </c>
      <c r="U86" s="153" t="str">
        <f t="shared" ca="1" si="4"/>
        <v/>
      </c>
    </row>
    <row r="87" spans="1:21" ht="23.25" x14ac:dyDescent="0.25">
      <c r="A87" s="84"/>
      <c r="B87" s="84" t="str">
        <f t="shared" si="5"/>
        <v>X</v>
      </c>
      <c r="C87" s="84" t="str">
        <f>IF(OR(Tabella3[[#This Row],[LUN]]="X",Tabella3[[#This Row],[MAR]]="X",Tabella3[[#This Row],[MER]]="X",Tabella3[[#This Row],[GIO]]="X",Tabella3[[#This Row],[VEN]]="X",),"X","")</f>
        <v/>
      </c>
      <c r="D87" s="85" t="s">
        <v>10</v>
      </c>
      <c r="E87" s="81" t="s">
        <v>1716</v>
      </c>
      <c r="F87" s="81" t="s">
        <v>160</v>
      </c>
      <c r="G87" s="81" t="s">
        <v>1717</v>
      </c>
      <c r="H87" s="83"/>
      <c r="I87" s="83"/>
      <c r="J87" s="83"/>
      <c r="K87" s="83"/>
      <c r="L87" s="83"/>
      <c r="M87" s="81" t="s">
        <v>52</v>
      </c>
      <c r="N87" s="85"/>
      <c r="O87" s="85"/>
      <c r="P87" s="81"/>
      <c r="Q87" s="81" t="s">
        <v>1718</v>
      </c>
      <c r="R87" s="82"/>
      <c r="S87" s="81"/>
      <c r="T87" s="84" t="str">
        <f ca="1">IF(AND('Inserimento dati'!$B$3=$H$2, Tabella3[[#This Row],[LUN]]="X"), "X",IF(AND('Inserimento dati'!$B$3=$I$2, Tabella3[[#This Row],[MAR]]="X"), "X", IF(AND('Inserimento dati'!$B$3=$J$2, Tabella3[[#This Row],[MER]]="X"), "X",IF(AND('Inserimento dati'!$B$3=$K$2, Tabella3[[#This Row],[GIO]]="X"), "X", IF(AND('Inserimento dati'!$B$3=$L$2, Tabella3[[#This Row],[VEN]]="X"), "X","")))))</f>
        <v/>
      </c>
      <c r="U87" s="153" t="str">
        <f t="shared" ca="1" si="4"/>
        <v/>
      </c>
    </row>
    <row r="88" spans="1:21" ht="23.25" x14ac:dyDescent="0.25">
      <c r="A88" s="84"/>
      <c r="B88" s="84" t="str">
        <f t="shared" si="5"/>
        <v>X</v>
      </c>
      <c r="C88" s="84" t="str">
        <f>IF(OR(Tabella3[[#This Row],[LUN]]="X",Tabella3[[#This Row],[MAR]]="X",Tabella3[[#This Row],[MER]]="X",Tabella3[[#This Row],[GIO]]="X",Tabella3[[#This Row],[VEN]]="X",),"X","")</f>
        <v/>
      </c>
      <c r="D88" s="85" t="s">
        <v>10</v>
      </c>
      <c r="E88" s="81" t="s">
        <v>1719</v>
      </c>
      <c r="F88" s="81">
        <v>1800</v>
      </c>
      <c r="G88" s="81" t="s">
        <v>1720</v>
      </c>
      <c r="H88" s="83"/>
      <c r="I88" s="83"/>
      <c r="J88" s="83"/>
      <c r="K88" s="83"/>
      <c r="L88" s="83"/>
      <c r="M88" s="81" t="s">
        <v>52</v>
      </c>
      <c r="N88" s="85"/>
      <c r="O88" s="85"/>
      <c r="P88" s="81"/>
      <c r="Q88" s="81"/>
      <c r="R88" s="82"/>
      <c r="S88" s="81"/>
      <c r="T88" s="138" t="str">
        <f ca="1">IF(AND('Inserimento dati'!$B$3=$H$2, Tabella3[[#This Row],[LUN]]="X"), "X",IF(AND('Inserimento dati'!$B$3=$I$2, Tabella3[[#This Row],[MAR]]="X"), "X", IF(AND('Inserimento dati'!$B$3=$J$2, Tabella3[[#This Row],[MER]]="X"), "X",IF(AND('Inserimento dati'!$B$3=$K$2, Tabella3[[#This Row],[GIO]]="X"), "X", IF(AND('Inserimento dati'!$B$3=$L$2, Tabella3[[#This Row],[VEN]]="X"), "X","")))))</f>
        <v/>
      </c>
      <c r="U88" s="153" t="str">
        <f t="shared" ca="1" si="4"/>
        <v xml:space="preserve"> 1021739</v>
      </c>
    </row>
    <row r="89" spans="1:21" ht="23.25" x14ac:dyDescent="0.25">
      <c r="A89" s="84"/>
      <c r="B89" s="84" t="str">
        <f t="shared" si="5"/>
        <v>X</v>
      </c>
      <c r="C89" s="84" t="str">
        <f>IF(OR(Tabella3[[#This Row],[LUN]]="X",Tabella3[[#This Row],[MAR]]="X",Tabella3[[#This Row],[MER]]="X",Tabella3[[#This Row],[GIO]]="X",Tabella3[[#This Row],[VEN]]="X",),"X","")</f>
        <v/>
      </c>
      <c r="D89" s="85" t="s">
        <v>10</v>
      </c>
      <c r="E89" s="81" t="s">
        <v>1721</v>
      </c>
      <c r="F89" s="81" t="s">
        <v>199</v>
      </c>
      <c r="G89" s="81" t="s">
        <v>1722</v>
      </c>
      <c r="H89" s="83"/>
      <c r="I89" s="83"/>
      <c r="J89" s="83"/>
      <c r="K89" s="83"/>
      <c r="L89" s="83"/>
      <c r="M89" s="81" t="s">
        <v>52</v>
      </c>
      <c r="N89" s="85"/>
      <c r="O89" s="85"/>
      <c r="P89" s="81"/>
      <c r="Q89" s="81" t="s">
        <v>1723</v>
      </c>
      <c r="R89" s="82">
        <v>45701</v>
      </c>
      <c r="S89" s="81" t="s">
        <v>238</v>
      </c>
      <c r="T89" s="138" t="str">
        <f ca="1">IF(AND('Inserimento dati'!$B$3=$H$2, Tabella3[[#This Row],[LUN]]="X"), "X",IF(AND('Inserimento dati'!$B$3=$I$2, Tabella3[[#This Row],[MAR]]="X"), "X", IF(AND('Inserimento dati'!$B$3=$J$2, Tabella3[[#This Row],[MER]]="X"), "X",IF(AND('Inserimento dati'!$B$3=$K$2, Tabella3[[#This Row],[GIO]]="X"), "X", IF(AND('Inserimento dati'!$B$3=$L$2, Tabella3[[#This Row],[VEN]]="X"), "X","")))))</f>
        <v/>
      </c>
      <c r="U89" s="153" t="str">
        <f t="shared" ca="1" si="4"/>
        <v/>
      </c>
    </row>
    <row r="90" spans="1:21" ht="30" x14ac:dyDescent="0.25">
      <c r="A90" s="84"/>
      <c r="B90" s="84" t="str">
        <f t="shared" si="5"/>
        <v>X</v>
      </c>
      <c r="C90" s="84" t="str">
        <f>IF(OR(Tabella3[[#This Row],[LUN]]="X",Tabella3[[#This Row],[MAR]]="X",Tabella3[[#This Row],[MER]]="X",Tabella3[[#This Row],[GIO]]="X",Tabella3[[#This Row],[VEN]]="X",),"X","")</f>
        <v/>
      </c>
      <c r="D90" s="85" t="s">
        <v>10</v>
      </c>
      <c r="E90" s="81" t="s">
        <v>1724</v>
      </c>
      <c r="F90" s="81">
        <v>1100</v>
      </c>
      <c r="G90" s="81" t="s">
        <v>1725</v>
      </c>
      <c r="H90" s="83"/>
      <c r="I90" s="83"/>
      <c r="J90" s="83"/>
      <c r="K90" s="83"/>
      <c r="L90" s="83"/>
      <c r="M90" s="81" t="s">
        <v>52</v>
      </c>
      <c r="N90" s="85"/>
      <c r="O90" s="85"/>
      <c r="P90" s="81"/>
      <c r="Q90" s="81" t="s">
        <v>1726</v>
      </c>
      <c r="R90" s="82">
        <v>45637</v>
      </c>
      <c r="S90" s="82" t="s">
        <v>1727</v>
      </c>
      <c r="T90" s="138" t="str">
        <f ca="1">IF(AND('Inserimento dati'!$B$3=$H$2, Tabella3[[#This Row],[LUN]]="X"), "X",IF(AND('Inserimento dati'!$B$3=$I$2, Tabella3[[#This Row],[MAR]]="X"), "X", IF(AND('Inserimento dati'!$B$3=$J$2, Tabella3[[#This Row],[MER]]="X"), "X",IF(AND('Inserimento dati'!$B$3=$K$2, Tabella3[[#This Row],[GIO]]="X"), "X", IF(AND('Inserimento dati'!$B$3=$L$2, Tabella3[[#This Row],[VEN]]="X"), "X","")))))</f>
        <v/>
      </c>
      <c r="U90" s="153" t="str">
        <f t="shared" ca="1" si="4"/>
        <v xml:space="preserve"> 1020094</v>
      </c>
    </row>
    <row r="91" spans="1:21" ht="30" x14ac:dyDescent="0.25">
      <c r="A91" s="84"/>
      <c r="B91" s="84" t="str">
        <f t="shared" si="5"/>
        <v>X</v>
      </c>
      <c r="C91" s="84" t="str">
        <f>IF(OR(Tabella3[[#This Row],[LUN]]="X",Tabella3[[#This Row],[MAR]]="X",Tabella3[[#This Row],[MER]]="X",Tabella3[[#This Row],[GIO]]="X",Tabella3[[#This Row],[VEN]]="X",),"X","")</f>
        <v/>
      </c>
      <c r="D91" s="85" t="s">
        <v>10</v>
      </c>
      <c r="E91" s="81" t="s">
        <v>1728</v>
      </c>
      <c r="F91" s="81">
        <v>1100</v>
      </c>
      <c r="G91" s="81" t="s">
        <v>1729</v>
      </c>
      <c r="H91" s="83"/>
      <c r="I91" s="83"/>
      <c r="J91" s="83"/>
      <c r="K91" s="83"/>
      <c r="L91" s="83"/>
      <c r="M91" s="81" t="s">
        <v>52</v>
      </c>
      <c r="N91" s="85"/>
      <c r="O91" s="85"/>
      <c r="P91" s="81"/>
      <c r="Q91" s="81" t="s">
        <v>1730</v>
      </c>
      <c r="R91" s="82">
        <v>45637</v>
      </c>
      <c r="S91" s="82" t="s">
        <v>1727</v>
      </c>
      <c r="T91" s="138" t="str">
        <f ca="1">IF(AND('Inserimento dati'!$B$3=$H$2, Tabella3[[#This Row],[LUN]]="X"), "X",IF(AND('Inserimento dati'!$B$3=$I$2, Tabella3[[#This Row],[MAR]]="X"), "X", IF(AND('Inserimento dati'!$B$3=$J$2, Tabella3[[#This Row],[MER]]="X"), "X",IF(AND('Inserimento dati'!$B$3=$K$2, Tabella3[[#This Row],[GIO]]="X"), "X", IF(AND('Inserimento dati'!$B$3=$L$2, Tabella3[[#This Row],[VEN]]="X"), "X","")))))</f>
        <v/>
      </c>
      <c r="U91" s="153" t="str">
        <f t="shared" ca="1" si="4"/>
        <v xml:space="preserve"> 1020094</v>
      </c>
    </row>
    <row r="92" spans="1:21" ht="23.25" x14ac:dyDescent="0.25">
      <c r="A92" s="84"/>
      <c r="B92" s="84" t="str">
        <f t="shared" si="5"/>
        <v>X</v>
      </c>
      <c r="C92" s="84" t="str">
        <f>IF(OR(Tabella3[[#This Row],[LUN]]="X",Tabella3[[#This Row],[MAR]]="X",Tabella3[[#This Row],[MER]]="X",Tabella3[[#This Row],[GIO]]="X",Tabella3[[#This Row],[VEN]]="X",),"X","")</f>
        <v/>
      </c>
      <c r="D92" s="85" t="s">
        <v>10</v>
      </c>
      <c r="E92" s="81" t="s">
        <v>1731</v>
      </c>
      <c r="F92" s="81" t="s">
        <v>198</v>
      </c>
      <c r="G92" s="81" t="s">
        <v>1732</v>
      </c>
      <c r="H92" s="83"/>
      <c r="I92" s="83"/>
      <c r="J92" s="83"/>
      <c r="K92" s="83"/>
      <c r="L92" s="83"/>
      <c r="M92" s="81" t="s">
        <v>52</v>
      </c>
      <c r="N92" s="85"/>
      <c r="O92" s="85"/>
      <c r="P92" s="81"/>
      <c r="Q92" s="81" t="s">
        <v>1133</v>
      </c>
      <c r="R92" s="82">
        <v>45681</v>
      </c>
      <c r="S92" s="82" t="s">
        <v>238</v>
      </c>
      <c r="T92" s="84" t="str">
        <f ca="1">IF(AND('Inserimento dati'!$B$3=$H$2, Tabella3[[#This Row],[LUN]]="X"), "X",IF(AND('Inserimento dati'!$B$3=$I$2, Tabella3[[#This Row],[MAR]]="X"), "X", IF(AND('Inserimento dati'!$B$3=$J$2, Tabella3[[#This Row],[MER]]="X"), "X",IF(AND('Inserimento dati'!$B$3=$K$2, Tabella3[[#This Row],[GIO]]="X"), "X", IF(AND('Inserimento dati'!$B$3=$L$2, Tabella3[[#This Row],[VEN]]="X"), "X","")))))</f>
        <v/>
      </c>
      <c r="U92" s="153" t="str">
        <f t="shared" ca="1" si="4"/>
        <v/>
      </c>
    </row>
    <row r="93" spans="1:21" ht="30" x14ac:dyDescent="0.25">
      <c r="A93" s="84"/>
      <c r="B93" s="84" t="str">
        <f t="shared" si="5"/>
        <v>X</v>
      </c>
      <c r="C93" s="84" t="str">
        <f>IF(OR(Tabella3[[#This Row],[LUN]]="X",Tabella3[[#This Row],[MAR]]="X",Tabella3[[#This Row],[MER]]="X",Tabella3[[#This Row],[GIO]]="X",Tabella3[[#This Row],[VEN]]="X",),"X","")</f>
        <v/>
      </c>
      <c r="D93" s="85" t="s">
        <v>10</v>
      </c>
      <c r="E93" s="81" t="s">
        <v>1733</v>
      </c>
      <c r="F93" s="81">
        <v>1400</v>
      </c>
      <c r="G93" s="81" t="s">
        <v>1734</v>
      </c>
      <c r="H93" s="83"/>
      <c r="I93" s="83"/>
      <c r="J93" s="83"/>
      <c r="K93" s="83"/>
      <c r="L93" s="83"/>
      <c r="M93" s="81" t="s">
        <v>52</v>
      </c>
      <c r="N93" s="85"/>
      <c r="O93" s="85"/>
      <c r="P93" s="81"/>
      <c r="Q93" s="81" t="s">
        <v>1735</v>
      </c>
      <c r="R93" s="82">
        <v>45590</v>
      </c>
      <c r="S93" s="82" t="s">
        <v>11</v>
      </c>
      <c r="T93" s="138" t="str">
        <f ca="1">IF(AND('Inserimento dati'!$B$3=$H$2, Tabella3[[#This Row],[LUN]]="X"), "X",IF(AND('Inserimento dati'!$B$3=$I$2, Tabella3[[#This Row],[MAR]]="X"), "X", IF(AND('Inserimento dati'!$B$3=$J$2, Tabella3[[#This Row],[MER]]="X"), "X",IF(AND('Inserimento dati'!$B$3=$K$2, Tabella3[[#This Row],[GIO]]="X"), "X", IF(AND('Inserimento dati'!$B$3=$L$2, Tabella3[[#This Row],[VEN]]="X"), "X","")))))</f>
        <v/>
      </c>
      <c r="U93" s="153" t="str">
        <f t="shared" ca="1" si="4"/>
        <v/>
      </c>
    </row>
    <row r="94" spans="1:21" ht="30" x14ac:dyDescent="0.25">
      <c r="A94" s="84"/>
      <c r="B94" s="84" t="str">
        <f t="shared" si="5"/>
        <v>X</v>
      </c>
      <c r="C94" s="84" t="str">
        <f>IF(OR(Tabella3[[#This Row],[LUN]]="X",Tabella3[[#This Row],[MAR]]="X",Tabella3[[#This Row],[MER]]="X",Tabella3[[#This Row],[GIO]]="X",Tabella3[[#This Row],[VEN]]="X",),"X","")</f>
        <v/>
      </c>
      <c r="D94" s="85" t="s">
        <v>10</v>
      </c>
      <c r="E94" s="81" t="s">
        <v>1736</v>
      </c>
      <c r="F94" s="81">
        <v>1400</v>
      </c>
      <c r="G94" s="81" t="s">
        <v>1737</v>
      </c>
      <c r="H94" s="83"/>
      <c r="I94" s="83"/>
      <c r="J94" s="83"/>
      <c r="K94" s="83"/>
      <c r="L94" s="83"/>
      <c r="M94" s="81" t="s">
        <v>52</v>
      </c>
      <c r="N94" s="85"/>
      <c r="O94" s="85"/>
      <c r="P94" s="81"/>
      <c r="Q94" s="81" t="s">
        <v>1735</v>
      </c>
      <c r="R94" s="82">
        <v>45590</v>
      </c>
      <c r="S94" s="82" t="s">
        <v>11</v>
      </c>
      <c r="T94" s="138" t="str">
        <f ca="1">IF(AND('Inserimento dati'!$B$3=$H$2, Tabella3[[#This Row],[LUN]]="X"), "X",IF(AND('Inserimento dati'!$B$3=$I$2, Tabella3[[#This Row],[MAR]]="X"), "X", IF(AND('Inserimento dati'!$B$3=$J$2, Tabella3[[#This Row],[MER]]="X"), "X",IF(AND('Inserimento dati'!$B$3=$K$2, Tabella3[[#This Row],[GIO]]="X"), "X", IF(AND('Inserimento dati'!$B$3=$L$2, Tabella3[[#This Row],[VEN]]="X"), "X","")))))</f>
        <v/>
      </c>
      <c r="U94" s="153" t="str">
        <f t="shared" ca="1" si="4"/>
        <v/>
      </c>
    </row>
    <row r="95" spans="1:21" ht="45" x14ac:dyDescent="0.25">
      <c r="A95" s="84"/>
      <c r="B95" s="84" t="str">
        <f t="shared" si="5"/>
        <v>X</v>
      </c>
      <c r="C95" s="84" t="str">
        <f>IF(OR(Tabella3[[#This Row],[LUN]]="X",Tabella3[[#This Row],[MAR]]="X",Tabella3[[#This Row],[MER]]="X",Tabella3[[#This Row],[GIO]]="X",Tabella3[[#This Row],[VEN]]="X",),"X","")</f>
        <v/>
      </c>
      <c r="D95" s="85" t="s">
        <v>10</v>
      </c>
      <c r="E95" s="81" t="s">
        <v>1738</v>
      </c>
      <c r="F95" s="81" t="s">
        <v>160</v>
      </c>
      <c r="G95" s="81" t="s">
        <v>1739</v>
      </c>
      <c r="H95" s="83"/>
      <c r="I95" s="83"/>
      <c r="J95" s="83"/>
      <c r="K95" s="83"/>
      <c r="L95" s="83"/>
      <c r="M95" s="81" t="s">
        <v>52</v>
      </c>
      <c r="N95" s="85"/>
      <c r="O95" s="85"/>
      <c r="P95" s="81"/>
      <c r="Q95" s="81" t="s">
        <v>1740</v>
      </c>
      <c r="R95" s="82">
        <v>45694</v>
      </c>
      <c r="S95" s="82" t="s">
        <v>9</v>
      </c>
      <c r="T95" s="138" t="str">
        <f ca="1">IF(AND('Inserimento dati'!$B$3=$H$2, Tabella3[[#This Row],[LUN]]="X"), "X",IF(AND('Inserimento dati'!$B$3=$I$2, Tabella3[[#This Row],[MAR]]="X"), "X", IF(AND('Inserimento dati'!$B$3=$J$2, Tabella3[[#This Row],[MER]]="X"), "X",IF(AND('Inserimento dati'!$B$3=$K$2, Tabella3[[#This Row],[GIO]]="X"), "X", IF(AND('Inserimento dati'!$B$3=$L$2, Tabella3[[#This Row],[VEN]]="X"), "X","")))))</f>
        <v/>
      </c>
      <c r="U95" s="153" t="str">
        <f t="shared" ca="1" si="4"/>
        <v/>
      </c>
    </row>
    <row r="96" spans="1:21" ht="30" x14ac:dyDescent="0.25">
      <c r="A96" s="84"/>
      <c r="B96" s="84" t="str">
        <f t="shared" si="5"/>
        <v>X</v>
      </c>
      <c r="C96" s="84" t="str">
        <f>IF(OR(Tabella3[[#This Row],[LUN]]="X",Tabella3[[#This Row],[MAR]]="X",Tabella3[[#This Row],[MER]]="X",Tabella3[[#This Row],[GIO]]="X",Tabella3[[#This Row],[VEN]]="X",),"X","")</f>
        <v/>
      </c>
      <c r="D96" s="85" t="s">
        <v>10</v>
      </c>
      <c r="E96" s="81" t="s">
        <v>1741</v>
      </c>
      <c r="F96" s="81">
        <v>1400</v>
      </c>
      <c r="G96" s="81" t="s">
        <v>1742</v>
      </c>
      <c r="H96" s="83"/>
      <c r="I96" s="83"/>
      <c r="J96" s="83"/>
      <c r="K96" s="83"/>
      <c r="L96" s="83"/>
      <c r="M96" s="81" t="s">
        <v>52</v>
      </c>
      <c r="N96" s="85"/>
      <c r="O96" s="85"/>
      <c r="P96" s="81"/>
      <c r="Q96" s="81" t="s">
        <v>1743</v>
      </c>
      <c r="R96" s="82">
        <v>45700</v>
      </c>
      <c r="S96" s="81"/>
      <c r="T96" s="138" t="str">
        <f ca="1">IF(AND('Inserimento dati'!$B$3=$H$2, Tabella3[[#This Row],[LUN]]="X"), "X",IF(AND('Inserimento dati'!$B$3=$I$2, Tabella3[[#This Row],[MAR]]="X"), "X", IF(AND('Inserimento dati'!$B$3=$J$2, Tabella3[[#This Row],[MER]]="X"), "X",IF(AND('Inserimento dati'!$B$3=$K$2, Tabella3[[#This Row],[GIO]]="X"), "X", IF(AND('Inserimento dati'!$B$3=$L$2, Tabella3[[#This Row],[VEN]]="X"), "X","")))))</f>
        <v/>
      </c>
      <c r="U96" s="153" t="str">
        <f t="shared" ca="1" si="4"/>
        <v xml:space="preserve"> 1021718</v>
      </c>
    </row>
    <row r="97" spans="1:21" ht="30" x14ac:dyDescent="0.25">
      <c r="A97" s="84"/>
      <c r="B97" s="84" t="str">
        <f t="shared" si="5"/>
        <v>X</v>
      </c>
      <c r="C97" s="84" t="str">
        <f>IF(OR(Tabella3[[#This Row],[LUN]]="X",Tabella3[[#This Row],[MAR]]="X",Tabella3[[#This Row],[MER]]="X",Tabella3[[#This Row],[GIO]]="X",Tabella3[[#This Row],[VEN]]="X",),"X","")</f>
        <v/>
      </c>
      <c r="D97" s="85" t="s">
        <v>10</v>
      </c>
      <c r="E97" s="81" t="s">
        <v>1744</v>
      </c>
      <c r="F97" s="81">
        <v>1800</v>
      </c>
      <c r="G97" s="81" t="s">
        <v>1745</v>
      </c>
      <c r="H97" s="83"/>
      <c r="I97" s="83"/>
      <c r="J97" s="83"/>
      <c r="K97" s="83"/>
      <c r="L97" s="83"/>
      <c r="M97" s="81" t="s">
        <v>52</v>
      </c>
      <c r="N97" s="85"/>
      <c r="O97" s="85"/>
      <c r="P97" s="81"/>
      <c r="Q97" s="81" t="s">
        <v>1746</v>
      </c>
      <c r="R97" s="82">
        <v>45628</v>
      </c>
      <c r="S97" s="81" t="s">
        <v>11</v>
      </c>
      <c r="T97" s="138" t="str">
        <f ca="1">IF(AND('Inserimento dati'!$B$3=$H$2, Tabella3[[#This Row],[LUN]]="X"), "X",IF(AND('Inserimento dati'!$B$3=$I$2, Tabella3[[#This Row],[MAR]]="X"), "X", IF(AND('Inserimento dati'!$B$3=$J$2, Tabella3[[#This Row],[MER]]="X"), "X",IF(AND('Inserimento dati'!$B$3=$K$2, Tabella3[[#This Row],[GIO]]="X"), "X", IF(AND('Inserimento dati'!$B$3=$L$2, Tabella3[[#This Row],[VEN]]="X"), "X","")))))</f>
        <v/>
      </c>
      <c r="U97" s="153" t="str">
        <f t="shared" ca="1" si="4"/>
        <v/>
      </c>
    </row>
    <row r="98" spans="1:21" ht="30" x14ac:dyDescent="0.25">
      <c r="A98" s="84"/>
      <c r="B98" s="84" t="str">
        <f t="shared" si="5"/>
        <v>X</v>
      </c>
      <c r="C98" s="84" t="str">
        <f>IF(OR(Tabella3[[#This Row],[LUN]]="X",Tabella3[[#This Row],[MAR]]="X",Tabella3[[#This Row],[MER]]="X",Tabella3[[#This Row],[GIO]]="X",Tabella3[[#This Row],[VEN]]="X",),"X","")</f>
        <v/>
      </c>
      <c r="D98" s="85" t="s">
        <v>10</v>
      </c>
      <c r="E98" s="81" t="s">
        <v>1747</v>
      </c>
      <c r="F98" s="81">
        <v>700</v>
      </c>
      <c r="G98" s="81" t="s">
        <v>1748</v>
      </c>
      <c r="H98" s="83"/>
      <c r="I98" s="83"/>
      <c r="J98" s="83"/>
      <c r="K98" s="83"/>
      <c r="L98" s="83"/>
      <c r="M98" s="81" t="s">
        <v>52</v>
      </c>
      <c r="N98" s="85"/>
      <c r="O98" s="85"/>
      <c r="P98" s="81"/>
      <c r="Q98" s="81" t="s">
        <v>1749</v>
      </c>
      <c r="R98" s="82">
        <v>45698</v>
      </c>
      <c r="S98" s="81" t="s">
        <v>1750</v>
      </c>
      <c r="T98" s="138" t="str">
        <f ca="1">IF(AND('Inserimento dati'!$B$3=$H$2, Tabella3[[#This Row],[LUN]]="X"), "X",IF(AND('Inserimento dati'!$B$3=$I$2, Tabella3[[#This Row],[MAR]]="X"), "X", IF(AND('Inserimento dati'!$B$3=$J$2, Tabella3[[#This Row],[MER]]="X"), "X",IF(AND('Inserimento dati'!$B$3=$K$2, Tabella3[[#This Row],[GIO]]="X"), "X", IF(AND('Inserimento dati'!$B$3=$L$2, Tabella3[[#This Row],[VEN]]="X"), "X","")))))</f>
        <v/>
      </c>
      <c r="U98" s="153" t="str">
        <f t="shared" ca="1" si="4"/>
        <v/>
      </c>
    </row>
    <row r="99" spans="1:21" ht="30" x14ac:dyDescent="0.25">
      <c r="A99" s="84"/>
      <c r="B99" s="84" t="str">
        <f t="shared" si="5"/>
        <v>X</v>
      </c>
      <c r="C99" s="84" t="str">
        <f>IF(OR(Tabella3[[#This Row],[LUN]]="X",Tabella3[[#This Row],[MAR]]="X",Tabella3[[#This Row],[MER]]="X",Tabella3[[#This Row],[GIO]]="X",Tabella3[[#This Row],[VEN]]="X",),"X","")</f>
        <v/>
      </c>
      <c r="D99" s="85" t="s">
        <v>10</v>
      </c>
      <c r="E99" s="81" t="s">
        <v>1751</v>
      </c>
      <c r="F99" s="81">
        <v>1800</v>
      </c>
      <c r="G99" s="81" t="s">
        <v>1752</v>
      </c>
      <c r="H99" s="83"/>
      <c r="I99" s="83"/>
      <c r="J99" s="83"/>
      <c r="K99" s="83"/>
      <c r="L99" s="83"/>
      <c r="M99" s="81" t="s">
        <v>52</v>
      </c>
      <c r="N99" s="85"/>
      <c r="O99" s="85"/>
      <c r="P99" s="81"/>
      <c r="Q99" s="81" t="s">
        <v>1753</v>
      </c>
      <c r="R99" s="82">
        <v>45692</v>
      </c>
      <c r="S99" s="81" t="s">
        <v>1750</v>
      </c>
      <c r="T99" s="138" t="str">
        <f ca="1">IF(AND('Inserimento dati'!$B$3=$H$2, Tabella3[[#This Row],[LUN]]="X"), "X",IF(AND('Inserimento dati'!$B$3=$I$2, Tabella3[[#This Row],[MAR]]="X"), "X", IF(AND('Inserimento dati'!$B$3=$J$2, Tabella3[[#This Row],[MER]]="X"), "X",IF(AND('Inserimento dati'!$B$3=$K$2, Tabella3[[#This Row],[GIO]]="X"), "X", IF(AND('Inserimento dati'!$B$3=$L$2, Tabella3[[#This Row],[VEN]]="X"), "X","")))))</f>
        <v/>
      </c>
      <c r="U99" s="153" t="str">
        <f t="shared" ca="1" si="4"/>
        <v xml:space="preserve"> 1022404</v>
      </c>
    </row>
    <row r="100" spans="1:21" ht="30" x14ac:dyDescent="0.25">
      <c r="A100" s="84"/>
      <c r="B100" s="84" t="str">
        <f t="shared" si="5"/>
        <v>X</v>
      </c>
      <c r="C100" s="84" t="str">
        <f>IF(OR(Tabella3[[#This Row],[LUN]]="X",Tabella3[[#This Row],[MAR]]="X",Tabella3[[#This Row],[MER]]="X",Tabella3[[#This Row],[GIO]]="X",Tabella3[[#This Row],[VEN]]="X",),"X","")</f>
        <v/>
      </c>
      <c r="D100" s="85" t="s">
        <v>10</v>
      </c>
      <c r="E100" s="81" t="s">
        <v>1754</v>
      </c>
      <c r="F100" s="81">
        <v>800</v>
      </c>
      <c r="G100" s="81" t="s">
        <v>1755</v>
      </c>
      <c r="H100" s="83"/>
      <c r="I100" s="83"/>
      <c r="J100" s="83"/>
      <c r="K100" s="83"/>
      <c r="L100" s="83"/>
      <c r="M100" s="81" t="s">
        <v>52</v>
      </c>
      <c r="N100" s="85"/>
      <c r="O100" s="85"/>
      <c r="P100" s="81"/>
      <c r="Q100" s="81" t="s">
        <v>1756</v>
      </c>
      <c r="R100" s="82">
        <v>45692</v>
      </c>
      <c r="S100" s="81" t="s">
        <v>9</v>
      </c>
      <c r="T100" s="84" t="str">
        <f ca="1">IF(AND('Inserimento dati'!$B$3=$H$2, Tabella3[[#This Row],[LUN]]="X"), "X",IF(AND('Inserimento dati'!$B$3=$I$2, Tabella3[[#This Row],[MAR]]="X"), "X", IF(AND('Inserimento dati'!$B$3=$J$2, Tabella3[[#This Row],[MER]]="X"), "X",IF(AND('Inserimento dati'!$B$3=$K$2, Tabella3[[#This Row],[GIO]]="X"), "X", IF(AND('Inserimento dati'!$B$3=$L$2, Tabella3[[#This Row],[VEN]]="X"), "X","")))))</f>
        <v/>
      </c>
      <c r="U100" s="153" t="str">
        <f t="shared" ca="1" si="4"/>
        <v/>
      </c>
    </row>
    <row r="101" spans="1:21" ht="30" x14ac:dyDescent="0.25">
      <c r="A101" s="84"/>
      <c r="B101" s="84" t="str">
        <f t="shared" si="5"/>
        <v>X</v>
      </c>
      <c r="C101" s="84" t="str">
        <f>IF(OR(Tabella3[[#This Row],[LUN]]="X",Tabella3[[#This Row],[MAR]]="X",Tabella3[[#This Row],[MER]]="X",Tabella3[[#This Row],[GIO]]="X",Tabella3[[#This Row],[VEN]]="X",),"X","")</f>
        <v/>
      </c>
      <c r="D101" s="85" t="s">
        <v>10</v>
      </c>
      <c r="E101" s="81" t="s">
        <v>1757</v>
      </c>
      <c r="F101" s="81">
        <v>800</v>
      </c>
      <c r="G101" s="81" t="s">
        <v>1758</v>
      </c>
      <c r="H101" s="83"/>
      <c r="I101" s="83"/>
      <c r="J101" s="83"/>
      <c r="K101" s="83"/>
      <c r="L101" s="83"/>
      <c r="M101" s="81" t="s">
        <v>52</v>
      </c>
      <c r="N101" s="85"/>
      <c r="O101" s="85"/>
      <c r="P101" s="81"/>
      <c r="Q101" s="81" t="s">
        <v>1756</v>
      </c>
      <c r="R101" s="82">
        <v>45692</v>
      </c>
      <c r="S101" s="81" t="s">
        <v>9</v>
      </c>
      <c r="T101" s="84" t="str">
        <f ca="1">IF(AND('Inserimento dati'!$B$3=$H$2, Tabella3[[#This Row],[LUN]]="X"), "X",IF(AND('Inserimento dati'!$B$3=$I$2, Tabella3[[#This Row],[MAR]]="X"), "X", IF(AND('Inserimento dati'!$B$3=$J$2, Tabella3[[#This Row],[MER]]="X"), "X",IF(AND('Inserimento dati'!$B$3=$K$2, Tabella3[[#This Row],[GIO]]="X"), "X", IF(AND('Inserimento dati'!$B$3=$L$2, Tabella3[[#This Row],[VEN]]="X"), "X","")))))</f>
        <v/>
      </c>
      <c r="U101" s="153" t="str">
        <f t="shared" ca="1" si="4"/>
        <v/>
      </c>
    </row>
    <row r="102" spans="1:21" ht="30" x14ac:dyDescent="0.25">
      <c r="A102" s="84"/>
      <c r="B102" s="84" t="str">
        <f t="shared" si="5"/>
        <v>X</v>
      </c>
      <c r="C102" s="84" t="str">
        <f>IF(OR(Tabella3[[#This Row],[LUN]]="X",Tabella3[[#This Row],[MAR]]="X",Tabella3[[#This Row],[MER]]="X",Tabella3[[#This Row],[GIO]]="X",Tabella3[[#This Row],[VEN]]="X",),"X","")</f>
        <v/>
      </c>
      <c r="D102" s="85" t="s">
        <v>10</v>
      </c>
      <c r="E102" s="81" t="s">
        <v>1759</v>
      </c>
      <c r="F102" s="81">
        <v>800</v>
      </c>
      <c r="G102" s="81" t="s">
        <v>1760</v>
      </c>
      <c r="H102" s="83"/>
      <c r="I102" s="83"/>
      <c r="J102" s="83"/>
      <c r="K102" s="83"/>
      <c r="L102" s="83"/>
      <c r="M102" s="81" t="s">
        <v>52</v>
      </c>
      <c r="N102" s="85"/>
      <c r="O102" s="85"/>
      <c r="P102" s="81"/>
      <c r="Q102" s="81" t="s">
        <v>1756</v>
      </c>
      <c r="R102" s="82">
        <v>45692</v>
      </c>
      <c r="S102" s="81" t="s">
        <v>9</v>
      </c>
      <c r="T102" s="84" t="str">
        <f ca="1">IF(AND('Inserimento dati'!$B$3=$H$2, Tabella3[[#This Row],[LUN]]="X"), "X",IF(AND('Inserimento dati'!$B$3=$I$2, Tabella3[[#This Row],[MAR]]="X"), "X", IF(AND('Inserimento dati'!$B$3=$J$2, Tabella3[[#This Row],[MER]]="X"), "X",IF(AND('Inserimento dati'!$B$3=$K$2, Tabella3[[#This Row],[GIO]]="X"), "X", IF(AND('Inserimento dati'!$B$3=$L$2, Tabella3[[#This Row],[VEN]]="X"), "X","")))))</f>
        <v/>
      </c>
      <c r="U102" s="153" t="str">
        <f t="shared" ca="1" si="4"/>
        <v/>
      </c>
    </row>
    <row r="103" spans="1:21" ht="23.25" x14ac:dyDescent="0.25">
      <c r="A103" s="84"/>
      <c r="B103" s="84" t="str">
        <f t="shared" si="5"/>
        <v>X</v>
      </c>
      <c r="C103" s="84" t="str">
        <f>IF(OR(Tabella3[[#This Row],[LUN]]="X",Tabella3[[#This Row],[MAR]]="X",Tabella3[[#This Row],[MER]]="X",Tabella3[[#This Row],[GIO]]="X",Tabella3[[#This Row],[VEN]]="X",),"X","")</f>
        <v/>
      </c>
      <c r="D103" s="85" t="s">
        <v>10</v>
      </c>
      <c r="E103" s="81" t="s">
        <v>1761</v>
      </c>
      <c r="F103" s="81">
        <v>700</v>
      </c>
      <c r="G103" s="81" t="s">
        <v>1762</v>
      </c>
      <c r="H103" s="83"/>
      <c r="I103" s="83"/>
      <c r="J103" s="83"/>
      <c r="K103" s="83"/>
      <c r="L103" s="83"/>
      <c r="M103" s="81" t="s">
        <v>52</v>
      </c>
      <c r="N103" s="85"/>
      <c r="O103" s="85"/>
      <c r="P103" s="81"/>
      <c r="Q103" s="81" t="s">
        <v>1763</v>
      </c>
      <c r="R103" s="82">
        <v>45674</v>
      </c>
      <c r="S103" s="81" t="s">
        <v>238</v>
      </c>
      <c r="T103" s="84" t="str">
        <f ca="1">IF(AND('Inserimento dati'!$B$3=$H$2, Tabella3[[#This Row],[LUN]]="X"), "X",IF(AND('Inserimento dati'!$B$3=$I$2, Tabella3[[#This Row],[MAR]]="X"), "X", IF(AND('Inserimento dati'!$B$3=$J$2, Tabella3[[#This Row],[MER]]="X"), "X",IF(AND('Inserimento dati'!$B$3=$K$2, Tabella3[[#This Row],[GIO]]="X"), "X", IF(AND('Inserimento dati'!$B$3=$L$2, Tabella3[[#This Row],[VEN]]="X"), "X","")))))</f>
        <v/>
      </c>
      <c r="U103" s="153" t="str">
        <f t="shared" ca="1" si="4"/>
        <v/>
      </c>
    </row>
    <row r="104" spans="1:21" ht="45" x14ac:dyDescent="0.25">
      <c r="A104" s="84"/>
      <c r="B104" s="84" t="str">
        <f t="shared" si="5"/>
        <v>X</v>
      </c>
      <c r="C104" s="84" t="str">
        <f>IF(OR(Tabella3[[#This Row],[LUN]]="X",Tabella3[[#This Row],[MAR]]="X",Tabella3[[#This Row],[MER]]="X",Tabella3[[#This Row],[GIO]]="X",Tabella3[[#This Row],[VEN]]="X",),"X","")</f>
        <v/>
      </c>
      <c r="D104" s="85" t="s">
        <v>10</v>
      </c>
      <c r="E104" s="81" t="s">
        <v>1764</v>
      </c>
      <c r="F104" s="81">
        <v>800</v>
      </c>
      <c r="G104" s="81" t="s">
        <v>1765</v>
      </c>
      <c r="H104" s="83"/>
      <c r="I104" s="83"/>
      <c r="J104" s="83"/>
      <c r="K104" s="83"/>
      <c r="L104" s="83"/>
      <c r="M104" s="81" t="s">
        <v>52</v>
      </c>
      <c r="N104" s="85"/>
      <c r="O104" s="85"/>
      <c r="P104" s="81"/>
      <c r="Q104" s="81" t="s">
        <v>1766</v>
      </c>
      <c r="R104" s="82">
        <v>45693</v>
      </c>
      <c r="S104" s="82" t="s">
        <v>1690</v>
      </c>
      <c r="T104" s="84" t="str">
        <f ca="1">IF(AND('Inserimento dati'!$B$3=$H$2, Tabella3[[#This Row],[LUN]]="X"), "X",IF(AND('Inserimento dati'!$B$3=$I$2, Tabella3[[#This Row],[MAR]]="X"), "X", IF(AND('Inserimento dati'!$B$3=$J$2, Tabella3[[#This Row],[MER]]="X"), "X",IF(AND('Inserimento dati'!$B$3=$K$2, Tabella3[[#This Row],[GIO]]="X"), "X", IF(AND('Inserimento dati'!$B$3=$L$2, Tabella3[[#This Row],[VEN]]="X"), "X","")))))</f>
        <v/>
      </c>
      <c r="U104" s="153" t="str">
        <f t="shared" ca="1" si="4"/>
        <v/>
      </c>
    </row>
    <row r="105" spans="1:21" ht="30" x14ac:dyDescent="0.25">
      <c r="A105" s="84"/>
      <c r="B105" s="84" t="str">
        <f t="shared" si="5"/>
        <v>X</v>
      </c>
      <c r="C105" s="84" t="str">
        <f>IF(OR(Tabella3[[#This Row],[LUN]]="X",Tabella3[[#This Row],[MAR]]="X",Tabella3[[#This Row],[MER]]="X",Tabella3[[#This Row],[GIO]]="X",Tabella3[[#This Row],[VEN]]="X",),"X","")</f>
        <v/>
      </c>
      <c r="D105" s="85" t="s">
        <v>10</v>
      </c>
      <c r="E105" s="81" t="s">
        <v>1767</v>
      </c>
      <c r="F105" s="81" t="s">
        <v>200</v>
      </c>
      <c r="G105" s="81" t="s">
        <v>1768</v>
      </c>
      <c r="H105" s="83"/>
      <c r="I105" s="83"/>
      <c r="J105" s="83"/>
      <c r="K105" s="83"/>
      <c r="L105" s="83"/>
      <c r="M105" s="81" t="s">
        <v>52</v>
      </c>
      <c r="N105" s="85"/>
      <c r="O105" s="85"/>
      <c r="P105" s="81"/>
      <c r="Q105" s="81" t="s">
        <v>1769</v>
      </c>
      <c r="R105" s="82">
        <v>45693</v>
      </c>
      <c r="S105" s="82" t="s">
        <v>254</v>
      </c>
      <c r="T105" s="84" t="str">
        <f ca="1">IF(AND('Inserimento dati'!$B$3=$H$2, Tabella3[[#This Row],[LUN]]="X"), "X",IF(AND('Inserimento dati'!$B$3=$I$2, Tabella3[[#This Row],[MAR]]="X"), "X", IF(AND('Inserimento dati'!$B$3=$J$2, Tabella3[[#This Row],[MER]]="X"), "X",IF(AND('Inserimento dati'!$B$3=$K$2, Tabella3[[#This Row],[GIO]]="X"), "X", IF(AND('Inserimento dati'!$B$3=$L$2, Tabella3[[#This Row],[VEN]]="X"), "X","")))))</f>
        <v/>
      </c>
      <c r="U105" s="153" t="str">
        <f t="shared" ca="1" si="4"/>
        <v/>
      </c>
    </row>
    <row r="106" spans="1:21" ht="30" x14ac:dyDescent="0.25">
      <c r="A106" s="84"/>
      <c r="B106" s="84" t="str">
        <f t="shared" si="5"/>
        <v>X</v>
      </c>
      <c r="C106" s="84" t="str">
        <f>IF(OR(Tabella3[[#This Row],[LUN]]="X",Tabella3[[#This Row],[MAR]]="X",Tabella3[[#This Row],[MER]]="X",Tabella3[[#This Row],[GIO]]="X",Tabella3[[#This Row],[VEN]]="X",),"X","")</f>
        <v/>
      </c>
      <c r="D106" s="85" t="s">
        <v>10</v>
      </c>
      <c r="E106" s="81" t="s">
        <v>1770</v>
      </c>
      <c r="F106" s="81" t="s">
        <v>200</v>
      </c>
      <c r="G106" s="81" t="s">
        <v>1771</v>
      </c>
      <c r="H106" s="83"/>
      <c r="I106" s="83"/>
      <c r="J106" s="83"/>
      <c r="K106" s="83"/>
      <c r="L106" s="83"/>
      <c r="M106" s="81" t="s">
        <v>52</v>
      </c>
      <c r="N106" s="85"/>
      <c r="O106" s="85"/>
      <c r="P106" s="81"/>
      <c r="Q106" s="81" t="s">
        <v>1772</v>
      </c>
      <c r="R106" s="82">
        <v>45693</v>
      </c>
      <c r="S106" s="81" t="s">
        <v>9</v>
      </c>
      <c r="T106" s="84" t="str">
        <f ca="1">IF(AND('Inserimento dati'!$B$3=$H$2, Tabella3[[#This Row],[LUN]]="X"), "X",IF(AND('Inserimento dati'!$B$3=$I$2, Tabella3[[#This Row],[MAR]]="X"), "X", IF(AND('Inserimento dati'!$B$3=$J$2, Tabella3[[#This Row],[MER]]="X"), "X",IF(AND('Inserimento dati'!$B$3=$K$2, Tabella3[[#This Row],[GIO]]="X"), "X", IF(AND('Inserimento dati'!$B$3=$L$2, Tabella3[[#This Row],[VEN]]="X"), "X","")))))</f>
        <v/>
      </c>
      <c r="U106" s="153" t="str">
        <f t="shared" ca="1" si="4"/>
        <v/>
      </c>
    </row>
    <row r="107" spans="1:21" ht="30" x14ac:dyDescent="0.25">
      <c r="A107" s="84"/>
      <c r="B107" s="84" t="str">
        <f t="shared" si="5"/>
        <v>X</v>
      </c>
      <c r="C107" s="84" t="str">
        <f>IF(OR(Tabella3[[#This Row],[LUN]]="X",Tabella3[[#This Row],[MAR]]="X",Tabella3[[#This Row],[MER]]="X",Tabella3[[#This Row],[GIO]]="X",Tabella3[[#This Row],[VEN]]="X",),"X","")</f>
        <v/>
      </c>
      <c r="D107" s="85" t="s">
        <v>10</v>
      </c>
      <c r="E107" s="81" t="s">
        <v>1773</v>
      </c>
      <c r="F107" s="81" t="s">
        <v>199</v>
      </c>
      <c r="G107" s="81" t="s">
        <v>1774</v>
      </c>
      <c r="H107" s="83"/>
      <c r="I107" s="83"/>
      <c r="J107" s="83"/>
      <c r="K107" s="83"/>
      <c r="L107" s="83"/>
      <c r="M107" s="81" t="s">
        <v>52</v>
      </c>
      <c r="N107" s="85"/>
      <c r="O107" s="85"/>
      <c r="P107" s="81"/>
      <c r="Q107" s="81"/>
      <c r="R107" s="82">
        <v>45691</v>
      </c>
      <c r="S107" s="81" t="s">
        <v>9</v>
      </c>
      <c r="T107" s="138" t="str">
        <f ca="1">IF(AND('Inserimento dati'!$B$3=$H$2, Tabella3[[#This Row],[LUN]]="X"), "X",IF(AND('Inserimento dati'!$B$3=$I$2, Tabella3[[#This Row],[MAR]]="X"), "X", IF(AND('Inserimento dati'!$B$3=$J$2, Tabella3[[#This Row],[MER]]="X"), "X",IF(AND('Inserimento dati'!$B$3=$K$2, Tabella3[[#This Row],[GIO]]="X"), "X", IF(AND('Inserimento dati'!$B$3=$L$2, Tabella3[[#This Row],[VEN]]="X"), "X","")))))</f>
        <v/>
      </c>
      <c r="U107" s="153" t="str">
        <f t="shared" ca="1" si="4"/>
        <v/>
      </c>
    </row>
    <row r="108" spans="1:21" ht="23.25" x14ac:dyDescent="0.25">
      <c r="A108" s="84"/>
      <c r="B108" s="84" t="str">
        <f t="shared" si="5"/>
        <v>X</v>
      </c>
      <c r="C108" s="84" t="str">
        <f>IF(OR(Tabella3[[#This Row],[LUN]]="X",Tabella3[[#This Row],[MAR]]="X",Tabella3[[#This Row],[MER]]="X",Tabella3[[#This Row],[GIO]]="X",Tabella3[[#This Row],[VEN]]="X",),"X","")</f>
        <v/>
      </c>
      <c r="D108" s="85" t="s">
        <v>10</v>
      </c>
      <c r="E108" s="81" t="s">
        <v>1775</v>
      </c>
      <c r="F108" s="81" t="s">
        <v>160</v>
      </c>
      <c r="G108" s="81" t="s">
        <v>1776</v>
      </c>
      <c r="H108" s="83"/>
      <c r="I108" s="83"/>
      <c r="J108" s="83"/>
      <c r="K108" s="83"/>
      <c r="L108" s="83"/>
      <c r="M108" s="81" t="s">
        <v>52</v>
      </c>
      <c r="N108" s="85"/>
      <c r="O108" s="85"/>
      <c r="P108" s="81"/>
      <c r="Q108" s="81" t="s">
        <v>1777</v>
      </c>
      <c r="R108" s="82">
        <v>45574</v>
      </c>
      <c r="S108" s="82"/>
      <c r="T108" s="138" t="str">
        <f ca="1">IF(AND('Inserimento dati'!$B$3=$H$2, Tabella3[[#This Row],[LUN]]="X"), "X",IF(AND('Inserimento dati'!$B$3=$I$2, Tabella3[[#This Row],[MAR]]="X"), "X", IF(AND('Inserimento dati'!$B$3=$J$2, Tabella3[[#This Row],[MER]]="X"), "X",IF(AND('Inserimento dati'!$B$3=$K$2, Tabella3[[#This Row],[GIO]]="X"), "X", IF(AND('Inserimento dati'!$B$3=$L$2, Tabella3[[#This Row],[VEN]]="X"), "X","")))))</f>
        <v/>
      </c>
      <c r="U108" s="153" t="str">
        <f t="shared" ca="1" si="4"/>
        <v/>
      </c>
    </row>
    <row r="109" spans="1:21" ht="23.25" x14ac:dyDescent="0.25">
      <c r="A109" s="84"/>
      <c r="B109" s="84" t="str">
        <f t="shared" ref="B109:B140" si="6">IF(OR(A109="x",A109="X"),"",IF(ISBLANK(A109),"X",""))</f>
        <v>X</v>
      </c>
      <c r="C109" s="84" t="str">
        <f>IF(OR(Tabella3[[#This Row],[LUN]]="X",Tabella3[[#This Row],[MAR]]="X",Tabella3[[#This Row],[MER]]="X",Tabella3[[#This Row],[GIO]]="X",Tabella3[[#This Row],[VEN]]="X",),"X","")</f>
        <v/>
      </c>
      <c r="D109" s="85" t="s">
        <v>10</v>
      </c>
      <c r="E109" s="81" t="s">
        <v>1778</v>
      </c>
      <c r="F109" s="81" t="s">
        <v>203</v>
      </c>
      <c r="G109" s="81" t="s">
        <v>1779</v>
      </c>
      <c r="H109" s="83"/>
      <c r="I109" s="83"/>
      <c r="J109" s="83"/>
      <c r="K109" s="83"/>
      <c r="L109" s="83"/>
      <c r="M109" s="81" t="s">
        <v>52</v>
      </c>
      <c r="N109" s="85"/>
      <c r="O109" s="85"/>
      <c r="P109" s="81"/>
      <c r="Q109" s="81" t="s">
        <v>1780</v>
      </c>
      <c r="R109" s="82"/>
      <c r="S109" s="82"/>
      <c r="T109" s="84" t="str">
        <f ca="1">IF(AND('Inserimento dati'!$B$3=$H$2, Tabella3[[#This Row],[LUN]]="X"), "X",IF(AND('Inserimento dati'!$B$3=$I$2, Tabella3[[#This Row],[MAR]]="X"), "X", IF(AND('Inserimento dati'!$B$3=$J$2, Tabella3[[#This Row],[MER]]="X"), "X",IF(AND('Inserimento dati'!$B$3=$K$2, Tabella3[[#This Row],[GIO]]="X"), "X", IF(AND('Inserimento dati'!$B$3=$L$2, Tabella3[[#This Row],[VEN]]="X"), "X","")))))</f>
        <v/>
      </c>
      <c r="U109" s="153" t="str">
        <f t="shared" ca="1" si="4"/>
        <v/>
      </c>
    </row>
    <row r="110" spans="1:21" ht="30" x14ac:dyDescent="0.25">
      <c r="A110" s="84"/>
      <c r="B110" s="84" t="str">
        <f t="shared" si="6"/>
        <v>X</v>
      </c>
      <c r="C110" s="84" t="str">
        <f>IF(OR(Tabella3[[#This Row],[LUN]]="X",Tabella3[[#This Row],[MAR]]="X",Tabella3[[#This Row],[MER]]="X",Tabella3[[#This Row],[GIO]]="X",Tabella3[[#This Row],[VEN]]="X",),"X","")</f>
        <v/>
      </c>
      <c r="D110" s="85" t="s">
        <v>10</v>
      </c>
      <c r="E110" s="81" t="s">
        <v>1781</v>
      </c>
      <c r="F110" s="81">
        <v>1800</v>
      </c>
      <c r="G110" s="81" t="s">
        <v>1782</v>
      </c>
      <c r="H110" s="83"/>
      <c r="I110" s="83"/>
      <c r="J110" s="83"/>
      <c r="K110" s="83"/>
      <c r="L110" s="83"/>
      <c r="M110" s="81" t="s">
        <v>52</v>
      </c>
      <c r="N110" s="85"/>
      <c r="O110" s="85"/>
      <c r="P110" s="81"/>
      <c r="Q110" s="81" t="s">
        <v>1783</v>
      </c>
      <c r="R110" s="82">
        <v>45688</v>
      </c>
      <c r="S110" s="81" t="s">
        <v>1750</v>
      </c>
      <c r="T110" s="138" t="str">
        <f ca="1">IF(AND('Inserimento dati'!$B$3=$H$2, Tabella3[[#This Row],[LUN]]="X"), "X",IF(AND('Inserimento dati'!$B$3=$I$2, Tabella3[[#This Row],[MAR]]="X"), "X", IF(AND('Inserimento dati'!$B$3=$J$2, Tabella3[[#This Row],[MER]]="X"), "X",IF(AND('Inserimento dati'!$B$3=$K$2, Tabella3[[#This Row],[GIO]]="X"), "X", IF(AND('Inserimento dati'!$B$3=$L$2, Tabella3[[#This Row],[VEN]]="X"), "X","")))))</f>
        <v/>
      </c>
      <c r="U110" s="153" t="str">
        <f t="shared" ca="1" si="4"/>
        <v/>
      </c>
    </row>
    <row r="111" spans="1:21" ht="30" x14ac:dyDescent="0.25">
      <c r="A111" s="84"/>
      <c r="B111" s="84" t="str">
        <f t="shared" si="6"/>
        <v>X</v>
      </c>
      <c r="C111" s="84" t="str">
        <f>IF(OR(Tabella3[[#This Row],[LUN]]="X",Tabella3[[#This Row],[MAR]]="X",Tabella3[[#This Row],[MER]]="X",Tabella3[[#This Row],[GIO]]="X",Tabella3[[#This Row],[VEN]]="X",),"X","")</f>
        <v/>
      </c>
      <c r="D111" s="85" t="s">
        <v>10</v>
      </c>
      <c r="E111" s="81" t="s">
        <v>1784</v>
      </c>
      <c r="F111" s="81">
        <v>700</v>
      </c>
      <c r="G111" s="81" t="s">
        <v>1785</v>
      </c>
      <c r="H111" s="83"/>
      <c r="I111" s="83"/>
      <c r="J111" s="83"/>
      <c r="K111" s="83"/>
      <c r="L111" s="83"/>
      <c r="M111" s="81" t="s">
        <v>52</v>
      </c>
      <c r="N111" s="85"/>
      <c r="O111" s="85"/>
      <c r="P111" s="81"/>
      <c r="Q111" s="81"/>
      <c r="R111" s="82">
        <v>45687</v>
      </c>
      <c r="S111" s="81" t="s">
        <v>1750</v>
      </c>
      <c r="T111" s="84" t="str">
        <f ca="1">IF(AND('Inserimento dati'!$B$3=$H$2, Tabella3[[#This Row],[LUN]]="X"), "X",IF(AND('Inserimento dati'!$B$3=$I$2, Tabella3[[#This Row],[MAR]]="X"), "X", IF(AND('Inserimento dati'!$B$3=$J$2, Tabella3[[#This Row],[MER]]="X"), "X",IF(AND('Inserimento dati'!$B$3=$K$2, Tabella3[[#This Row],[GIO]]="X"), "X", IF(AND('Inserimento dati'!$B$3=$L$2, Tabella3[[#This Row],[VEN]]="X"), "X","")))))</f>
        <v/>
      </c>
      <c r="U111" s="153" t="str">
        <f t="shared" ca="1" si="4"/>
        <v/>
      </c>
    </row>
    <row r="112" spans="1:21" ht="23.25" x14ac:dyDescent="0.25">
      <c r="A112" s="84"/>
      <c r="B112" s="84" t="str">
        <f t="shared" si="6"/>
        <v>X</v>
      </c>
      <c r="C112" s="84" t="str">
        <f>IF(OR(Tabella3[[#This Row],[LUN]]="X",Tabella3[[#This Row],[MAR]]="X",Tabella3[[#This Row],[MER]]="X",Tabella3[[#This Row],[GIO]]="X",Tabella3[[#This Row],[VEN]]="X",),"X","")</f>
        <v/>
      </c>
      <c r="D112" s="85" t="s">
        <v>10</v>
      </c>
      <c r="E112" s="81" t="s">
        <v>1786</v>
      </c>
      <c r="F112" s="81">
        <v>1800</v>
      </c>
      <c r="G112" s="81" t="s">
        <v>1787</v>
      </c>
      <c r="H112" s="83"/>
      <c r="I112" s="83"/>
      <c r="J112" s="83"/>
      <c r="K112" s="83"/>
      <c r="L112" s="83"/>
      <c r="M112" s="81" t="s">
        <v>52</v>
      </c>
      <c r="N112" s="85"/>
      <c r="O112" s="85"/>
      <c r="P112" s="81"/>
      <c r="Q112" s="81" t="s">
        <v>1552</v>
      </c>
      <c r="R112" s="82">
        <v>45682</v>
      </c>
      <c r="S112" s="82" t="s">
        <v>1166</v>
      </c>
      <c r="T112" s="84" t="str">
        <f ca="1">IF(AND('Inserimento dati'!$B$3=$H$2, Tabella3[[#This Row],[LUN]]="X"), "X",IF(AND('Inserimento dati'!$B$3=$I$2, Tabella3[[#This Row],[MAR]]="X"), "X", IF(AND('Inserimento dati'!$B$3=$J$2, Tabella3[[#This Row],[MER]]="X"), "X",IF(AND('Inserimento dati'!$B$3=$K$2, Tabella3[[#This Row],[GIO]]="X"), "X", IF(AND('Inserimento dati'!$B$3=$L$2, Tabella3[[#This Row],[VEN]]="X"), "X","")))))</f>
        <v/>
      </c>
      <c r="U112" s="153" t="str">
        <f t="shared" ca="1" si="4"/>
        <v/>
      </c>
    </row>
    <row r="113" spans="1:21" ht="23.25" x14ac:dyDescent="0.25">
      <c r="A113" s="84"/>
      <c r="B113" s="84" t="str">
        <f t="shared" si="6"/>
        <v>X</v>
      </c>
      <c r="C113" s="84" t="str">
        <f>IF(OR(Tabella3[[#This Row],[LUN]]="X",Tabella3[[#This Row],[MAR]]="X",Tabella3[[#This Row],[MER]]="X",Tabella3[[#This Row],[GIO]]="X",Tabella3[[#This Row],[VEN]]="X",),"X","")</f>
        <v/>
      </c>
      <c r="D113" s="85" t="s">
        <v>10</v>
      </c>
      <c r="E113" s="81" t="s">
        <v>1788</v>
      </c>
      <c r="F113" s="81">
        <v>1800</v>
      </c>
      <c r="G113" s="81" t="s">
        <v>1789</v>
      </c>
      <c r="H113" s="83"/>
      <c r="I113" s="83"/>
      <c r="J113" s="83"/>
      <c r="K113" s="83"/>
      <c r="L113" s="83"/>
      <c r="M113" s="81" t="s">
        <v>52</v>
      </c>
      <c r="N113" s="85"/>
      <c r="O113" s="85"/>
      <c r="P113" s="81"/>
      <c r="Q113" s="81" t="s">
        <v>1790</v>
      </c>
      <c r="R113" s="82">
        <v>45686</v>
      </c>
      <c r="S113" s="82" t="s">
        <v>238</v>
      </c>
      <c r="T113" s="84" t="str">
        <f ca="1">IF(AND('Inserimento dati'!$B$3=$H$2, Tabella3[[#This Row],[LUN]]="X"), "X",IF(AND('Inserimento dati'!$B$3=$I$2, Tabella3[[#This Row],[MAR]]="X"), "X", IF(AND('Inserimento dati'!$B$3=$J$2, Tabella3[[#This Row],[MER]]="X"), "X",IF(AND('Inserimento dati'!$B$3=$K$2, Tabella3[[#This Row],[GIO]]="X"), "X", IF(AND('Inserimento dati'!$B$3=$L$2, Tabella3[[#This Row],[VEN]]="X"), "X","")))))</f>
        <v/>
      </c>
      <c r="U113" s="153" t="str">
        <f t="shared" ca="1" si="4"/>
        <v xml:space="preserve"> 1021541</v>
      </c>
    </row>
    <row r="114" spans="1:21" ht="30" x14ac:dyDescent="0.25">
      <c r="A114" s="84"/>
      <c r="B114" s="84" t="str">
        <f t="shared" si="6"/>
        <v>X</v>
      </c>
      <c r="C114" s="84" t="str">
        <f>IF(OR(Tabella3[[#This Row],[LUN]]="X",Tabella3[[#This Row],[MAR]]="X",Tabella3[[#This Row],[MER]]="X",Tabella3[[#This Row],[GIO]]="X",Tabella3[[#This Row],[VEN]]="X",),"X","")</f>
        <v/>
      </c>
      <c r="D114" s="85" t="s">
        <v>10</v>
      </c>
      <c r="E114" s="81" t="s">
        <v>1791</v>
      </c>
      <c r="F114" s="81" t="s">
        <v>160</v>
      </c>
      <c r="G114" s="81" t="s">
        <v>1792</v>
      </c>
      <c r="H114" s="83"/>
      <c r="I114" s="83"/>
      <c r="J114" s="83"/>
      <c r="K114" s="83"/>
      <c r="L114" s="83"/>
      <c r="M114" s="81" t="s">
        <v>52</v>
      </c>
      <c r="N114" s="85"/>
      <c r="O114" s="85"/>
      <c r="P114" s="81"/>
      <c r="Q114" s="81" t="s">
        <v>1793</v>
      </c>
      <c r="R114" s="82">
        <v>45685</v>
      </c>
      <c r="S114" s="82" t="s">
        <v>238</v>
      </c>
      <c r="T114" s="84" t="str">
        <f ca="1">IF(AND('Inserimento dati'!$B$3=$H$2, Tabella3[[#This Row],[LUN]]="X"), "X",IF(AND('Inserimento dati'!$B$3=$I$2, Tabella3[[#This Row],[MAR]]="X"), "X", IF(AND('Inserimento dati'!$B$3=$J$2, Tabella3[[#This Row],[MER]]="X"), "X",IF(AND('Inserimento dati'!$B$3=$K$2, Tabella3[[#This Row],[GIO]]="X"), "X", IF(AND('Inserimento dati'!$B$3=$L$2, Tabella3[[#This Row],[VEN]]="X"), "X","")))))</f>
        <v/>
      </c>
      <c r="U114" s="153" t="str">
        <f t="shared" ca="1" si="4"/>
        <v/>
      </c>
    </row>
    <row r="115" spans="1:21" ht="60" x14ac:dyDescent="0.25">
      <c r="A115" s="84"/>
      <c r="B115" s="84" t="str">
        <f t="shared" si="6"/>
        <v>X</v>
      </c>
      <c r="C115" s="84" t="str">
        <f>IF(OR(Tabella3[[#This Row],[LUN]]="X",Tabella3[[#This Row],[MAR]]="X",Tabella3[[#This Row],[MER]]="X",Tabella3[[#This Row],[GIO]]="X",Tabella3[[#This Row],[VEN]]="X",),"X","")</f>
        <v/>
      </c>
      <c r="D115" s="85" t="s">
        <v>10</v>
      </c>
      <c r="E115" s="81" t="s">
        <v>1794</v>
      </c>
      <c r="F115" s="81">
        <v>700</v>
      </c>
      <c r="G115" s="81" t="s">
        <v>1795</v>
      </c>
      <c r="H115" s="83"/>
      <c r="I115" s="83"/>
      <c r="J115" s="83"/>
      <c r="K115" s="83"/>
      <c r="L115" s="83"/>
      <c r="M115" s="81" t="s">
        <v>52</v>
      </c>
      <c r="N115" s="85"/>
      <c r="O115" s="85"/>
      <c r="P115" s="81"/>
      <c r="Q115" s="81" t="s">
        <v>1796</v>
      </c>
      <c r="R115" s="82">
        <v>45673</v>
      </c>
      <c r="S115" s="82" t="s">
        <v>238</v>
      </c>
      <c r="T115" s="84" t="str">
        <f ca="1">IF(AND('Inserimento dati'!$B$3=$H$2, Tabella3[[#This Row],[LUN]]="X"), "X",IF(AND('Inserimento dati'!$B$3=$I$2, Tabella3[[#This Row],[MAR]]="X"), "X", IF(AND('Inserimento dati'!$B$3=$J$2, Tabella3[[#This Row],[MER]]="X"), "X",IF(AND('Inserimento dati'!$B$3=$K$2, Tabella3[[#This Row],[GIO]]="X"), "X", IF(AND('Inserimento dati'!$B$3=$L$2, Tabella3[[#This Row],[VEN]]="X"), "X","")))))</f>
        <v/>
      </c>
      <c r="U115" s="153" t="str">
        <f t="shared" ca="1" si="4"/>
        <v xml:space="preserve"> 1021394</v>
      </c>
    </row>
    <row r="116" spans="1:21" ht="23.25" x14ac:dyDescent="0.25">
      <c r="A116" s="84"/>
      <c r="B116" s="84" t="str">
        <f t="shared" si="6"/>
        <v>X</v>
      </c>
      <c r="C116" s="84" t="str">
        <f>IF(OR(Tabella3[[#This Row],[LUN]]="X",Tabella3[[#This Row],[MAR]]="X",Tabella3[[#This Row],[MER]]="X",Tabella3[[#This Row],[GIO]]="X",Tabella3[[#This Row],[VEN]]="X",),"X","")</f>
        <v/>
      </c>
      <c r="D116" s="85" t="s">
        <v>10</v>
      </c>
      <c r="E116" s="81" t="s">
        <v>1797</v>
      </c>
      <c r="F116" s="81">
        <v>1400</v>
      </c>
      <c r="G116" s="81" t="s">
        <v>1798</v>
      </c>
      <c r="H116" s="83"/>
      <c r="I116" s="83"/>
      <c r="J116" s="83"/>
      <c r="K116" s="83"/>
      <c r="L116" s="83"/>
      <c r="M116" s="81" t="s">
        <v>52</v>
      </c>
      <c r="N116" s="85"/>
      <c r="O116" s="85"/>
      <c r="P116" s="81"/>
      <c r="Q116" s="81" t="s">
        <v>1799</v>
      </c>
      <c r="R116" s="82">
        <v>45686</v>
      </c>
      <c r="S116" s="82" t="s">
        <v>238</v>
      </c>
      <c r="T116" s="84" t="str">
        <f ca="1">IF(AND('Inserimento dati'!$B$3=$H$2, Tabella3[[#This Row],[LUN]]="X"), "X",IF(AND('Inserimento dati'!$B$3=$I$2, Tabella3[[#This Row],[MAR]]="X"), "X", IF(AND('Inserimento dati'!$B$3=$J$2, Tabella3[[#This Row],[MER]]="X"), "X",IF(AND('Inserimento dati'!$B$3=$K$2, Tabella3[[#This Row],[GIO]]="X"), "X", IF(AND('Inserimento dati'!$B$3=$L$2, Tabella3[[#This Row],[VEN]]="X"), "X","")))))</f>
        <v/>
      </c>
      <c r="U116" s="153" t="str">
        <f t="shared" ca="1" si="4"/>
        <v/>
      </c>
    </row>
    <row r="117" spans="1:21" ht="30" x14ac:dyDescent="0.25">
      <c r="A117" s="84"/>
      <c r="B117" s="84" t="str">
        <f t="shared" si="6"/>
        <v>X</v>
      </c>
      <c r="C117" s="84" t="str">
        <f>IF(OR(Tabella3[[#This Row],[LUN]]="X",Tabella3[[#This Row],[MAR]]="X",Tabella3[[#This Row],[MER]]="X",Tabella3[[#This Row],[GIO]]="X",Tabella3[[#This Row],[VEN]]="X",),"X","")</f>
        <v/>
      </c>
      <c r="D117" s="85" t="s">
        <v>10</v>
      </c>
      <c r="E117" s="81" t="s">
        <v>1800</v>
      </c>
      <c r="F117" s="81">
        <v>700</v>
      </c>
      <c r="G117" s="81" t="s">
        <v>1801</v>
      </c>
      <c r="H117" s="83"/>
      <c r="I117" s="83"/>
      <c r="J117" s="83"/>
      <c r="K117" s="83"/>
      <c r="L117" s="83"/>
      <c r="M117" s="81" t="s">
        <v>52</v>
      </c>
      <c r="N117" s="85"/>
      <c r="O117" s="85"/>
      <c r="P117" s="81"/>
      <c r="Q117" s="81" t="s">
        <v>1802</v>
      </c>
      <c r="R117" s="82">
        <v>45684</v>
      </c>
      <c r="S117" s="81" t="s">
        <v>238</v>
      </c>
      <c r="T117" s="138" t="str">
        <f ca="1">IF(AND('Inserimento dati'!$B$3=$H$2, Tabella3[[#This Row],[LUN]]="X"), "X",IF(AND('Inserimento dati'!$B$3=$I$2, Tabella3[[#This Row],[MAR]]="X"), "X", IF(AND('Inserimento dati'!$B$3=$J$2, Tabella3[[#This Row],[MER]]="X"), "X",IF(AND('Inserimento dati'!$B$3=$K$2, Tabella3[[#This Row],[GIO]]="X"), "X", IF(AND('Inserimento dati'!$B$3=$L$2, Tabella3[[#This Row],[VEN]]="X"), "X","")))))</f>
        <v/>
      </c>
      <c r="U117" s="153" t="str">
        <f t="shared" ca="1" si="4"/>
        <v/>
      </c>
    </row>
    <row r="118" spans="1:21" ht="23.25" x14ac:dyDescent="0.25">
      <c r="A118" s="84"/>
      <c r="B118" s="84" t="str">
        <f t="shared" si="6"/>
        <v>X</v>
      </c>
      <c r="C118" s="84" t="str">
        <f>IF(OR(Tabella3[[#This Row],[LUN]]="X",Tabella3[[#This Row],[MAR]]="X",Tabella3[[#This Row],[MER]]="X",Tabella3[[#This Row],[GIO]]="X",Tabella3[[#This Row],[VEN]]="X",),"X","")</f>
        <v/>
      </c>
      <c r="D118" s="85" t="s">
        <v>10</v>
      </c>
      <c r="E118" s="81" t="s">
        <v>1803</v>
      </c>
      <c r="F118" s="81">
        <v>1400</v>
      </c>
      <c r="G118" s="81" t="s">
        <v>1804</v>
      </c>
      <c r="H118" s="83"/>
      <c r="I118" s="83"/>
      <c r="J118" s="83"/>
      <c r="K118" s="83"/>
      <c r="L118" s="83"/>
      <c r="M118" s="81" t="s">
        <v>52</v>
      </c>
      <c r="N118" s="85"/>
      <c r="O118" s="85"/>
      <c r="P118" s="81"/>
      <c r="Q118" s="81" t="s">
        <v>1133</v>
      </c>
      <c r="R118" s="82">
        <v>45681</v>
      </c>
      <c r="S118" s="82" t="s">
        <v>238</v>
      </c>
      <c r="T118" s="84" t="str">
        <f ca="1">IF(AND('Inserimento dati'!$B$3=$H$2, Tabella3[[#This Row],[LUN]]="X"), "X",IF(AND('Inserimento dati'!$B$3=$I$2, Tabella3[[#This Row],[MAR]]="X"), "X", IF(AND('Inserimento dati'!$B$3=$J$2, Tabella3[[#This Row],[MER]]="X"), "X",IF(AND('Inserimento dati'!$B$3=$K$2, Tabella3[[#This Row],[GIO]]="X"), "X", IF(AND('Inserimento dati'!$B$3=$L$2, Tabella3[[#This Row],[VEN]]="X"), "X","")))))</f>
        <v/>
      </c>
      <c r="U118" s="153" t="str">
        <f t="shared" ca="1" si="4"/>
        <v>1400: 14</v>
      </c>
    </row>
    <row r="119" spans="1:21" ht="30" x14ac:dyDescent="0.25">
      <c r="A119" s="84"/>
      <c r="B119" s="84" t="str">
        <f t="shared" si="6"/>
        <v>X</v>
      </c>
      <c r="C119" s="84" t="str">
        <f>IF(OR(Tabella3[[#This Row],[LUN]]="X",Tabella3[[#This Row],[MAR]]="X",Tabella3[[#This Row],[MER]]="X",Tabella3[[#This Row],[GIO]]="X",Tabella3[[#This Row],[VEN]]="X",),"X","")</f>
        <v/>
      </c>
      <c r="D119" s="85" t="s">
        <v>10</v>
      </c>
      <c r="E119" s="81" t="s">
        <v>1805</v>
      </c>
      <c r="F119" s="81">
        <v>1800</v>
      </c>
      <c r="G119" s="81" t="s">
        <v>1806</v>
      </c>
      <c r="H119" s="83"/>
      <c r="I119" s="83"/>
      <c r="J119" s="83"/>
      <c r="K119" s="83"/>
      <c r="L119" s="83"/>
      <c r="M119" s="81" t="s">
        <v>52</v>
      </c>
      <c r="N119" s="85"/>
      <c r="O119" s="85"/>
      <c r="P119" s="81"/>
      <c r="Q119" s="81"/>
      <c r="R119" s="82">
        <v>45680</v>
      </c>
      <c r="S119" s="82" t="s">
        <v>20</v>
      </c>
      <c r="T119" s="84" t="str">
        <f ca="1">IF(AND('Inserimento dati'!$B$3=$H$2, Tabella3[[#This Row],[LUN]]="X"), "X",IF(AND('Inserimento dati'!$B$3=$I$2, Tabella3[[#This Row],[MAR]]="X"), "X", IF(AND('Inserimento dati'!$B$3=$J$2, Tabella3[[#This Row],[MER]]="X"), "X",IF(AND('Inserimento dati'!$B$3=$K$2, Tabella3[[#This Row],[GIO]]="X"), "X", IF(AND('Inserimento dati'!$B$3=$L$2, Tabella3[[#This Row],[VEN]]="X"), "X","")))))</f>
        <v/>
      </c>
      <c r="U119" s="153" t="str">
        <f t="shared" ca="1" si="4"/>
        <v/>
      </c>
    </row>
    <row r="120" spans="1:21" ht="23.25" x14ac:dyDescent="0.25">
      <c r="A120" s="84"/>
      <c r="B120" s="84" t="str">
        <f t="shared" si="6"/>
        <v>X</v>
      </c>
      <c r="C120" s="84" t="str">
        <f>IF(OR(Tabella3[[#This Row],[LUN]]="X",Tabella3[[#This Row],[MAR]]="X",Tabella3[[#This Row],[MER]]="X",Tabella3[[#This Row],[GIO]]="X",Tabella3[[#This Row],[VEN]]="X",),"X","")</f>
        <v/>
      </c>
      <c r="D120" s="85" t="s">
        <v>10</v>
      </c>
      <c r="E120" s="81" t="s">
        <v>1807</v>
      </c>
      <c r="F120" s="81" t="s">
        <v>202</v>
      </c>
      <c r="G120" s="81" t="s">
        <v>1808</v>
      </c>
      <c r="H120" s="83"/>
      <c r="I120" s="83"/>
      <c r="J120" s="83"/>
      <c r="K120" s="83"/>
      <c r="L120" s="83"/>
      <c r="M120" s="81" t="s">
        <v>52</v>
      </c>
      <c r="N120" s="85"/>
      <c r="O120" s="85"/>
      <c r="P120" s="81"/>
      <c r="Q120" s="81" t="s">
        <v>1809</v>
      </c>
      <c r="R120" s="82">
        <v>45680</v>
      </c>
      <c r="S120" s="81" t="s">
        <v>238</v>
      </c>
      <c r="T120" s="84" t="str">
        <f ca="1">IF(AND('Inserimento dati'!$B$3=$H$2, Tabella3[[#This Row],[LUN]]="X"), "X",IF(AND('Inserimento dati'!$B$3=$I$2, Tabella3[[#This Row],[MAR]]="X"), "X", IF(AND('Inserimento dati'!$B$3=$J$2, Tabella3[[#This Row],[MER]]="X"), "X",IF(AND('Inserimento dati'!$B$3=$K$2, Tabella3[[#This Row],[GIO]]="X"), "X", IF(AND('Inserimento dati'!$B$3=$L$2, Tabella3[[#This Row],[VEN]]="X"), "X","")))))</f>
        <v/>
      </c>
      <c r="U120" s="153" t="str">
        <f t="shared" ca="1" si="4"/>
        <v/>
      </c>
    </row>
    <row r="121" spans="1:21" ht="30" x14ac:dyDescent="0.25">
      <c r="A121" s="84"/>
      <c r="B121" s="84" t="str">
        <f t="shared" si="6"/>
        <v>X</v>
      </c>
      <c r="C121" s="84" t="str">
        <f>IF(OR(Tabella3[[#This Row],[LUN]]="X",Tabella3[[#This Row],[MAR]]="X",Tabella3[[#This Row],[MER]]="X",Tabella3[[#This Row],[GIO]]="X",Tabella3[[#This Row],[VEN]]="X",),"X","")</f>
        <v/>
      </c>
      <c r="D121" s="85" t="s">
        <v>10</v>
      </c>
      <c r="E121" s="81" t="s">
        <v>1810</v>
      </c>
      <c r="F121" s="81">
        <v>2200</v>
      </c>
      <c r="G121" s="81" t="s">
        <v>1811</v>
      </c>
      <c r="H121" s="83"/>
      <c r="I121" s="83"/>
      <c r="J121" s="83"/>
      <c r="K121" s="83"/>
      <c r="L121" s="83"/>
      <c r="M121" s="81" t="s">
        <v>52</v>
      </c>
      <c r="N121" s="85"/>
      <c r="O121" s="85"/>
      <c r="P121" s="81"/>
      <c r="Q121" s="81" t="s">
        <v>1812</v>
      </c>
      <c r="R121" s="82">
        <v>45680</v>
      </c>
      <c r="S121" s="81" t="s">
        <v>238</v>
      </c>
      <c r="T121" s="84" t="str">
        <f ca="1">IF(AND('Inserimento dati'!$B$3=$H$2, Tabella3[[#This Row],[LUN]]="X"), "X",IF(AND('Inserimento dati'!$B$3=$I$2, Tabella3[[#This Row],[MAR]]="X"), "X", IF(AND('Inserimento dati'!$B$3=$J$2, Tabella3[[#This Row],[MER]]="X"), "X",IF(AND('Inserimento dati'!$B$3=$K$2, Tabella3[[#This Row],[GIO]]="X"), "X", IF(AND('Inserimento dati'!$B$3=$L$2, Tabella3[[#This Row],[VEN]]="X"), "X","")))))</f>
        <v/>
      </c>
      <c r="U121" s="153" t="str">
        <f t="shared" ca="1" si="4"/>
        <v/>
      </c>
    </row>
    <row r="122" spans="1:21" ht="23.25" x14ac:dyDescent="0.25">
      <c r="A122" s="84"/>
      <c r="B122" s="84" t="str">
        <f t="shared" si="6"/>
        <v>X</v>
      </c>
      <c r="C122" s="84" t="str">
        <f>IF(OR(Tabella3[[#This Row],[LUN]]="X",Tabella3[[#This Row],[MAR]]="X",Tabella3[[#This Row],[MER]]="X",Tabella3[[#This Row],[GIO]]="X",Tabella3[[#This Row],[VEN]]="X",),"X","")</f>
        <v/>
      </c>
      <c r="D122" s="85" t="s">
        <v>10</v>
      </c>
      <c r="E122" s="81" t="s">
        <v>1813</v>
      </c>
      <c r="F122" s="81">
        <v>1400</v>
      </c>
      <c r="G122" s="81" t="s">
        <v>1814</v>
      </c>
      <c r="H122" s="83"/>
      <c r="I122" s="83"/>
      <c r="J122" s="83"/>
      <c r="K122" s="83"/>
      <c r="L122" s="83"/>
      <c r="M122" s="81" t="s">
        <v>52</v>
      </c>
      <c r="N122" s="85"/>
      <c r="O122" s="85"/>
      <c r="P122" s="81"/>
      <c r="Q122" s="81" t="s">
        <v>1815</v>
      </c>
      <c r="R122" s="82">
        <v>45678</v>
      </c>
      <c r="S122" s="81" t="s">
        <v>20</v>
      </c>
      <c r="T122" s="84" t="str">
        <f ca="1">IF(AND('Inserimento dati'!$B$3=$H$2, Tabella3[[#This Row],[LUN]]="X"), "X",IF(AND('Inserimento dati'!$B$3=$I$2, Tabella3[[#This Row],[MAR]]="X"), "X", IF(AND('Inserimento dati'!$B$3=$J$2, Tabella3[[#This Row],[MER]]="X"), "X",IF(AND('Inserimento dati'!$B$3=$K$2, Tabella3[[#This Row],[GIO]]="X"), "X", IF(AND('Inserimento dati'!$B$3=$L$2, Tabella3[[#This Row],[VEN]]="X"), "X","")))))</f>
        <v/>
      </c>
      <c r="U122" s="153" t="str">
        <f t="shared" ca="1" si="4"/>
        <v/>
      </c>
    </row>
    <row r="123" spans="1:21" ht="30" x14ac:dyDescent="0.25">
      <c r="A123" s="84"/>
      <c r="B123" s="84" t="str">
        <f t="shared" si="6"/>
        <v>X</v>
      </c>
      <c r="C123" s="84" t="str">
        <f>IF(OR(Tabella3[[#This Row],[LUN]]="X",Tabella3[[#This Row],[MAR]]="X",Tabella3[[#This Row],[MER]]="X",Tabella3[[#This Row],[GIO]]="X",Tabella3[[#This Row],[VEN]]="X",),"X","")</f>
        <v/>
      </c>
      <c r="D123" s="85" t="s">
        <v>10</v>
      </c>
      <c r="E123" s="81" t="s">
        <v>1816</v>
      </c>
      <c r="F123" s="81">
        <v>1400</v>
      </c>
      <c r="G123" s="81" t="s">
        <v>1817</v>
      </c>
      <c r="H123" s="83"/>
      <c r="I123" s="83"/>
      <c r="J123" s="83"/>
      <c r="K123" s="83"/>
      <c r="L123" s="83"/>
      <c r="M123" s="81" t="s">
        <v>52</v>
      </c>
      <c r="N123" s="85"/>
      <c r="O123" s="85"/>
      <c r="P123" s="81"/>
      <c r="Q123" s="81" t="s">
        <v>1818</v>
      </c>
      <c r="R123" s="82">
        <v>45678</v>
      </c>
      <c r="S123" s="81" t="s">
        <v>20</v>
      </c>
      <c r="T123" s="84" t="str">
        <f ca="1">IF(AND('Inserimento dati'!$B$3=$H$2, Tabella3[[#This Row],[LUN]]="X"), "X",IF(AND('Inserimento dati'!$B$3=$I$2, Tabella3[[#This Row],[MAR]]="X"), "X", IF(AND('Inserimento dati'!$B$3=$J$2, Tabella3[[#This Row],[MER]]="X"), "X",IF(AND('Inserimento dati'!$B$3=$K$2, Tabella3[[#This Row],[GIO]]="X"), "X", IF(AND('Inserimento dati'!$B$3=$L$2, Tabella3[[#This Row],[VEN]]="X"), "X","")))))</f>
        <v/>
      </c>
      <c r="U123" s="153" t="str">
        <f t="shared" ca="1" si="4"/>
        <v/>
      </c>
    </row>
    <row r="124" spans="1:21" ht="30" x14ac:dyDescent="0.25">
      <c r="A124" s="84"/>
      <c r="B124" s="84" t="str">
        <f t="shared" si="6"/>
        <v>X</v>
      </c>
      <c r="C124" s="84" t="str">
        <f>IF(OR(Tabella3[[#This Row],[LUN]]="X",Tabella3[[#This Row],[MAR]]="X",Tabella3[[#This Row],[MER]]="X",Tabella3[[#This Row],[GIO]]="X",Tabella3[[#This Row],[VEN]]="X",),"X","")</f>
        <v/>
      </c>
      <c r="D124" s="85" t="s">
        <v>10</v>
      </c>
      <c r="E124" s="81" t="s">
        <v>1819</v>
      </c>
      <c r="F124" s="81" t="s">
        <v>202</v>
      </c>
      <c r="G124" s="81" t="s">
        <v>1820</v>
      </c>
      <c r="H124" s="83"/>
      <c r="I124" s="83"/>
      <c r="J124" s="83"/>
      <c r="K124" s="83"/>
      <c r="L124" s="83"/>
      <c r="M124" s="81" t="s">
        <v>52</v>
      </c>
      <c r="N124" s="85"/>
      <c r="O124" s="85"/>
      <c r="P124" s="81"/>
      <c r="Q124" s="81" t="s">
        <v>1821</v>
      </c>
      <c r="R124" s="82">
        <v>45311</v>
      </c>
      <c r="S124" s="82" t="s">
        <v>1822</v>
      </c>
      <c r="T124" s="84" t="str">
        <f ca="1">IF(AND('Inserimento dati'!$B$3=$H$2, Tabella3[[#This Row],[LUN]]="X"), "X",IF(AND('Inserimento dati'!$B$3=$I$2, Tabella3[[#This Row],[MAR]]="X"), "X", IF(AND('Inserimento dati'!$B$3=$J$2, Tabella3[[#This Row],[MER]]="X"), "X",IF(AND('Inserimento dati'!$B$3=$K$2, Tabella3[[#This Row],[GIO]]="X"), "X", IF(AND('Inserimento dati'!$B$3=$L$2, Tabella3[[#This Row],[VEN]]="X"), "X","")))))</f>
        <v/>
      </c>
      <c r="U124" s="153" t="str">
        <f t="shared" ca="1" si="4"/>
        <v/>
      </c>
    </row>
    <row r="125" spans="1:21" ht="30" x14ac:dyDescent="0.25">
      <c r="A125" s="84"/>
      <c r="B125" s="84" t="str">
        <f t="shared" si="6"/>
        <v>X</v>
      </c>
      <c r="C125" s="84" t="str">
        <f>IF(OR(Tabella3[[#This Row],[LUN]]="X",Tabella3[[#This Row],[MAR]]="X",Tabella3[[#This Row],[MER]]="X",Tabella3[[#This Row],[GIO]]="X",Tabella3[[#This Row],[VEN]]="X",),"X","")</f>
        <v/>
      </c>
      <c r="D125" s="85" t="s">
        <v>10</v>
      </c>
      <c r="E125" s="81" t="s">
        <v>1823</v>
      </c>
      <c r="F125" s="81" t="s">
        <v>201</v>
      </c>
      <c r="G125" s="81" t="s">
        <v>1824</v>
      </c>
      <c r="H125" s="83"/>
      <c r="I125" s="83"/>
      <c r="J125" s="83"/>
      <c r="K125" s="83"/>
      <c r="L125" s="83"/>
      <c r="M125" s="81" t="s">
        <v>52</v>
      </c>
      <c r="N125" s="85"/>
      <c r="O125" s="85"/>
      <c r="P125" s="81"/>
      <c r="Q125" s="81"/>
      <c r="R125" s="82"/>
      <c r="S125" s="82"/>
      <c r="T125" s="84" t="str">
        <f ca="1">IF(AND('Inserimento dati'!$B$3=$H$2, Tabella3[[#This Row],[LUN]]="X"), "X",IF(AND('Inserimento dati'!$B$3=$I$2, Tabella3[[#This Row],[MAR]]="X"), "X", IF(AND('Inserimento dati'!$B$3=$J$2, Tabella3[[#This Row],[MER]]="X"), "X",IF(AND('Inserimento dati'!$B$3=$K$2, Tabella3[[#This Row],[GIO]]="X"), "X", IF(AND('Inserimento dati'!$B$3=$L$2, Tabella3[[#This Row],[VEN]]="X"), "X","")))))</f>
        <v/>
      </c>
      <c r="U125" s="153" t="str">
        <f t="shared" ca="1" si="4"/>
        <v/>
      </c>
    </row>
    <row r="126" spans="1:21" ht="23.25" x14ac:dyDescent="0.25">
      <c r="A126" s="84"/>
      <c r="B126" s="84" t="str">
        <f t="shared" si="6"/>
        <v>X</v>
      </c>
      <c r="C126" s="84" t="str">
        <f>IF(OR(Tabella3[[#This Row],[LUN]]="X",Tabella3[[#This Row],[MAR]]="X",Tabella3[[#This Row],[MER]]="X",Tabella3[[#This Row],[GIO]]="X",Tabella3[[#This Row],[VEN]]="X",),"X","")</f>
        <v/>
      </c>
      <c r="D126" s="85" t="s">
        <v>10</v>
      </c>
      <c r="E126" s="81" t="s">
        <v>1825</v>
      </c>
      <c r="F126" s="81" t="s">
        <v>202</v>
      </c>
      <c r="G126" s="81" t="s">
        <v>1826</v>
      </c>
      <c r="H126" s="83"/>
      <c r="I126" s="83"/>
      <c r="J126" s="83"/>
      <c r="K126" s="83"/>
      <c r="L126" s="83"/>
      <c r="M126" s="81" t="s">
        <v>52</v>
      </c>
      <c r="N126" s="85"/>
      <c r="O126" s="85"/>
      <c r="P126" s="81"/>
      <c r="Q126" s="81" t="s">
        <v>1827</v>
      </c>
      <c r="R126" s="82">
        <v>45308</v>
      </c>
      <c r="S126" s="82" t="s">
        <v>238</v>
      </c>
      <c r="T126" s="138" t="str">
        <f ca="1">IF(AND('Inserimento dati'!$B$3=$H$2, Tabella3[[#This Row],[LUN]]="X"), "X",IF(AND('Inserimento dati'!$B$3=$I$2, Tabella3[[#This Row],[MAR]]="X"), "X", IF(AND('Inserimento dati'!$B$3=$J$2, Tabella3[[#This Row],[MER]]="X"), "X",IF(AND('Inserimento dati'!$B$3=$K$2, Tabella3[[#This Row],[GIO]]="X"), "X", IF(AND('Inserimento dati'!$B$3=$L$2, Tabella3[[#This Row],[VEN]]="X"), "X","")))))</f>
        <v/>
      </c>
      <c r="U126" s="153" t="str">
        <f t="shared" ca="1" si="4"/>
        <v/>
      </c>
    </row>
    <row r="127" spans="1:21" ht="23.25" x14ac:dyDescent="0.25">
      <c r="A127" s="84"/>
      <c r="B127" s="84" t="str">
        <f t="shared" si="6"/>
        <v>X</v>
      </c>
      <c r="C127" s="84" t="str">
        <f>IF(OR(Tabella3[[#This Row],[LUN]]="X",Tabella3[[#This Row],[MAR]]="X",Tabella3[[#This Row],[MER]]="X",Tabella3[[#This Row],[GIO]]="X",Tabella3[[#This Row],[VEN]]="X",),"X","")</f>
        <v/>
      </c>
      <c r="D127" s="85" t="s">
        <v>10</v>
      </c>
      <c r="E127" s="81" t="s">
        <v>1828</v>
      </c>
      <c r="F127" s="81">
        <v>1800</v>
      </c>
      <c r="G127" s="81" t="s">
        <v>1829</v>
      </c>
      <c r="H127" s="83"/>
      <c r="I127" s="83"/>
      <c r="J127" s="83"/>
      <c r="K127" s="83"/>
      <c r="L127" s="83"/>
      <c r="M127" s="81" t="s">
        <v>52</v>
      </c>
      <c r="N127" s="85"/>
      <c r="O127" s="85"/>
      <c r="P127" s="81"/>
      <c r="Q127" s="81" t="s">
        <v>1830</v>
      </c>
      <c r="R127" s="82">
        <v>45307</v>
      </c>
      <c r="S127" s="82" t="s">
        <v>1831</v>
      </c>
      <c r="T127" s="84" t="str">
        <f ca="1">IF(AND('Inserimento dati'!$B$3=$H$2, Tabella3[[#This Row],[LUN]]="X"), "X",IF(AND('Inserimento dati'!$B$3=$I$2, Tabella3[[#This Row],[MAR]]="X"), "X", IF(AND('Inserimento dati'!$B$3=$J$2, Tabella3[[#This Row],[MER]]="X"), "X",IF(AND('Inserimento dati'!$B$3=$K$2, Tabella3[[#This Row],[GIO]]="X"), "X", IF(AND('Inserimento dati'!$B$3=$L$2, Tabella3[[#This Row],[VEN]]="X"), "X","")))))</f>
        <v/>
      </c>
      <c r="U127" s="153" t="str">
        <f t="shared" ca="1" si="4"/>
        <v/>
      </c>
    </row>
    <row r="128" spans="1:21" ht="60" x14ac:dyDescent="0.25">
      <c r="A128" s="84"/>
      <c r="B128" s="84" t="str">
        <f t="shared" si="6"/>
        <v>X</v>
      </c>
      <c r="C128" s="84" t="str">
        <f>IF(OR(Tabella3[[#This Row],[LUN]]="X",Tabella3[[#This Row],[MAR]]="X",Tabella3[[#This Row],[MER]]="X",Tabella3[[#This Row],[GIO]]="X",Tabella3[[#This Row],[VEN]]="X",),"X","")</f>
        <v/>
      </c>
      <c r="D128" s="85" t="s">
        <v>10</v>
      </c>
      <c r="E128" s="81" t="s">
        <v>1832</v>
      </c>
      <c r="F128" s="81">
        <v>2200</v>
      </c>
      <c r="G128" s="81" t="s">
        <v>1833</v>
      </c>
      <c r="H128" s="83"/>
      <c r="I128" s="83"/>
      <c r="J128" s="83"/>
      <c r="K128" s="83"/>
      <c r="L128" s="83"/>
      <c r="M128" s="81" t="s">
        <v>52</v>
      </c>
      <c r="N128" s="85"/>
      <c r="O128" s="85"/>
      <c r="P128" s="81"/>
      <c r="Q128" s="81" t="s">
        <v>1834</v>
      </c>
      <c r="R128" s="82">
        <v>45659</v>
      </c>
      <c r="S128" s="82" t="s">
        <v>11</v>
      </c>
      <c r="T128" s="138" t="str">
        <f ca="1">IF(AND('Inserimento dati'!$B$3=$H$2, Tabella3[[#This Row],[LUN]]="X"), "X",IF(AND('Inserimento dati'!$B$3=$I$2, Tabella3[[#This Row],[MAR]]="X"), "X", IF(AND('Inserimento dati'!$B$3=$J$2, Tabella3[[#This Row],[MER]]="X"), "X",IF(AND('Inserimento dati'!$B$3=$K$2, Tabella3[[#This Row],[GIO]]="X"), "X", IF(AND('Inserimento dati'!$B$3=$L$2, Tabella3[[#This Row],[VEN]]="X"), "X","")))))</f>
        <v/>
      </c>
      <c r="U128" s="153" t="str">
        <f t="shared" ca="1" si="4"/>
        <v/>
      </c>
    </row>
    <row r="129" spans="1:21" ht="23.25" x14ac:dyDescent="0.25">
      <c r="A129" s="84"/>
      <c r="B129" s="84" t="str">
        <f t="shared" si="6"/>
        <v>X</v>
      </c>
      <c r="C129" s="84" t="str">
        <f>IF(OR(Tabella3[[#This Row],[LUN]]="X",Tabella3[[#This Row],[MAR]]="X",Tabella3[[#This Row],[MER]]="X",Tabella3[[#This Row],[GIO]]="X",Tabella3[[#This Row],[VEN]]="X",),"X","")</f>
        <v/>
      </c>
      <c r="D129" s="85" t="s">
        <v>10</v>
      </c>
      <c r="E129" s="81" t="s">
        <v>1835</v>
      </c>
      <c r="F129" s="81">
        <v>800</v>
      </c>
      <c r="G129" s="81" t="s">
        <v>1836</v>
      </c>
      <c r="H129" s="83"/>
      <c r="I129" s="83"/>
      <c r="J129" s="83"/>
      <c r="K129" s="83"/>
      <c r="L129" s="83"/>
      <c r="M129" s="81" t="s">
        <v>52</v>
      </c>
      <c r="N129" s="85"/>
      <c r="O129" s="85"/>
      <c r="P129" s="81"/>
      <c r="Q129" s="81" t="s">
        <v>1837</v>
      </c>
      <c r="R129" s="82">
        <v>45673</v>
      </c>
      <c r="S129" s="82" t="s">
        <v>1838</v>
      </c>
      <c r="T129" s="84" t="str">
        <f ca="1">IF(AND('Inserimento dati'!$B$3=$H$2, Tabella3[[#This Row],[LUN]]="X"), "X",IF(AND('Inserimento dati'!$B$3=$I$2, Tabella3[[#This Row],[MAR]]="X"), "X", IF(AND('Inserimento dati'!$B$3=$J$2, Tabella3[[#This Row],[MER]]="X"), "X",IF(AND('Inserimento dati'!$B$3=$K$2, Tabella3[[#This Row],[GIO]]="X"), "X", IF(AND('Inserimento dati'!$B$3=$L$2, Tabella3[[#This Row],[VEN]]="X"), "X","")))))</f>
        <v/>
      </c>
      <c r="U129" s="153" t="str">
        <f t="shared" ca="1" si="4"/>
        <v/>
      </c>
    </row>
    <row r="130" spans="1:21" ht="30" x14ac:dyDescent="0.25">
      <c r="A130" s="84"/>
      <c r="B130" s="84" t="str">
        <f t="shared" si="6"/>
        <v>X</v>
      </c>
      <c r="C130" s="84" t="str">
        <f>IF(OR(Tabella3[[#This Row],[LUN]]="X",Tabella3[[#This Row],[MAR]]="X",Tabella3[[#This Row],[MER]]="X",Tabella3[[#This Row],[GIO]]="X",Tabella3[[#This Row],[VEN]]="X",),"X","")</f>
        <v/>
      </c>
      <c r="D130" s="85" t="s">
        <v>10</v>
      </c>
      <c r="E130" s="81" t="s">
        <v>1839</v>
      </c>
      <c r="F130" s="81" t="s">
        <v>203</v>
      </c>
      <c r="G130" s="81" t="s">
        <v>1840</v>
      </c>
      <c r="H130" s="83"/>
      <c r="I130" s="83"/>
      <c r="J130" s="83"/>
      <c r="K130" s="83"/>
      <c r="L130" s="83"/>
      <c r="M130" s="81" t="s">
        <v>52</v>
      </c>
      <c r="N130" s="85"/>
      <c r="O130" s="85"/>
      <c r="P130" s="81"/>
      <c r="Q130" s="81" t="s">
        <v>1841</v>
      </c>
      <c r="R130" s="82">
        <v>45644</v>
      </c>
      <c r="S130" s="82" t="s">
        <v>20</v>
      </c>
      <c r="T130" s="138" t="str">
        <f ca="1">IF(AND('Inserimento dati'!$B$3=$H$2, Tabella3[[#This Row],[LUN]]="X"), "X",IF(AND('Inserimento dati'!$B$3=$I$2, Tabella3[[#This Row],[MAR]]="X"), "X", IF(AND('Inserimento dati'!$B$3=$J$2, Tabella3[[#This Row],[MER]]="X"), "X",IF(AND('Inserimento dati'!$B$3=$K$2, Tabella3[[#This Row],[GIO]]="X"), "X", IF(AND('Inserimento dati'!$B$3=$L$2, Tabella3[[#This Row],[VEN]]="X"), "X","")))))</f>
        <v/>
      </c>
      <c r="U130" s="153" t="str">
        <f t="shared" ca="1" si="4"/>
        <v/>
      </c>
    </row>
    <row r="131" spans="1:21" ht="23.25" x14ac:dyDescent="0.25">
      <c r="A131" s="84"/>
      <c r="B131" s="84" t="str">
        <f t="shared" si="6"/>
        <v>X</v>
      </c>
      <c r="C131" s="84" t="str">
        <f>IF(OR(Tabella3[[#This Row],[LUN]]="X",Tabella3[[#This Row],[MAR]]="X",Tabella3[[#This Row],[MER]]="X",Tabella3[[#This Row],[GIO]]="X",Tabella3[[#This Row],[VEN]]="X",),"X","")</f>
        <v/>
      </c>
      <c r="D131" s="85" t="s">
        <v>10</v>
      </c>
      <c r="E131" s="81" t="s">
        <v>1842</v>
      </c>
      <c r="F131" s="81">
        <v>100</v>
      </c>
      <c r="G131" s="81" t="s">
        <v>1843</v>
      </c>
      <c r="H131" s="83"/>
      <c r="I131" s="83"/>
      <c r="J131" s="83"/>
      <c r="K131" s="83"/>
      <c r="L131" s="83"/>
      <c r="M131" s="81" t="s">
        <v>52</v>
      </c>
      <c r="N131" s="85"/>
      <c r="O131" s="85"/>
      <c r="P131" s="81"/>
      <c r="Q131" s="81" t="s">
        <v>1844</v>
      </c>
      <c r="R131" s="82">
        <v>45671</v>
      </c>
      <c r="S131" s="82" t="s">
        <v>1845</v>
      </c>
      <c r="T131" s="84" t="str">
        <f ca="1">IF(AND('Inserimento dati'!$B$3=$H$2, Tabella3[[#This Row],[LUN]]="X"), "X",IF(AND('Inserimento dati'!$B$3=$I$2, Tabella3[[#This Row],[MAR]]="X"), "X", IF(AND('Inserimento dati'!$B$3=$J$2, Tabella3[[#This Row],[MER]]="X"), "X",IF(AND('Inserimento dati'!$B$3=$K$2, Tabella3[[#This Row],[GIO]]="X"), "X", IF(AND('Inserimento dati'!$B$3=$L$2, Tabella3[[#This Row],[VEN]]="X"), "X","")))))</f>
        <v/>
      </c>
      <c r="U131" s="153" t="str">
        <f t="shared" ca="1" si="4"/>
        <v/>
      </c>
    </row>
    <row r="132" spans="1:21" ht="23.25" x14ac:dyDescent="0.25">
      <c r="A132" s="84"/>
      <c r="B132" s="84" t="str">
        <f t="shared" si="6"/>
        <v>X</v>
      </c>
      <c r="C132" s="84" t="str">
        <f>IF(OR(Tabella3[[#This Row],[LUN]]="X",Tabella3[[#This Row],[MAR]]="X",Tabella3[[#This Row],[MER]]="X",Tabella3[[#This Row],[GIO]]="X",Tabella3[[#This Row],[VEN]]="X",),"X","")</f>
        <v/>
      </c>
      <c r="D132" s="85" t="s">
        <v>10</v>
      </c>
      <c r="E132" s="81" t="s">
        <v>1846</v>
      </c>
      <c r="F132" s="81" t="s">
        <v>199</v>
      </c>
      <c r="G132" s="81" t="s">
        <v>1847</v>
      </c>
      <c r="H132" s="83"/>
      <c r="I132" s="83"/>
      <c r="J132" s="83"/>
      <c r="K132" s="83"/>
      <c r="L132" s="83"/>
      <c r="M132" s="81" t="s">
        <v>52</v>
      </c>
      <c r="N132" s="85"/>
      <c r="O132" s="85"/>
      <c r="P132" s="81"/>
      <c r="Q132" s="81"/>
      <c r="R132" s="82">
        <v>45667</v>
      </c>
      <c r="S132" s="82" t="s">
        <v>20</v>
      </c>
      <c r="T132" s="84" t="str">
        <f ca="1">IF(AND('Inserimento dati'!$B$3=$H$2, Tabella3[[#This Row],[LUN]]="X"), "X",IF(AND('Inserimento dati'!$B$3=$I$2, Tabella3[[#This Row],[MAR]]="X"), "X", IF(AND('Inserimento dati'!$B$3=$J$2, Tabella3[[#This Row],[MER]]="X"), "X",IF(AND('Inserimento dati'!$B$3=$K$2, Tabella3[[#This Row],[GIO]]="X"), "X", IF(AND('Inserimento dati'!$B$3=$L$2, Tabella3[[#This Row],[VEN]]="X"), "X","")))))</f>
        <v/>
      </c>
      <c r="U132" s="153" t="str">
        <f t="shared" ref="U132:U195" ca="1" si="7">IFERROR(MID(G132,_xlfn.AGGREGATE(15,6,(ROW(INDIRECT("1:"&amp;LEN(G132)-7)))/(ISNUMBER(--MID(G132,ROW(INDIRECT("1:"&amp;LEN(G132)-7)),8))),1),8),"")</f>
        <v xml:space="preserve"> 1021453</v>
      </c>
    </row>
    <row r="133" spans="1:21" ht="105" x14ac:dyDescent="0.25">
      <c r="A133" s="84"/>
      <c r="B133" s="84" t="str">
        <f t="shared" si="6"/>
        <v>X</v>
      </c>
      <c r="C133" s="84" t="str">
        <f>IF(OR(Tabella3[[#This Row],[LUN]]="X",Tabella3[[#This Row],[MAR]]="X",Tabella3[[#This Row],[MER]]="X",Tabella3[[#This Row],[GIO]]="X",Tabella3[[#This Row],[VEN]]="X",),"X","")</f>
        <v/>
      </c>
      <c r="D133" s="85" t="s">
        <v>10</v>
      </c>
      <c r="E133" s="81" t="s">
        <v>1848</v>
      </c>
      <c r="F133" s="81" t="s">
        <v>160</v>
      </c>
      <c r="G133" s="81" t="s">
        <v>1849</v>
      </c>
      <c r="H133" s="83"/>
      <c r="I133" s="83"/>
      <c r="J133" s="83"/>
      <c r="K133" s="83"/>
      <c r="L133" s="83"/>
      <c r="M133" s="81" t="s">
        <v>52</v>
      </c>
      <c r="N133" s="85"/>
      <c r="O133" s="85"/>
      <c r="P133" s="81"/>
      <c r="Q133" s="81" t="s">
        <v>1850</v>
      </c>
      <c r="R133" s="82">
        <v>45638</v>
      </c>
      <c r="S133" s="82" t="s">
        <v>20</v>
      </c>
      <c r="T133" s="138" t="str">
        <f ca="1">IF(AND('Inserimento dati'!$B$3=$H$2, Tabella3[[#This Row],[LUN]]="X"), "X",IF(AND('Inserimento dati'!$B$3=$I$2, Tabella3[[#This Row],[MAR]]="X"), "X", IF(AND('Inserimento dati'!$B$3=$J$2, Tabella3[[#This Row],[MER]]="X"), "X",IF(AND('Inserimento dati'!$B$3=$K$2, Tabella3[[#This Row],[GIO]]="X"), "X", IF(AND('Inserimento dati'!$B$3=$L$2, Tabella3[[#This Row],[VEN]]="X"), "X","")))))</f>
        <v/>
      </c>
      <c r="U133" s="153" t="str">
        <f t="shared" ca="1" si="7"/>
        <v/>
      </c>
    </row>
    <row r="134" spans="1:21" ht="23.25" x14ac:dyDescent="0.25">
      <c r="A134" s="84"/>
      <c r="B134" s="84" t="str">
        <f t="shared" si="6"/>
        <v>X</v>
      </c>
      <c r="C134" s="84" t="str">
        <f>IF(OR(Tabella3[[#This Row],[LUN]]="X",Tabella3[[#This Row],[MAR]]="X",Tabella3[[#This Row],[MER]]="X",Tabella3[[#This Row],[GIO]]="X",Tabella3[[#This Row],[VEN]]="X",),"X","")</f>
        <v/>
      </c>
      <c r="D134" s="85" t="s">
        <v>10</v>
      </c>
      <c r="E134" s="81" t="s">
        <v>1851</v>
      </c>
      <c r="F134" s="81">
        <v>1800</v>
      </c>
      <c r="G134" s="81" t="s">
        <v>1852</v>
      </c>
      <c r="H134" s="83"/>
      <c r="I134" s="83"/>
      <c r="J134" s="83"/>
      <c r="K134" s="83"/>
      <c r="L134" s="83"/>
      <c r="M134" s="81" t="s">
        <v>52</v>
      </c>
      <c r="N134" s="85"/>
      <c r="O134" s="85"/>
      <c r="P134" s="81"/>
      <c r="Q134" s="81"/>
      <c r="R134" s="82">
        <v>45656</v>
      </c>
      <c r="S134" s="82" t="s">
        <v>428</v>
      </c>
      <c r="T134" s="138" t="str">
        <f ca="1">IF(AND('Inserimento dati'!$B$3=$H$2, Tabella3[[#This Row],[LUN]]="X"), "X",IF(AND('Inserimento dati'!$B$3=$I$2, Tabella3[[#This Row],[MAR]]="X"), "X", IF(AND('Inserimento dati'!$B$3=$J$2, Tabella3[[#This Row],[MER]]="X"), "X",IF(AND('Inserimento dati'!$B$3=$K$2, Tabella3[[#This Row],[GIO]]="X"), "X", IF(AND('Inserimento dati'!$B$3=$L$2, Tabella3[[#This Row],[VEN]]="X"), "X","")))))</f>
        <v/>
      </c>
      <c r="U134" s="153" t="str">
        <f t="shared" ca="1" si="7"/>
        <v/>
      </c>
    </row>
    <row r="135" spans="1:21" ht="60" x14ac:dyDescent="0.25">
      <c r="A135" s="84"/>
      <c r="B135" s="84" t="str">
        <f t="shared" si="6"/>
        <v>X</v>
      </c>
      <c r="C135" s="84" t="str">
        <f>IF(OR(Tabella3[[#This Row],[LUN]]="X",Tabella3[[#This Row],[MAR]]="X",Tabella3[[#This Row],[MER]]="X",Tabella3[[#This Row],[GIO]]="X",Tabella3[[#This Row],[VEN]]="X",),"X","")</f>
        <v/>
      </c>
      <c r="D135" s="85" t="s">
        <v>10</v>
      </c>
      <c r="E135" s="81" t="s">
        <v>1853</v>
      </c>
      <c r="F135" s="81" t="s">
        <v>160</v>
      </c>
      <c r="G135" s="81" t="s">
        <v>1854</v>
      </c>
      <c r="H135" s="83"/>
      <c r="I135" s="83"/>
      <c r="J135" s="83"/>
      <c r="K135" s="83"/>
      <c r="L135" s="83"/>
      <c r="M135" s="81" t="s">
        <v>52</v>
      </c>
      <c r="N135" s="85"/>
      <c r="O135" s="85"/>
      <c r="P135" s="81"/>
      <c r="Q135" s="81" t="s">
        <v>1855</v>
      </c>
      <c r="R135" s="82">
        <v>45665</v>
      </c>
      <c r="S135" s="82" t="s">
        <v>1856</v>
      </c>
      <c r="T135" s="138" t="str">
        <f ca="1">IF(AND('Inserimento dati'!$B$3=$H$2, Tabella3[[#This Row],[LUN]]="X"), "X",IF(AND('Inserimento dati'!$B$3=$I$2, Tabella3[[#This Row],[MAR]]="X"), "X", IF(AND('Inserimento dati'!$B$3=$J$2, Tabella3[[#This Row],[MER]]="X"), "X",IF(AND('Inserimento dati'!$B$3=$K$2, Tabella3[[#This Row],[GIO]]="X"), "X", IF(AND('Inserimento dati'!$B$3=$L$2, Tabella3[[#This Row],[VEN]]="X"), "X","")))))</f>
        <v/>
      </c>
      <c r="U135" s="153" t="str">
        <f t="shared" ca="1" si="7"/>
        <v/>
      </c>
    </row>
    <row r="136" spans="1:21" ht="30" x14ac:dyDescent="0.25">
      <c r="A136" s="84"/>
      <c r="B136" s="84" t="str">
        <f t="shared" si="6"/>
        <v>X</v>
      </c>
      <c r="C136" s="84" t="str">
        <f>IF(OR(Tabella3[[#This Row],[LUN]]="X",Tabella3[[#This Row],[MAR]]="X",Tabella3[[#This Row],[MER]]="X",Tabella3[[#This Row],[GIO]]="X",Tabella3[[#This Row],[VEN]]="X",),"X","")</f>
        <v/>
      </c>
      <c r="D136" s="85" t="s">
        <v>10</v>
      </c>
      <c r="E136" s="81" t="s">
        <v>1857</v>
      </c>
      <c r="F136" s="81">
        <v>700</v>
      </c>
      <c r="G136" s="81" t="s">
        <v>1858</v>
      </c>
      <c r="H136" s="83"/>
      <c r="I136" s="83"/>
      <c r="J136" s="83"/>
      <c r="K136" s="83"/>
      <c r="L136" s="83"/>
      <c r="M136" s="81" t="s">
        <v>52</v>
      </c>
      <c r="N136" s="85"/>
      <c r="O136" s="85"/>
      <c r="P136" s="81"/>
      <c r="Q136" s="81" t="s">
        <v>1859</v>
      </c>
      <c r="R136" s="82"/>
      <c r="S136" s="82"/>
      <c r="T136" s="84" t="str">
        <f ca="1">IF(AND('Inserimento dati'!$B$3=$H$2, Tabella3[[#This Row],[LUN]]="X"), "X",IF(AND('Inserimento dati'!$B$3=$I$2, Tabella3[[#This Row],[MAR]]="X"), "X", IF(AND('Inserimento dati'!$B$3=$J$2, Tabella3[[#This Row],[MER]]="X"), "X",IF(AND('Inserimento dati'!$B$3=$K$2, Tabella3[[#This Row],[GIO]]="X"), "X", IF(AND('Inserimento dati'!$B$3=$L$2, Tabella3[[#This Row],[VEN]]="X"), "X","")))))</f>
        <v/>
      </c>
      <c r="U136" s="153" t="str">
        <f t="shared" ca="1" si="7"/>
        <v/>
      </c>
    </row>
    <row r="137" spans="1:21" ht="30" x14ac:dyDescent="0.25">
      <c r="A137" s="84"/>
      <c r="B137" s="84" t="str">
        <f t="shared" si="6"/>
        <v>X</v>
      </c>
      <c r="C137" s="84" t="str">
        <f>IF(OR(Tabella3[[#This Row],[LUN]]="X",Tabella3[[#This Row],[MAR]]="X",Tabella3[[#This Row],[MER]]="X",Tabella3[[#This Row],[GIO]]="X",Tabella3[[#This Row],[VEN]]="X",),"X","")</f>
        <v/>
      </c>
      <c r="D137" s="85" t="s">
        <v>10</v>
      </c>
      <c r="E137" s="81" t="s">
        <v>1860</v>
      </c>
      <c r="F137" s="81">
        <v>1100</v>
      </c>
      <c r="G137" s="81" t="s">
        <v>1861</v>
      </c>
      <c r="H137" s="83"/>
      <c r="I137" s="83"/>
      <c r="J137" s="83"/>
      <c r="K137" s="83"/>
      <c r="L137" s="83"/>
      <c r="M137" s="81" t="s">
        <v>52</v>
      </c>
      <c r="N137" s="85"/>
      <c r="O137" s="85"/>
      <c r="P137" s="81"/>
      <c r="Q137" s="81" t="s">
        <v>1862</v>
      </c>
      <c r="R137" s="82">
        <v>45664</v>
      </c>
      <c r="S137" s="82" t="s">
        <v>1863</v>
      </c>
      <c r="T137" s="138" t="str">
        <f ca="1">IF(AND('Inserimento dati'!$B$3=$H$2, Tabella3[[#This Row],[LUN]]="X"), "X",IF(AND('Inserimento dati'!$B$3=$I$2, Tabella3[[#This Row],[MAR]]="X"), "X", IF(AND('Inserimento dati'!$B$3=$J$2, Tabella3[[#This Row],[MER]]="X"), "X",IF(AND('Inserimento dati'!$B$3=$K$2, Tabella3[[#This Row],[GIO]]="X"), "X", IF(AND('Inserimento dati'!$B$3=$L$2, Tabella3[[#This Row],[VEN]]="X"), "X","")))))</f>
        <v/>
      </c>
      <c r="U137" s="153" t="str">
        <f t="shared" ca="1" si="7"/>
        <v/>
      </c>
    </row>
    <row r="138" spans="1:21" ht="23.25" x14ac:dyDescent="0.25">
      <c r="A138" s="84"/>
      <c r="B138" s="84" t="str">
        <f t="shared" si="6"/>
        <v>X</v>
      </c>
      <c r="C138" s="84" t="str">
        <f>IF(OR(Tabella3[[#This Row],[LUN]]="X",Tabella3[[#This Row],[MAR]]="X",Tabella3[[#This Row],[MER]]="X",Tabella3[[#This Row],[GIO]]="X",Tabella3[[#This Row],[VEN]]="X",),"X","")</f>
        <v/>
      </c>
      <c r="D138" s="85" t="s">
        <v>10</v>
      </c>
      <c r="E138" s="81" t="s">
        <v>1864</v>
      </c>
      <c r="F138" s="81" t="s">
        <v>198</v>
      </c>
      <c r="G138" s="81" t="s">
        <v>1865</v>
      </c>
      <c r="H138" s="83"/>
      <c r="I138" s="83"/>
      <c r="J138" s="83"/>
      <c r="K138" s="83"/>
      <c r="L138" s="83"/>
      <c r="M138" s="81" t="s">
        <v>52</v>
      </c>
      <c r="N138" s="85"/>
      <c r="O138" s="85"/>
      <c r="P138" s="81"/>
      <c r="Q138" s="81"/>
      <c r="R138" s="82">
        <v>45659</v>
      </c>
      <c r="S138" s="82" t="s">
        <v>20</v>
      </c>
      <c r="T138" s="84" t="str">
        <f ca="1">IF(AND('Inserimento dati'!$B$3=$H$2, Tabella3[[#This Row],[LUN]]="X"), "X",IF(AND('Inserimento dati'!$B$3=$I$2, Tabella3[[#This Row],[MAR]]="X"), "X", IF(AND('Inserimento dati'!$B$3=$J$2, Tabella3[[#This Row],[MER]]="X"), "X",IF(AND('Inserimento dati'!$B$3=$K$2, Tabella3[[#This Row],[GIO]]="X"), "X", IF(AND('Inserimento dati'!$B$3=$L$2, Tabella3[[#This Row],[VEN]]="X"), "X","")))))</f>
        <v/>
      </c>
      <c r="U138" s="153" t="str">
        <f t="shared" ca="1" si="7"/>
        <v/>
      </c>
    </row>
    <row r="139" spans="1:21" ht="45" x14ac:dyDescent="0.25">
      <c r="A139" s="84"/>
      <c r="B139" s="84" t="str">
        <f t="shared" si="6"/>
        <v>X</v>
      </c>
      <c r="C139" s="84" t="str">
        <f>IF(OR(Tabella3[[#This Row],[LUN]]="X",Tabella3[[#This Row],[MAR]]="X",Tabella3[[#This Row],[MER]]="X",Tabella3[[#This Row],[GIO]]="X",Tabella3[[#This Row],[VEN]]="X",),"X","")</f>
        <v/>
      </c>
      <c r="D139" s="85" t="s">
        <v>10</v>
      </c>
      <c r="E139" s="81" t="s">
        <v>1866</v>
      </c>
      <c r="F139" s="81">
        <v>1400</v>
      </c>
      <c r="G139" s="81" t="s">
        <v>1867</v>
      </c>
      <c r="H139" s="83"/>
      <c r="I139" s="83"/>
      <c r="J139" s="83"/>
      <c r="K139" s="83"/>
      <c r="L139" s="83"/>
      <c r="M139" s="81" t="s">
        <v>52</v>
      </c>
      <c r="N139" s="85"/>
      <c r="O139" s="85"/>
      <c r="P139" s="81"/>
      <c r="Q139" s="81" t="s">
        <v>1868</v>
      </c>
      <c r="R139" s="82">
        <v>45659</v>
      </c>
      <c r="S139" s="82" t="s">
        <v>9</v>
      </c>
      <c r="T139" s="138" t="str">
        <f ca="1">IF(AND('Inserimento dati'!$B$3=$H$2, Tabella3[[#This Row],[LUN]]="X"), "X",IF(AND('Inserimento dati'!$B$3=$I$2, Tabella3[[#This Row],[MAR]]="X"), "X", IF(AND('Inserimento dati'!$B$3=$J$2, Tabella3[[#This Row],[MER]]="X"), "X",IF(AND('Inserimento dati'!$B$3=$K$2, Tabella3[[#This Row],[GIO]]="X"), "X", IF(AND('Inserimento dati'!$B$3=$L$2, Tabella3[[#This Row],[VEN]]="X"), "X","")))))</f>
        <v/>
      </c>
      <c r="U139" s="153" t="str">
        <f t="shared" ca="1" si="7"/>
        <v/>
      </c>
    </row>
    <row r="140" spans="1:21" ht="30" x14ac:dyDescent="0.25">
      <c r="A140" s="84"/>
      <c r="B140" s="84" t="str">
        <f t="shared" si="6"/>
        <v>X</v>
      </c>
      <c r="C140" s="84" t="str">
        <f>IF(OR(Tabella3[[#This Row],[LUN]]="X",Tabella3[[#This Row],[MAR]]="X",Tabella3[[#This Row],[MER]]="X",Tabella3[[#This Row],[GIO]]="X",Tabella3[[#This Row],[VEN]]="X",),"X","")</f>
        <v/>
      </c>
      <c r="D140" s="85" t="s">
        <v>10</v>
      </c>
      <c r="E140" s="81" t="s">
        <v>1869</v>
      </c>
      <c r="F140" s="81">
        <v>1400</v>
      </c>
      <c r="G140" s="81" t="s">
        <v>1870</v>
      </c>
      <c r="H140" s="83"/>
      <c r="I140" s="83"/>
      <c r="J140" s="83"/>
      <c r="K140" s="83"/>
      <c r="L140" s="83"/>
      <c r="M140" s="81" t="s">
        <v>52</v>
      </c>
      <c r="N140" s="85"/>
      <c r="O140" s="85"/>
      <c r="P140" s="81"/>
      <c r="Q140" s="81" t="s">
        <v>1871</v>
      </c>
      <c r="R140" s="82">
        <v>45659</v>
      </c>
      <c r="S140" s="82" t="s">
        <v>1872</v>
      </c>
      <c r="T140" s="138" t="str">
        <f ca="1">IF(AND('Inserimento dati'!$B$3=$H$2, Tabella3[[#This Row],[LUN]]="X"), "X",IF(AND('Inserimento dati'!$B$3=$I$2, Tabella3[[#This Row],[MAR]]="X"), "X", IF(AND('Inserimento dati'!$B$3=$J$2, Tabella3[[#This Row],[MER]]="X"), "X",IF(AND('Inserimento dati'!$B$3=$K$2, Tabella3[[#This Row],[GIO]]="X"), "X", IF(AND('Inserimento dati'!$B$3=$L$2, Tabella3[[#This Row],[VEN]]="X"), "X","")))))</f>
        <v/>
      </c>
      <c r="U140" s="153" t="str">
        <f t="shared" ca="1" si="7"/>
        <v/>
      </c>
    </row>
    <row r="141" spans="1:21" ht="30" x14ac:dyDescent="0.25">
      <c r="A141" s="84"/>
      <c r="B141" s="84" t="str">
        <f t="shared" ref="B141:B172" si="8">IF(OR(A141="x",A141="X"),"",IF(ISBLANK(A141),"X",""))</f>
        <v>X</v>
      </c>
      <c r="C141" s="84" t="str">
        <f>IF(OR(Tabella3[[#This Row],[LUN]]="X",Tabella3[[#This Row],[MAR]]="X",Tabella3[[#This Row],[MER]]="X",Tabella3[[#This Row],[GIO]]="X",Tabella3[[#This Row],[VEN]]="X",),"X","")</f>
        <v/>
      </c>
      <c r="D141" s="85" t="s">
        <v>10</v>
      </c>
      <c r="E141" s="81" t="s">
        <v>1873</v>
      </c>
      <c r="F141" s="81">
        <v>1400</v>
      </c>
      <c r="G141" s="81" t="s">
        <v>1874</v>
      </c>
      <c r="H141" s="83"/>
      <c r="I141" s="83"/>
      <c r="J141" s="83"/>
      <c r="K141" s="83"/>
      <c r="L141" s="83"/>
      <c r="M141" s="81" t="s">
        <v>52</v>
      </c>
      <c r="N141" s="85"/>
      <c r="O141" s="85"/>
      <c r="P141" s="81"/>
      <c r="Q141" s="81" t="s">
        <v>1871</v>
      </c>
      <c r="R141" s="82">
        <v>45659</v>
      </c>
      <c r="S141" s="82" t="s">
        <v>1872</v>
      </c>
      <c r="T141" s="138" t="str">
        <f ca="1">IF(AND('Inserimento dati'!$B$3=$H$2, Tabella3[[#This Row],[LUN]]="X"), "X",IF(AND('Inserimento dati'!$B$3=$I$2, Tabella3[[#This Row],[MAR]]="X"), "X", IF(AND('Inserimento dati'!$B$3=$J$2, Tabella3[[#This Row],[MER]]="X"), "X",IF(AND('Inserimento dati'!$B$3=$K$2, Tabella3[[#This Row],[GIO]]="X"), "X", IF(AND('Inserimento dati'!$B$3=$L$2, Tabella3[[#This Row],[VEN]]="X"), "X","")))))</f>
        <v/>
      </c>
      <c r="U141" s="153" t="str">
        <f t="shared" ca="1" si="7"/>
        <v/>
      </c>
    </row>
    <row r="142" spans="1:21" ht="30" x14ac:dyDescent="0.25">
      <c r="A142" s="84"/>
      <c r="B142" s="84" t="str">
        <f t="shared" si="8"/>
        <v>X</v>
      </c>
      <c r="C142" s="84" t="str">
        <f>IF(OR(Tabella3[[#This Row],[LUN]]="X",Tabella3[[#This Row],[MAR]]="X",Tabella3[[#This Row],[MER]]="X",Tabella3[[#This Row],[GIO]]="X",Tabella3[[#This Row],[VEN]]="X",),"X","")</f>
        <v/>
      </c>
      <c r="D142" s="85" t="s">
        <v>10</v>
      </c>
      <c r="E142" s="81" t="s">
        <v>1875</v>
      </c>
      <c r="F142" s="81">
        <v>2200</v>
      </c>
      <c r="G142" s="81" t="s">
        <v>1876</v>
      </c>
      <c r="H142" s="83"/>
      <c r="I142" s="83"/>
      <c r="J142" s="83"/>
      <c r="K142" s="83"/>
      <c r="L142" s="83"/>
      <c r="M142" s="81" t="s">
        <v>52</v>
      </c>
      <c r="N142" s="85"/>
      <c r="O142" s="85"/>
      <c r="P142" s="81"/>
      <c r="Q142" s="81" t="s">
        <v>1877</v>
      </c>
      <c r="R142" s="82">
        <v>45659</v>
      </c>
      <c r="S142" s="82" t="s">
        <v>1872</v>
      </c>
      <c r="T142" s="84" t="str">
        <f ca="1">IF(AND('Inserimento dati'!$B$3=$H$2, Tabella3[[#This Row],[LUN]]="X"), "X",IF(AND('Inserimento dati'!$B$3=$I$2, Tabella3[[#This Row],[MAR]]="X"), "X", IF(AND('Inserimento dati'!$B$3=$J$2, Tabella3[[#This Row],[MER]]="X"), "X",IF(AND('Inserimento dati'!$B$3=$K$2, Tabella3[[#This Row],[GIO]]="X"), "X", IF(AND('Inserimento dati'!$B$3=$L$2, Tabella3[[#This Row],[VEN]]="X"), "X","")))))</f>
        <v/>
      </c>
      <c r="U142" s="153" t="str">
        <f t="shared" ca="1" si="7"/>
        <v/>
      </c>
    </row>
    <row r="143" spans="1:21" ht="23.25" x14ac:dyDescent="0.25">
      <c r="A143" s="84"/>
      <c r="B143" s="84" t="str">
        <f t="shared" si="8"/>
        <v>X</v>
      </c>
      <c r="C143" s="84" t="str">
        <f>IF(OR(Tabella3[[#This Row],[LUN]]="X",Tabella3[[#This Row],[MAR]]="X",Tabella3[[#This Row],[MER]]="X",Tabella3[[#This Row],[GIO]]="X",Tabella3[[#This Row],[VEN]]="X",),"X","")</f>
        <v/>
      </c>
      <c r="D143" s="85" t="s">
        <v>10</v>
      </c>
      <c r="E143" s="81" t="s">
        <v>1878</v>
      </c>
      <c r="F143" s="81">
        <v>1800</v>
      </c>
      <c r="G143" s="81" t="s">
        <v>1879</v>
      </c>
      <c r="H143" s="83"/>
      <c r="I143" s="83"/>
      <c r="J143" s="83"/>
      <c r="K143" s="83"/>
      <c r="L143" s="83"/>
      <c r="M143" s="81" t="s">
        <v>52</v>
      </c>
      <c r="N143" s="85"/>
      <c r="O143" s="85"/>
      <c r="P143" s="81"/>
      <c r="Q143" s="81"/>
      <c r="R143" s="82">
        <v>45656</v>
      </c>
      <c r="S143" s="82" t="s">
        <v>238</v>
      </c>
      <c r="T143" s="84" t="str">
        <f ca="1">IF(AND('Inserimento dati'!$B$3=$H$2, Tabella3[[#This Row],[LUN]]="X"), "X",IF(AND('Inserimento dati'!$B$3=$I$2, Tabella3[[#This Row],[MAR]]="X"), "X", IF(AND('Inserimento dati'!$B$3=$J$2, Tabella3[[#This Row],[MER]]="X"), "X",IF(AND('Inserimento dati'!$B$3=$K$2, Tabella3[[#This Row],[GIO]]="X"), "X", IF(AND('Inserimento dati'!$B$3=$L$2, Tabella3[[#This Row],[VEN]]="X"), "X","")))))</f>
        <v/>
      </c>
      <c r="U143" s="153" t="str">
        <f t="shared" ca="1" si="7"/>
        <v>1800: 18</v>
      </c>
    </row>
    <row r="144" spans="1:21" ht="23.25" x14ac:dyDescent="0.25">
      <c r="A144" s="84"/>
      <c r="B144" s="84" t="str">
        <f t="shared" si="8"/>
        <v>X</v>
      </c>
      <c r="C144" s="84" t="str">
        <f>IF(OR(Tabella3[[#This Row],[LUN]]="X",Tabella3[[#This Row],[MAR]]="X",Tabella3[[#This Row],[MER]]="X",Tabella3[[#This Row],[GIO]]="X",Tabella3[[#This Row],[VEN]]="X",),"X","")</f>
        <v/>
      </c>
      <c r="D144" s="85" t="s">
        <v>10</v>
      </c>
      <c r="E144" s="81" t="s">
        <v>1880</v>
      </c>
      <c r="F144" s="81" t="s">
        <v>198</v>
      </c>
      <c r="G144" s="81" t="s">
        <v>1881</v>
      </c>
      <c r="H144" s="83"/>
      <c r="I144" s="83"/>
      <c r="J144" s="83"/>
      <c r="K144" s="83"/>
      <c r="L144" s="83"/>
      <c r="M144" s="81" t="s">
        <v>52</v>
      </c>
      <c r="N144" s="85"/>
      <c r="O144" s="85"/>
      <c r="P144" s="81"/>
      <c r="Q144" s="81" t="s">
        <v>1882</v>
      </c>
      <c r="R144" s="82">
        <v>45656</v>
      </c>
      <c r="S144" s="82" t="s">
        <v>238</v>
      </c>
      <c r="T144" s="84" t="str">
        <f ca="1">IF(AND('Inserimento dati'!$B$3=$H$2, Tabella3[[#This Row],[LUN]]="X"), "X",IF(AND('Inserimento dati'!$B$3=$I$2, Tabella3[[#This Row],[MAR]]="X"), "X", IF(AND('Inserimento dati'!$B$3=$J$2, Tabella3[[#This Row],[MER]]="X"), "X",IF(AND('Inserimento dati'!$B$3=$K$2, Tabella3[[#This Row],[GIO]]="X"), "X", IF(AND('Inserimento dati'!$B$3=$L$2, Tabella3[[#This Row],[VEN]]="X"), "X","")))))</f>
        <v/>
      </c>
      <c r="U144" s="153" t="str">
        <f t="shared" ca="1" si="7"/>
        <v/>
      </c>
    </row>
    <row r="145" spans="1:21" ht="23.25" x14ac:dyDescent="0.25">
      <c r="A145" s="84"/>
      <c r="B145" s="84" t="str">
        <f t="shared" si="8"/>
        <v>X</v>
      </c>
      <c r="C145" s="84" t="str">
        <f>IF(OR(Tabella3[[#This Row],[LUN]]="X",Tabella3[[#This Row],[MAR]]="X",Tabella3[[#This Row],[MER]]="X",Tabella3[[#This Row],[GIO]]="X",Tabella3[[#This Row],[VEN]]="X",),"X","")</f>
        <v/>
      </c>
      <c r="D145" s="85" t="s">
        <v>10</v>
      </c>
      <c r="E145" s="81" t="s">
        <v>1883</v>
      </c>
      <c r="F145" s="81">
        <v>1400</v>
      </c>
      <c r="G145" s="81" t="s">
        <v>1884</v>
      </c>
      <c r="H145" s="83"/>
      <c r="I145" s="83"/>
      <c r="J145" s="83"/>
      <c r="K145" s="83"/>
      <c r="L145" s="83"/>
      <c r="M145" s="81" t="s">
        <v>52</v>
      </c>
      <c r="N145" s="85"/>
      <c r="O145" s="85"/>
      <c r="P145" s="81"/>
      <c r="Q145" s="81"/>
      <c r="R145" s="82"/>
      <c r="S145" s="82" t="s">
        <v>535</v>
      </c>
      <c r="T145" s="84" t="str">
        <f ca="1">IF(AND('Inserimento dati'!$B$3=$H$2, Tabella3[[#This Row],[LUN]]="X"), "X",IF(AND('Inserimento dati'!$B$3=$I$2, Tabella3[[#This Row],[MAR]]="X"), "X", IF(AND('Inserimento dati'!$B$3=$J$2, Tabella3[[#This Row],[MER]]="X"), "X",IF(AND('Inserimento dati'!$B$3=$K$2, Tabella3[[#This Row],[GIO]]="X"), "X", IF(AND('Inserimento dati'!$B$3=$L$2, Tabella3[[#This Row],[VEN]]="X"), "X","")))))</f>
        <v/>
      </c>
      <c r="U145" s="153" t="str">
        <f t="shared" ca="1" si="7"/>
        <v/>
      </c>
    </row>
    <row r="146" spans="1:21" ht="60" x14ac:dyDescent="0.25">
      <c r="A146" s="84"/>
      <c r="B146" s="84" t="str">
        <f t="shared" si="8"/>
        <v>X</v>
      </c>
      <c r="C146" s="84" t="str">
        <f>IF(OR(Tabella3[[#This Row],[LUN]]="X",Tabella3[[#This Row],[MAR]]="X",Tabella3[[#This Row],[MER]]="X",Tabella3[[#This Row],[GIO]]="X",Tabella3[[#This Row],[VEN]]="X",),"X","")</f>
        <v/>
      </c>
      <c r="D146" s="85" t="s">
        <v>10</v>
      </c>
      <c r="E146" s="81" t="s">
        <v>1885</v>
      </c>
      <c r="F146" s="81" t="s">
        <v>202</v>
      </c>
      <c r="G146" s="81" t="s">
        <v>1886</v>
      </c>
      <c r="H146" s="83"/>
      <c r="I146" s="83"/>
      <c r="J146" s="83"/>
      <c r="K146" s="83"/>
      <c r="L146" s="83"/>
      <c r="M146" s="81" t="s">
        <v>52</v>
      </c>
      <c r="N146" s="85"/>
      <c r="O146" s="85"/>
      <c r="P146" s="81"/>
      <c r="Q146" s="81" t="s">
        <v>1887</v>
      </c>
      <c r="R146" s="82">
        <v>45623</v>
      </c>
      <c r="S146" s="82" t="s">
        <v>1750</v>
      </c>
      <c r="T146" s="138" t="str">
        <f ca="1">IF(AND('Inserimento dati'!$B$3=$H$2, Tabella3[[#This Row],[LUN]]="X"), "X",IF(AND('Inserimento dati'!$B$3=$I$2, Tabella3[[#This Row],[MAR]]="X"), "X", IF(AND('Inserimento dati'!$B$3=$J$2, Tabella3[[#This Row],[MER]]="X"), "X",IF(AND('Inserimento dati'!$B$3=$K$2, Tabella3[[#This Row],[GIO]]="X"), "X", IF(AND('Inserimento dati'!$B$3=$L$2, Tabella3[[#This Row],[VEN]]="X"), "X","")))))</f>
        <v/>
      </c>
      <c r="U146" s="153" t="str">
        <f t="shared" ca="1" si="7"/>
        <v/>
      </c>
    </row>
    <row r="147" spans="1:21" ht="23.25" x14ac:dyDescent="0.25">
      <c r="A147" s="84"/>
      <c r="B147" s="84" t="str">
        <f t="shared" si="8"/>
        <v>X</v>
      </c>
      <c r="C147" s="84" t="str">
        <f>IF(OR(Tabella3[[#This Row],[LUN]]="X",Tabella3[[#This Row],[MAR]]="X",Tabella3[[#This Row],[MER]]="X",Tabella3[[#This Row],[GIO]]="X",Tabella3[[#This Row],[VEN]]="X",),"X","")</f>
        <v/>
      </c>
      <c r="D147" s="85" t="s">
        <v>10</v>
      </c>
      <c r="E147" s="81" t="s">
        <v>1888</v>
      </c>
      <c r="F147" s="81" t="s">
        <v>199</v>
      </c>
      <c r="G147" s="81" t="s">
        <v>1889</v>
      </c>
      <c r="H147" s="83"/>
      <c r="I147" s="83"/>
      <c r="J147" s="83"/>
      <c r="K147" s="83"/>
      <c r="L147" s="83"/>
      <c r="M147" s="81" t="s">
        <v>52</v>
      </c>
      <c r="N147" s="85"/>
      <c r="O147" s="85"/>
      <c r="P147" s="81"/>
      <c r="Q147" s="81" t="s">
        <v>1890</v>
      </c>
      <c r="R147" s="82">
        <v>45646</v>
      </c>
      <c r="S147" s="82" t="s">
        <v>238</v>
      </c>
      <c r="T147" s="84" t="str">
        <f ca="1">IF(AND('Inserimento dati'!$B$3=$H$2, Tabella3[[#This Row],[LUN]]="X"), "X",IF(AND('Inserimento dati'!$B$3=$I$2, Tabella3[[#This Row],[MAR]]="X"), "X", IF(AND('Inserimento dati'!$B$3=$J$2, Tabella3[[#This Row],[MER]]="X"), "X",IF(AND('Inserimento dati'!$B$3=$K$2, Tabella3[[#This Row],[GIO]]="X"), "X", IF(AND('Inserimento dati'!$B$3=$L$2, Tabella3[[#This Row],[VEN]]="X"), "X","")))))</f>
        <v/>
      </c>
      <c r="U147" s="153" t="str">
        <f t="shared" ca="1" si="7"/>
        <v/>
      </c>
    </row>
    <row r="148" spans="1:21" ht="23.25" x14ac:dyDescent="0.25">
      <c r="A148" s="84"/>
      <c r="B148" s="84" t="str">
        <f t="shared" si="8"/>
        <v>X</v>
      </c>
      <c r="C148" s="84" t="str">
        <f>IF(OR(Tabella3[[#This Row],[LUN]]="X",Tabella3[[#This Row],[MAR]]="X",Tabella3[[#This Row],[MER]]="X",Tabella3[[#This Row],[GIO]]="X",Tabella3[[#This Row],[VEN]]="X",),"X","")</f>
        <v/>
      </c>
      <c r="D148" s="85" t="s">
        <v>10</v>
      </c>
      <c r="E148" s="81" t="s">
        <v>1891</v>
      </c>
      <c r="F148" s="81">
        <v>1800</v>
      </c>
      <c r="G148" s="81" t="s">
        <v>1892</v>
      </c>
      <c r="H148" s="83"/>
      <c r="I148" s="83"/>
      <c r="J148" s="83"/>
      <c r="K148" s="83"/>
      <c r="L148" s="83"/>
      <c r="M148" s="81" t="s">
        <v>52</v>
      </c>
      <c r="N148" s="85"/>
      <c r="O148" s="85"/>
      <c r="P148" s="81"/>
      <c r="Q148" s="81" t="s">
        <v>1893</v>
      </c>
      <c r="R148" s="82">
        <v>45649</v>
      </c>
      <c r="S148" s="82" t="s">
        <v>535</v>
      </c>
      <c r="T148" s="138" t="str">
        <f ca="1">IF(AND('Inserimento dati'!$B$3=$H$2, Tabella3[[#This Row],[LUN]]="X"), "X",IF(AND('Inserimento dati'!$B$3=$I$2, Tabella3[[#This Row],[MAR]]="X"), "X", IF(AND('Inserimento dati'!$B$3=$J$2, Tabella3[[#This Row],[MER]]="X"), "X",IF(AND('Inserimento dati'!$B$3=$K$2, Tabella3[[#This Row],[GIO]]="X"), "X", IF(AND('Inserimento dati'!$B$3=$L$2, Tabella3[[#This Row],[VEN]]="X"), "X","")))))</f>
        <v/>
      </c>
      <c r="U148" s="153" t="str">
        <f t="shared" ca="1" si="7"/>
        <v/>
      </c>
    </row>
    <row r="149" spans="1:21" ht="23.25" x14ac:dyDescent="0.25">
      <c r="A149" s="84"/>
      <c r="B149" s="84" t="str">
        <f t="shared" si="8"/>
        <v>X</v>
      </c>
      <c r="C149" s="84" t="str">
        <f>IF(OR(Tabella3[[#This Row],[LUN]]="X",Tabella3[[#This Row],[MAR]]="X",Tabella3[[#This Row],[MER]]="X",Tabella3[[#This Row],[GIO]]="X",Tabella3[[#This Row],[VEN]]="X",),"X","")</f>
        <v/>
      </c>
      <c r="D149" s="85" t="s">
        <v>10</v>
      </c>
      <c r="E149" s="81" t="s">
        <v>1894</v>
      </c>
      <c r="F149" s="81">
        <v>800</v>
      </c>
      <c r="G149" s="81" t="s">
        <v>1895</v>
      </c>
      <c r="H149" s="83"/>
      <c r="I149" s="83"/>
      <c r="J149" s="83"/>
      <c r="K149" s="83"/>
      <c r="L149" s="83"/>
      <c r="M149" s="81" t="s">
        <v>52</v>
      </c>
      <c r="N149" s="85"/>
      <c r="O149" s="85"/>
      <c r="P149" s="81"/>
      <c r="Q149" s="81"/>
      <c r="R149" s="82"/>
      <c r="S149" s="82"/>
      <c r="T149" s="84" t="str">
        <f ca="1">IF(AND('Inserimento dati'!$B$3=$H$2, Tabella3[[#This Row],[LUN]]="X"), "X",IF(AND('Inserimento dati'!$B$3=$I$2, Tabella3[[#This Row],[MAR]]="X"), "X", IF(AND('Inserimento dati'!$B$3=$J$2, Tabella3[[#This Row],[MER]]="X"), "X",IF(AND('Inserimento dati'!$B$3=$K$2, Tabella3[[#This Row],[GIO]]="X"), "X", IF(AND('Inserimento dati'!$B$3=$L$2, Tabella3[[#This Row],[VEN]]="X"), "X","")))))</f>
        <v/>
      </c>
      <c r="U149" s="153" t="str">
        <f t="shared" ca="1" si="7"/>
        <v/>
      </c>
    </row>
    <row r="150" spans="1:21" ht="30" x14ac:dyDescent="0.25">
      <c r="A150" s="84"/>
      <c r="B150" s="84" t="str">
        <f t="shared" si="8"/>
        <v>X</v>
      </c>
      <c r="C150" s="84" t="str">
        <f>IF(OR(Tabella3[[#This Row],[LUN]]="X",Tabella3[[#This Row],[MAR]]="X",Tabella3[[#This Row],[MER]]="X",Tabella3[[#This Row],[GIO]]="X",Tabella3[[#This Row],[VEN]]="X",),"X","")</f>
        <v/>
      </c>
      <c r="D150" s="85" t="s">
        <v>10</v>
      </c>
      <c r="E150" s="81" t="s">
        <v>1896</v>
      </c>
      <c r="F150" s="81">
        <v>1100</v>
      </c>
      <c r="G150" s="81" t="s">
        <v>1897</v>
      </c>
      <c r="H150" s="83"/>
      <c r="I150" s="83"/>
      <c r="J150" s="83"/>
      <c r="K150" s="83"/>
      <c r="L150" s="83"/>
      <c r="M150" s="81" t="s">
        <v>52</v>
      </c>
      <c r="N150" s="85"/>
      <c r="O150" s="85"/>
      <c r="P150" s="81"/>
      <c r="Q150" s="81" t="s">
        <v>1898</v>
      </c>
      <c r="R150" s="82">
        <v>45646</v>
      </c>
      <c r="S150" s="82" t="s">
        <v>535</v>
      </c>
      <c r="T150" s="138" t="str">
        <f ca="1">IF(AND('Inserimento dati'!$B$3=$H$2, Tabella3[[#This Row],[LUN]]="X"), "X",IF(AND('Inserimento dati'!$B$3=$I$2, Tabella3[[#This Row],[MAR]]="X"), "X", IF(AND('Inserimento dati'!$B$3=$J$2, Tabella3[[#This Row],[MER]]="X"), "X",IF(AND('Inserimento dati'!$B$3=$K$2, Tabella3[[#This Row],[GIO]]="X"), "X", IF(AND('Inserimento dati'!$B$3=$L$2, Tabella3[[#This Row],[VEN]]="X"), "X","")))))</f>
        <v/>
      </c>
      <c r="U150" s="153" t="str">
        <f t="shared" ca="1" si="7"/>
        <v/>
      </c>
    </row>
    <row r="151" spans="1:21" ht="30" x14ac:dyDescent="0.25">
      <c r="A151" s="84"/>
      <c r="B151" s="84" t="str">
        <f t="shared" si="8"/>
        <v>X</v>
      </c>
      <c r="C151" s="84" t="str">
        <f>IF(OR(Tabella3[[#This Row],[LUN]]="X",Tabella3[[#This Row],[MAR]]="X",Tabella3[[#This Row],[MER]]="X",Tabella3[[#This Row],[GIO]]="X",Tabella3[[#This Row],[VEN]]="X",),"X","")</f>
        <v/>
      </c>
      <c r="D151" s="85" t="s">
        <v>10</v>
      </c>
      <c r="E151" s="81" t="s">
        <v>1899</v>
      </c>
      <c r="F151" s="81">
        <v>1800</v>
      </c>
      <c r="G151" s="81" t="s">
        <v>1900</v>
      </c>
      <c r="H151" s="83"/>
      <c r="I151" s="83"/>
      <c r="J151" s="83"/>
      <c r="K151" s="83"/>
      <c r="L151" s="83"/>
      <c r="M151" s="81" t="s">
        <v>52</v>
      </c>
      <c r="N151" s="85"/>
      <c r="O151" s="85"/>
      <c r="P151" s="81"/>
      <c r="Q151" s="81" t="s">
        <v>1901</v>
      </c>
      <c r="R151" s="82"/>
      <c r="S151" s="82"/>
      <c r="T151" s="84" t="str">
        <f ca="1">IF(AND('Inserimento dati'!$B$3=$H$2, Tabella3[[#This Row],[LUN]]="X"), "X",IF(AND('Inserimento dati'!$B$3=$I$2, Tabella3[[#This Row],[MAR]]="X"), "X", IF(AND('Inserimento dati'!$B$3=$J$2, Tabella3[[#This Row],[MER]]="X"), "X",IF(AND('Inserimento dati'!$B$3=$K$2, Tabella3[[#This Row],[GIO]]="X"), "X", IF(AND('Inserimento dati'!$B$3=$L$2, Tabella3[[#This Row],[VEN]]="X"), "X","")))))</f>
        <v/>
      </c>
      <c r="U151" s="153" t="str">
        <f t="shared" ca="1" si="7"/>
        <v/>
      </c>
    </row>
    <row r="152" spans="1:21" ht="30" x14ac:dyDescent="0.25">
      <c r="A152" s="84"/>
      <c r="B152" s="84" t="str">
        <f t="shared" si="8"/>
        <v>X</v>
      </c>
      <c r="C152" s="84" t="str">
        <f>IF(OR(Tabella3[[#This Row],[LUN]]="X",Tabella3[[#This Row],[MAR]]="X",Tabella3[[#This Row],[MER]]="X",Tabella3[[#This Row],[GIO]]="X",Tabella3[[#This Row],[VEN]]="X",),"X","")</f>
        <v/>
      </c>
      <c r="D152" s="85" t="s">
        <v>10</v>
      </c>
      <c r="E152" s="81" t="s">
        <v>1902</v>
      </c>
      <c r="F152" s="81">
        <v>700</v>
      </c>
      <c r="G152" s="81" t="s">
        <v>1903</v>
      </c>
      <c r="H152" s="83"/>
      <c r="I152" s="83"/>
      <c r="J152" s="83"/>
      <c r="K152" s="83"/>
      <c r="L152" s="83"/>
      <c r="M152" s="81" t="s">
        <v>52</v>
      </c>
      <c r="N152" s="85"/>
      <c r="O152" s="85"/>
      <c r="P152" s="81"/>
      <c r="Q152" s="81"/>
      <c r="R152" s="82"/>
      <c r="S152" s="82"/>
      <c r="T152" s="84" t="str">
        <f ca="1">IF(AND('Inserimento dati'!$B$3=$H$2, Tabella3[[#This Row],[LUN]]="X"), "X",IF(AND('Inserimento dati'!$B$3=$I$2, Tabella3[[#This Row],[MAR]]="X"), "X", IF(AND('Inserimento dati'!$B$3=$J$2, Tabella3[[#This Row],[MER]]="X"), "X",IF(AND('Inserimento dati'!$B$3=$K$2, Tabella3[[#This Row],[GIO]]="X"), "X", IF(AND('Inserimento dati'!$B$3=$L$2, Tabella3[[#This Row],[VEN]]="X"), "X","")))))</f>
        <v/>
      </c>
      <c r="U152" s="153" t="str">
        <f t="shared" ca="1" si="7"/>
        <v/>
      </c>
    </row>
    <row r="153" spans="1:21" ht="30" x14ac:dyDescent="0.25">
      <c r="A153" s="84"/>
      <c r="B153" s="84" t="str">
        <f t="shared" si="8"/>
        <v>X</v>
      </c>
      <c r="C153" s="84" t="str">
        <f>IF(OR(Tabella3[[#This Row],[LUN]]="X",Tabella3[[#This Row],[MAR]]="X",Tabella3[[#This Row],[MER]]="X",Tabella3[[#This Row],[GIO]]="X",Tabella3[[#This Row],[VEN]]="X",),"X","")</f>
        <v/>
      </c>
      <c r="D153" s="85" t="s">
        <v>10</v>
      </c>
      <c r="E153" s="81" t="s">
        <v>1904</v>
      </c>
      <c r="F153" s="81" t="s">
        <v>160</v>
      </c>
      <c r="G153" s="81" t="s">
        <v>1905</v>
      </c>
      <c r="H153" s="83"/>
      <c r="I153" s="83"/>
      <c r="J153" s="83"/>
      <c r="K153" s="83"/>
      <c r="L153" s="83"/>
      <c r="M153" s="81" t="s">
        <v>52</v>
      </c>
      <c r="N153" s="85"/>
      <c r="O153" s="85"/>
      <c r="P153" s="81"/>
      <c r="Q153" s="81" t="s">
        <v>1906</v>
      </c>
      <c r="R153" s="82">
        <v>45644</v>
      </c>
      <c r="S153" s="82" t="s">
        <v>1750</v>
      </c>
      <c r="T153" s="138" t="str">
        <f ca="1">IF(AND('Inserimento dati'!$B$3=$H$2, Tabella3[[#This Row],[LUN]]="X"), "X",IF(AND('Inserimento dati'!$B$3=$I$2, Tabella3[[#This Row],[MAR]]="X"), "X", IF(AND('Inserimento dati'!$B$3=$J$2, Tabella3[[#This Row],[MER]]="X"), "X",IF(AND('Inserimento dati'!$B$3=$K$2, Tabella3[[#This Row],[GIO]]="X"), "X", IF(AND('Inserimento dati'!$B$3=$L$2, Tabella3[[#This Row],[VEN]]="X"), "X","")))))</f>
        <v/>
      </c>
      <c r="U153" s="153" t="str">
        <f t="shared" ca="1" si="7"/>
        <v/>
      </c>
    </row>
    <row r="154" spans="1:21" ht="23.25" x14ac:dyDescent="0.25">
      <c r="A154" s="84"/>
      <c r="B154" s="84" t="str">
        <f t="shared" si="8"/>
        <v>X</v>
      </c>
      <c r="C154" s="84" t="str">
        <f>IF(OR(Tabella3[[#This Row],[LUN]]="X",Tabella3[[#This Row],[MAR]]="X",Tabella3[[#This Row],[MER]]="X",Tabella3[[#This Row],[GIO]]="X",Tabella3[[#This Row],[VEN]]="X",),"X","")</f>
        <v/>
      </c>
      <c r="D154" s="85" t="s">
        <v>10</v>
      </c>
      <c r="E154" s="81" t="s">
        <v>1907</v>
      </c>
      <c r="F154" s="81">
        <v>800</v>
      </c>
      <c r="G154" s="81" t="s">
        <v>1908</v>
      </c>
      <c r="H154" s="83"/>
      <c r="I154" s="83"/>
      <c r="J154" s="83"/>
      <c r="K154" s="83"/>
      <c r="L154" s="83"/>
      <c r="M154" s="81" t="s">
        <v>52</v>
      </c>
      <c r="N154" s="85"/>
      <c r="O154" s="85"/>
      <c r="P154" s="81"/>
      <c r="Q154" s="81"/>
      <c r="R154" s="82">
        <v>45642</v>
      </c>
      <c r="S154" s="82" t="s">
        <v>238</v>
      </c>
      <c r="T154" s="138" t="str">
        <f ca="1">IF(AND('Inserimento dati'!$B$3=$H$2, Tabella3[[#This Row],[LUN]]="X"), "X",IF(AND('Inserimento dati'!$B$3=$I$2, Tabella3[[#This Row],[MAR]]="X"), "X", IF(AND('Inserimento dati'!$B$3=$J$2, Tabella3[[#This Row],[MER]]="X"), "X",IF(AND('Inserimento dati'!$B$3=$K$2, Tabella3[[#This Row],[GIO]]="X"), "X", IF(AND('Inserimento dati'!$B$3=$L$2, Tabella3[[#This Row],[VEN]]="X"), "X","")))))</f>
        <v/>
      </c>
      <c r="U154" s="153" t="str">
        <f t="shared" ca="1" si="7"/>
        <v/>
      </c>
    </row>
    <row r="155" spans="1:21" ht="23.25" x14ac:dyDescent="0.25">
      <c r="A155" s="84"/>
      <c r="B155" s="84" t="str">
        <f t="shared" si="8"/>
        <v>X</v>
      </c>
      <c r="C155" s="84" t="str">
        <f>IF(OR(Tabella3[[#This Row],[LUN]]="X",Tabella3[[#This Row],[MAR]]="X",Tabella3[[#This Row],[MER]]="X",Tabella3[[#This Row],[GIO]]="X",Tabella3[[#This Row],[VEN]]="X",),"X","")</f>
        <v/>
      </c>
      <c r="D155" s="85" t="s">
        <v>10</v>
      </c>
      <c r="E155" s="81" t="s">
        <v>1909</v>
      </c>
      <c r="F155" s="81">
        <v>700</v>
      </c>
      <c r="G155" s="81" t="s">
        <v>1910</v>
      </c>
      <c r="H155" s="83"/>
      <c r="I155" s="83"/>
      <c r="J155" s="83"/>
      <c r="K155" s="83"/>
      <c r="L155" s="83"/>
      <c r="M155" s="81" t="s">
        <v>52</v>
      </c>
      <c r="N155" s="85"/>
      <c r="O155" s="85"/>
      <c r="P155" s="81"/>
      <c r="Q155" s="81"/>
      <c r="R155" s="82"/>
      <c r="S155" s="82"/>
      <c r="T155" s="138" t="str">
        <f ca="1">IF(AND('Inserimento dati'!$B$3=$H$2, Tabella3[[#This Row],[LUN]]="X"), "X",IF(AND('Inserimento dati'!$B$3=$I$2, Tabella3[[#This Row],[MAR]]="X"), "X", IF(AND('Inserimento dati'!$B$3=$J$2, Tabella3[[#This Row],[MER]]="X"), "X",IF(AND('Inserimento dati'!$B$3=$K$2, Tabella3[[#This Row],[GIO]]="X"), "X", IF(AND('Inserimento dati'!$B$3=$L$2, Tabella3[[#This Row],[VEN]]="X"), "X","")))))</f>
        <v/>
      </c>
      <c r="U155" s="153" t="str">
        <f t="shared" ca="1" si="7"/>
        <v/>
      </c>
    </row>
    <row r="156" spans="1:21" ht="23.25" x14ac:dyDescent="0.25">
      <c r="A156" s="84"/>
      <c r="B156" s="84" t="str">
        <f t="shared" si="8"/>
        <v>X</v>
      </c>
      <c r="C156" s="84" t="str">
        <f>IF(OR(Tabella3[[#This Row],[LUN]]="X",Tabella3[[#This Row],[MAR]]="X",Tabella3[[#This Row],[MER]]="X",Tabella3[[#This Row],[GIO]]="X",Tabella3[[#This Row],[VEN]]="X",),"X","")</f>
        <v/>
      </c>
      <c r="D156" s="85" t="s">
        <v>10</v>
      </c>
      <c r="E156" s="81" t="s">
        <v>1911</v>
      </c>
      <c r="F156" s="81">
        <v>800</v>
      </c>
      <c r="G156" s="81" t="s">
        <v>1912</v>
      </c>
      <c r="H156" s="83"/>
      <c r="I156" s="83"/>
      <c r="J156" s="83"/>
      <c r="K156" s="83"/>
      <c r="L156" s="83"/>
      <c r="M156" s="81" t="s">
        <v>52</v>
      </c>
      <c r="N156" s="85"/>
      <c r="O156" s="85"/>
      <c r="P156" s="81"/>
      <c r="Q156" s="81"/>
      <c r="R156" s="82"/>
      <c r="S156" s="82"/>
      <c r="T156" s="138" t="str">
        <f ca="1">IF(AND('Inserimento dati'!$B$3=$H$2, Tabella3[[#This Row],[LUN]]="X"), "X",IF(AND('Inserimento dati'!$B$3=$I$2, Tabella3[[#This Row],[MAR]]="X"), "X", IF(AND('Inserimento dati'!$B$3=$J$2, Tabella3[[#This Row],[MER]]="X"), "X",IF(AND('Inserimento dati'!$B$3=$K$2, Tabella3[[#This Row],[GIO]]="X"), "X", IF(AND('Inserimento dati'!$B$3=$L$2, Tabella3[[#This Row],[VEN]]="X"), "X","")))))</f>
        <v/>
      </c>
      <c r="U156" s="154" t="str">
        <f t="shared" ca="1" si="7"/>
        <v/>
      </c>
    </row>
    <row r="157" spans="1:21" ht="23.25" x14ac:dyDescent="0.25">
      <c r="A157" s="84"/>
      <c r="B157" s="84" t="str">
        <f t="shared" si="8"/>
        <v>X</v>
      </c>
      <c r="C157" s="84" t="str">
        <f>IF(OR(Tabella3[[#This Row],[LUN]]="X",Tabella3[[#This Row],[MAR]]="X",Tabella3[[#This Row],[MER]]="X",Tabella3[[#This Row],[GIO]]="X",Tabella3[[#This Row],[VEN]]="X",),"X","")</f>
        <v/>
      </c>
      <c r="D157" s="85" t="s">
        <v>10</v>
      </c>
      <c r="E157" s="81" t="s">
        <v>1913</v>
      </c>
      <c r="F157" s="81">
        <v>1800</v>
      </c>
      <c r="G157" s="81" t="s">
        <v>1914</v>
      </c>
      <c r="H157" s="83"/>
      <c r="I157" s="83"/>
      <c r="J157" s="83"/>
      <c r="K157" s="83"/>
      <c r="L157" s="83"/>
      <c r="M157" s="81" t="s">
        <v>52</v>
      </c>
      <c r="N157" s="85"/>
      <c r="O157" s="85"/>
      <c r="P157" s="81"/>
      <c r="Q157" s="81" t="s">
        <v>1915</v>
      </c>
      <c r="R157" s="82"/>
      <c r="S157" s="82"/>
      <c r="T157" s="84" t="str">
        <f ca="1">IF(AND('Inserimento dati'!$B$3=$H$2, Tabella3[[#This Row],[LUN]]="X"), "X",IF(AND('Inserimento dati'!$B$3=$I$2, Tabella3[[#This Row],[MAR]]="X"), "X", IF(AND('Inserimento dati'!$B$3=$J$2, Tabella3[[#This Row],[MER]]="X"), "X",IF(AND('Inserimento dati'!$B$3=$K$2, Tabella3[[#This Row],[GIO]]="X"), "X", IF(AND('Inserimento dati'!$B$3=$L$2, Tabella3[[#This Row],[VEN]]="X"), "X","")))))</f>
        <v/>
      </c>
      <c r="U157" s="154" t="str">
        <f t="shared" ca="1" si="7"/>
        <v/>
      </c>
    </row>
    <row r="158" spans="1:21" ht="23.25" x14ac:dyDescent="0.25">
      <c r="A158" s="84"/>
      <c r="B158" s="84" t="str">
        <f t="shared" si="8"/>
        <v>X</v>
      </c>
      <c r="C158" s="84" t="str">
        <f>IF(OR(Tabella3[[#This Row],[LUN]]="X",Tabella3[[#This Row],[MAR]]="X",Tabella3[[#This Row],[MER]]="X",Tabella3[[#This Row],[GIO]]="X",Tabella3[[#This Row],[VEN]]="X",),"X","")</f>
        <v/>
      </c>
      <c r="D158" s="85" t="s">
        <v>10</v>
      </c>
      <c r="E158" s="81" t="s">
        <v>1916</v>
      </c>
      <c r="F158" s="81" t="s">
        <v>200</v>
      </c>
      <c r="G158" s="81" t="s">
        <v>1917</v>
      </c>
      <c r="H158" s="83"/>
      <c r="I158" s="83"/>
      <c r="J158" s="83"/>
      <c r="K158" s="83"/>
      <c r="L158" s="83"/>
      <c r="M158" s="81" t="s">
        <v>52</v>
      </c>
      <c r="N158" s="85"/>
      <c r="O158" s="85"/>
      <c r="P158" s="81"/>
      <c r="Q158" s="81" t="s">
        <v>1918</v>
      </c>
      <c r="R158" s="82">
        <v>45645</v>
      </c>
      <c r="S158" s="82" t="s">
        <v>20</v>
      </c>
      <c r="T158" s="138" t="str">
        <f ca="1">IF(AND('Inserimento dati'!$B$3=$H$2, Tabella3[[#This Row],[LUN]]="X"), "X",IF(AND('Inserimento dati'!$B$3=$I$2, Tabella3[[#This Row],[MAR]]="X"), "X", IF(AND('Inserimento dati'!$B$3=$J$2, Tabella3[[#This Row],[MER]]="X"), "X",IF(AND('Inserimento dati'!$B$3=$K$2, Tabella3[[#This Row],[GIO]]="X"), "X", IF(AND('Inserimento dati'!$B$3=$L$2, Tabella3[[#This Row],[VEN]]="X"), "X","")))))</f>
        <v/>
      </c>
      <c r="U158" s="154" t="str">
        <f t="shared" ca="1" si="7"/>
        <v xml:space="preserve"> 1020692</v>
      </c>
    </row>
    <row r="159" spans="1:21" ht="23.25" x14ac:dyDescent="0.25">
      <c r="A159" s="84"/>
      <c r="B159" s="84" t="str">
        <f t="shared" si="8"/>
        <v>X</v>
      </c>
      <c r="C159" s="84" t="str">
        <f>IF(OR(Tabella3[[#This Row],[LUN]]="X",Tabella3[[#This Row],[MAR]]="X",Tabella3[[#This Row],[MER]]="X",Tabella3[[#This Row],[GIO]]="X",Tabella3[[#This Row],[VEN]]="X",),"X","")</f>
        <v/>
      </c>
      <c r="D159" s="85" t="s">
        <v>10</v>
      </c>
      <c r="E159" s="81" t="s">
        <v>1919</v>
      </c>
      <c r="F159" s="81" t="s">
        <v>202</v>
      </c>
      <c r="G159" s="81" t="s">
        <v>1920</v>
      </c>
      <c r="H159" s="83"/>
      <c r="I159" s="83"/>
      <c r="J159" s="83"/>
      <c r="K159" s="83"/>
      <c r="L159" s="83"/>
      <c r="M159" s="81" t="s">
        <v>52</v>
      </c>
      <c r="N159" s="85"/>
      <c r="O159" s="85"/>
      <c r="P159" s="81"/>
      <c r="Q159" s="81" t="s">
        <v>1921</v>
      </c>
      <c r="R159" s="82">
        <v>45644</v>
      </c>
      <c r="S159" s="82" t="s">
        <v>20</v>
      </c>
      <c r="T159" s="138" t="str">
        <f ca="1">IF(AND('Inserimento dati'!$B$3=$H$2, Tabella3[[#This Row],[LUN]]="X"), "X",IF(AND('Inserimento dati'!$B$3=$I$2, Tabella3[[#This Row],[MAR]]="X"), "X", IF(AND('Inserimento dati'!$B$3=$J$2, Tabella3[[#This Row],[MER]]="X"), "X",IF(AND('Inserimento dati'!$B$3=$K$2, Tabella3[[#This Row],[GIO]]="X"), "X", IF(AND('Inserimento dati'!$B$3=$L$2, Tabella3[[#This Row],[VEN]]="X"), "X","")))))</f>
        <v/>
      </c>
      <c r="U159" s="154" t="str">
        <f t="shared" ca="1" si="7"/>
        <v/>
      </c>
    </row>
    <row r="160" spans="1:21" ht="23.25" x14ac:dyDescent="0.25">
      <c r="A160" s="84"/>
      <c r="B160" s="84" t="str">
        <f t="shared" si="8"/>
        <v>X</v>
      </c>
      <c r="C160" s="84" t="str">
        <f>IF(OR(Tabella3[[#This Row],[LUN]]="X",Tabella3[[#This Row],[MAR]]="X",Tabella3[[#This Row],[MER]]="X",Tabella3[[#This Row],[GIO]]="X",Tabella3[[#This Row],[VEN]]="X",),"X","")</f>
        <v/>
      </c>
      <c r="D160" s="85" t="s">
        <v>10</v>
      </c>
      <c r="E160" s="81" t="s">
        <v>1922</v>
      </c>
      <c r="F160" s="81">
        <v>800</v>
      </c>
      <c r="G160" s="81" t="s">
        <v>1923</v>
      </c>
      <c r="H160" s="83"/>
      <c r="I160" s="83"/>
      <c r="J160" s="83"/>
      <c r="K160" s="83"/>
      <c r="L160" s="83"/>
      <c r="M160" s="81" t="s">
        <v>52</v>
      </c>
      <c r="N160" s="85"/>
      <c r="O160" s="85"/>
      <c r="P160" s="81"/>
      <c r="Q160" s="81" t="s">
        <v>1924</v>
      </c>
      <c r="R160" s="82">
        <v>45644</v>
      </c>
      <c r="S160" s="82" t="s">
        <v>20</v>
      </c>
      <c r="T160" s="138" t="str">
        <f ca="1">IF(AND('Inserimento dati'!$B$3=$H$2, Tabella3[[#This Row],[LUN]]="X"), "X",IF(AND('Inserimento dati'!$B$3=$I$2, Tabella3[[#This Row],[MAR]]="X"), "X", IF(AND('Inserimento dati'!$B$3=$J$2, Tabella3[[#This Row],[MER]]="X"), "X",IF(AND('Inserimento dati'!$B$3=$K$2, Tabella3[[#This Row],[GIO]]="X"), "X", IF(AND('Inserimento dati'!$B$3=$L$2, Tabella3[[#This Row],[VEN]]="X"), "X","")))))</f>
        <v/>
      </c>
      <c r="U160" s="154" t="str">
        <f t="shared" ca="1" si="7"/>
        <v/>
      </c>
    </row>
    <row r="161" spans="1:21" ht="23.25" x14ac:dyDescent="0.25">
      <c r="A161" s="84"/>
      <c r="B161" s="84" t="str">
        <f t="shared" si="8"/>
        <v>X</v>
      </c>
      <c r="C161" s="84" t="str">
        <f>IF(OR(Tabella3[[#This Row],[LUN]]="X",Tabella3[[#This Row],[MAR]]="X",Tabella3[[#This Row],[MER]]="X",Tabella3[[#This Row],[GIO]]="X",Tabella3[[#This Row],[VEN]]="X",),"X","")</f>
        <v/>
      </c>
      <c r="D161" s="85" t="s">
        <v>10</v>
      </c>
      <c r="E161" s="81" t="s">
        <v>1925</v>
      </c>
      <c r="F161" s="81">
        <v>800</v>
      </c>
      <c r="G161" s="81" t="s">
        <v>1926</v>
      </c>
      <c r="H161" s="83"/>
      <c r="I161" s="83"/>
      <c r="J161" s="83"/>
      <c r="K161" s="83"/>
      <c r="L161" s="83"/>
      <c r="M161" s="81" t="s">
        <v>52</v>
      </c>
      <c r="N161" s="85"/>
      <c r="O161" s="85"/>
      <c r="P161" s="81"/>
      <c r="Q161" s="81" t="s">
        <v>1927</v>
      </c>
      <c r="R161" s="82">
        <v>45643</v>
      </c>
      <c r="S161" s="82" t="s">
        <v>23</v>
      </c>
      <c r="T161" s="138" t="str">
        <f ca="1">IF(AND('Inserimento dati'!$B$3=$H$2, Tabella3[[#This Row],[LUN]]="X"), "X",IF(AND('Inserimento dati'!$B$3=$I$2, Tabella3[[#This Row],[MAR]]="X"), "X", IF(AND('Inserimento dati'!$B$3=$J$2, Tabella3[[#This Row],[MER]]="X"), "X",IF(AND('Inserimento dati'!$B$3=$K$2, Tabella3[[#This Row],[GIO]]="X"), "X", IF(AND('Inserimento dati'!$B$3=$L$2, Tabella3[[#This Row],[VEN]]="X"), "X","")))))</f>
        <v/>
      </c>
      <c r="U161" s="154" t="str">
        <f t="shared" ca="1" si="7"/>
        <v/>
      </c>
    </row>
    <row r="162" spans="1:21" ht="23.25" x14ac:dyDescent="0.25">
      <c r="A162" s="84"/>
      <c r="B162" s="84" t="str">
        <f t="shared" si="8"/>
        <v>X</v>
      </c>
      <c r="C162" s="84" t="str">
        <f>IF(OR(Tabella3[[#This Row],[LUN]]="X",Tabella3[[#This Row],[MAR]]="X",Tabella3[[#This Row],[MER]]="X",Tabella3[[#This Row],[GIO]]="X",Tabella3[[#This Row],[VEN]]="X",),"X","")</f>
        <v/>
      </c>
      <c r="D162" s="85" t="s">
        <v>10</v>
      </c>
      <c r="E162" s="81" t="s">
        <v>1928</v>
      </c>
      <c r="F162" s="81">
        <v>1800</v>
      </c>
      <c r="G162" s="81" t="s">
        <v>1929</v>
      </c>
      <c r="H162" s="83"/>
      <c r="I162" s="83"/>
      <c r="J162" s="83"/>
      <c r="K162" s="83"/>
      <c r="L162" s="83"/>
      <c r="M162" s="81" t="s">
        <v>52</v>
      </c>
      <c r="N162" s="85"/>
      <c r="O162" s="85"/>
      <c r="P162" s="81"/>
      <c r="Q162" s="81"/>
      <c r="R162" s="82">
        <v>45643</v>
      </c>
      <c r="S162" s="82" t="s">
        <v>238</v>
      </c>
      <c r="T162" s="138" t="str">
        <f ca="1">IF(AND('Inserimento dati'!$B$3=$H$2, Tabella3[[#This Row],[LUN]]="X"), "X",IF(AND('Inserimento dati'!$B$3=$I$2, Tabella3[[#This Row],[MAR]]="X"), "X", IF(AND('Inserimento dati'!$B$3=$J$2, Tabella3[[#This Row],[MER]]="X"), "X",IF(AND('Inserimento dati'!$B$3=$K$2, Tabella3[[#This Row],[GIO]]="X"), "X", IF(AND('Inserimento dati'!$B$3=$L$2, Tabella3[[#This Row],[VEN]]="X"), "X","")))))</f>
        <v/>
      </c>
      <c r="U162" s="154" t="str">
        <f t="shared" ca="1" si="7"/>
        <v/>
      </c>
    </row>
    <row r="163" spans="1:21" ht="30" x14ac:dyDescent="0.25">
      <c r="A163" s="84"/>
      <c r="B163" s="84" t="str">
        <f t="shared" si="8"/>
        <v>X</v>
      </c>
      <c r="C163" s="84" t="str">
        <f>IF(OR(Tabella3[[#This Row],[LUN]]="X",Tabella3[[#This Row],[MAR]]="X",Tabella3[[#This Row],[MER]]="X",Tabella3[[#This Row],[GIO]]="X",Tabella3[[#This Row],[VEN]]="X",),"X","")</f>
        <v/>
      </c>
      <c r="D163" s="85" t="s">
        <v>10</v>
      </c>
      <c r="E163" s="81" t="s">
        <v>1930</v>
      </c>
      <c r="F163" s="81">
        <v>800</v>
      </c>
      <c r="G163" s="81" t="s">
        <v>1912</v>
      </c>
      <c r="H163" s="83"/>
      <c r="I163" s="83"/>
      <c r="J163" s="83"/>
      <c r="K163" s="83"/>
      <c r="L163" s="83"/>
      <c r="M163" s="81" t="s">
        <v>52</v>
      </c>
      <c r="N163" s="85"/>
      <c r="O163" s="85"/>
      <c r="P163" s="81"/>
      <c r="Q163" s="81" t="s">
        <v>1931</v>
      </c>
      <c r="R163" s="82"/>
      <c r="S163" s="82"/>
      <c r="T163" s="138" t="str">
        <f ca="1">IF(AND('Inserimento dati'!$B$3=$H$2, Tabella3[[#This Row],[LUN]]="X"), "X",IF(AND('Inserimento dati'!$B$3=$I$2, Tabella3[[#This Row],[MAR]]="X"), "X", IF(AND('Inserimento dati'!$B$3=$J$2, Tabella3[[#This Row],[MER]]="X"), "X",IF(AND('Inserimento dati'!$B$3=$K$2, Tabella3[[#This Row],[GIO]]="X"), "X", IF(AND('Inserimento dati'!$B$3=$L$2, Tabella3[[#This Row],[VEN]]="X"), "X","")))))</f>
        <v/>
      </c>
      <c r="U163" s="154" t="str">
        <f t="shared" ca="1" si="7"/>
        <v/>
      </c>
    </row>
    <row r="164" spans="1:21" ht="23.25" x14ac:dyDescent="0.25">
      <c r="A164" s="84"/>
      <c r="B164" s="84" t="str">
        <f t="shared" si="8"/>
        <v>X</v>
      </c>
      <c r="C164" s="84" t="str">
        <f>IF(OR(Tabella3[[#This Row],[LUN]]="X",Tabella3[[#This Row],[MAR]]="X",Tabella3[[#This Row],[MER]]="X",Tabella3[[#This Row],[GIO]]="X",Tabella3[[#This Row],[VEN]]="X",),"X","")</f>
        <v/>
      </c>
      <c r="D164" s="85" t="s">
        <v>10</v>
      </c>
      <c r="E164" s="81" t="s">
        <v>1932</v>
      </c>
      <c r="F164" s="81" t="s">
        <v>201</v>
      </c>
      <c r="G164" s="81" t="s">
        <v>1933</v>
      </c>
      <c r="H164" s="83"/>
      <c r="I164" s="83"/>
      <c r="J164" s="83"/>
      <c r="K164" s="83"/>
      <c r="L164" s="83"/>
      <c r="M164" s="81" t="s">
        <v>52</v>
      </c>
      <c r="N164" s="85"/>
      <c r="O164" s="85"/>
      <c r="P164" s="81"/>
      <c r="Q164" s="81" t="s">
        <v>1555</v>
      </c>
      <c r="R164" s="82">
        <v>45642</v>
      </c>
      <c r="S164" s="82" t="s">
        <v>1838</v>
      </c>
      <c r="T164" s="138" t="str">
        <f ca="1">IF(AND('Inserimento dati'!$B$3=$H$2, Tabella3[[#This Row],[LUN]]="X"), "X",IF(AND('Inserimento dati'!$B$3=$I$2, Tabella3[[#This Row],[MAR]]="X"), "X", IF(AND('Inserimento dati'!$B$3=$J$2, Tabella3[[#This Row],[MER]]="X"), "X",IF(AND('Inserimento dati'!$B$3=$K$2, Tabella3[[#This Row],[GIO]]="X"), "X", IF(AND('Inserimento dati'!$B$3=$L$2, Tabella3[[#This Row],[VEN]]="X"), "X","")))))</f>
        <v/>
      </c>
      <c r="U164" s="154" t="str">
        <f t="shared" ca="1" si="7"/>
        <v/>
      </c>
    </row>
    <row r="165" spans="1:21" ht="23.25" x14ac:dyDescent="0.25">
      <c r="A165" s="84"/>
      <c r="B165" s="84" t="str">
        <f t="shared" si="8"/>
        <v>X</v>
      </c>
      <c r="C165" s="84" t="str">
        <f>IF(OR(Tabella3[[#This Row],[LUN]]="X",Tabella3[[#This Row],[MAR]]="X",Tabella3[[#This Row],[MER]]="X",Tabella3[[#This Row],[GIO]]="X",Tabella3[[#This Row],[VEN]]="X",),"X","")</f>
        <v/>
      </c>
      <c r="D165" s="85" t="s">
        <v>10</v>
      </c>
      <c r="E165" s="81" t="s">
        <v>1934</v>
      </c>
      <c r="F165" s="81">
        <v>1800</v>
      </c>
      <c r="G165" s="81" t="s">
        <v>1935</v>
      </c>
      <c r="H165" s="83"/>
      <c r="I165" s="83"/>
      <c r="J165" s="83"/>
      <c r="K165" s="83"/>
      <c r="L165" s="83"/>
      <c r="M165" s="81" t="s">
        <v>52</v>
      </c>
      <c r="N165" s="85"/>
      <c r="O165" s="85"/>
      <c r="P165" s="81"/>
      <c r="Q165" s="81" t="s">
        <v>427</v>
      </c>
      <c r="R165" s="82">
        <v>45642</v>
      </c>
      <c r="S165" s="82" t="s">
        <v>238</v>
      </c>
      <c r="T165" s="138" t="str">
        <f ca="1">IF(AND('Inserimento dati'!$B$3=$H$2, Tabella3[[#This Row],[LUN]]="X"), "X",IF(AND('Inserimento dati'!$B$3=$I$2, Tabella3[[#This Row],[MAR]]="X"), "X", IF(AND('Inserimento dati'!$B$3=$J$2, Tabella3[[#This Row],[MER]]="X"), "X",IF(AND('Inserimento dati'!$B$3=$K$2, Tabella3[[#This Row],[GIO]]="X"), "X", IF(AND('Inserimento dati'!$B$3=$L$2, Tabella3[[#This Row],[VEN]]="X"), "X","")))))</f>
        <v/>
      </c>
      <c r="U165" s="154" t="str">
        <f t="shared" ca="1" si="7"/>
        <v/>
      </c>
    </row>
    <row r="166" spans="1:21" ht="30" x14ac:dyDescent="0.25">
      <c r="A166" s="84"/>
      <c r="B166" s="84" t="str">
        <f t="shared" si="8"/>
        <v>X</v>
      </c>
      <c r="C166" s="84" t="str">
        <f>IF(OR(Tabella3[[#This Row],[LUN]]="X",Tabella3[[#This Row],[MAR]]="X",Tabella3[[#This Row],[MER]]="X",Tabella3[[#This Row],[GIO]]="X",Tabella3[[#This Row],[VEN]]="X",),"X","")</f>
        <v/>
      </c>
      <c r="D166" s="85" t="s">
        <v>10</v>
      </c>
      <c r="E166" s="81" t="s">
        <v>1936</v>
      </c>
      <c r="F166" s="81" t="s">
        <v>199</v>
      </c>
      <c r="G166" s="81" t="s">
        <v>1937</v>
      </c>
      <c r="H166" s="83"/>
      <c r="I166" s="83"/>
      <c r="J166" s="83"/>
      <c r="K166" s="83"/>
      <c r="L166" s="83"/>
      <c r="M166" s="81" t="s">
        <v>52</v>
      </c>
      <c r="N166" s="85"/>
      <c r="O166" s="85"/>
      <c r="P166" s="81"/>
      <c r="Q166" s="81" t="s">
        <v>1938</v>
      </c>
      <c r="R166" s="82">
        <v>45642</v>
      </c>
      <c r="S166" s="82" t="s">
        <v>1470</v>
      </c>
      <c r="T166" s="138" t="str">
        <f ca="1">IF(AND('Inserimento dati'!$B$3=$H$2, Tabella3[[#This Row],[LUN]]="X"), "X",IF(AND('Inserimento dati'!$B$3=$I$2, Tabella3[[#This Row],[MAR]]="X"), "X", IF(AND('Inserimento dati'!$B$3=$J$2, Tabella3[[#This Row],[MER]]="X"), "X",IF(AND('Inserimento dati'!$B$3=$K$2, Tabella3[[#This Row],[GIO]]="X"), "X", IF(AND('Inserimento dati'!$B$3=$L$2, Tabella3[[#This Row],[VEN]]="X"), "X","")))))</f>
        <v/>
      </c>
      <c r="U166" s="154" t="str">
        <f t="shared" ca="1" si="7"/>
        <v/>
      </c>
    </row>
    <row r="167" spans="1:21" ht="30" x14ac:dyDescent="0.25">
      <c r="A167" s="84"/>
      <c r="B167" s="84" t="str">
        <f t="shared" si="8"/>
        <v>X</v>
      </c>
      <c r="C167" s="84" t="str">
        <f>IF(OR(Tabella3[[#This Row],[LUN]]="X",Tabella3[[#This Row],[MAR]]="X",Tabella3[[#This Row],[MER]]="X",Tabella3[[#This Row],[GIO]]="X",Tabella3[[#This Row],[VEN]]="X",),"X","")</f>
        <v/>
      </c>
      <c r="D167" s="85" t="s">
        <v>10</v>
      </c>
      <c r="E167" s="81" t="s">
        <v>1939</v>
      </c>
      <c r="F167" s="81" t="s">
        <v>202</v>
      </c>
      <c r="G167" s="81" t="s">
        <v>1940</v>
      </c>
      <c r="H167" s="83"/>
      <c r="I167" s="83"/>
      <c r="J167" s="83"/>
      <c r="K167" s="83"/>
      <c r="L167" s="83"/>
      <c r="M167" s="81" t="s">
        <v>52</v>
      </c>
      <c r="N167" s="85"/>
      <c r="O167" s="85"/>
      <c r="P167" s="81"/>
      <c r="Q167" s="81"/>
      <c r="R167" s="82">
        <v>45638</v>
      </c>
      <c r="S167" s="82" t="s">
        <v>9</v>
      </c>
      <c r="T167" s="138" t="str">
        <f ca="1">IF(AND('Inserimento dati'!$B$3=$H$2, Tabella3[[#This Row],[LUN]]="X"), "X",IF(AND('Inserimento dati'!$B$3=$I$2, Tabella3[[#This Row],[MAR]]="X"), "X", IF(AND('Inserimento dati'!$B$3=$J$2, Tabella3[[#This Row],[MER]]="X"), "X",IF(AND('Inserimento dati'!$B$3=$K$2, Tabella3[[#This Row],[GIO]]="X"), "X", IF(AND('Inserimento dati'!$B$3=$L$2, Tabella3[[#This Row],[VEN]]="X"), "X","")))))</f>
        <v/>
      </c>
      <c r="U167" s="154" t="str">
        <f t="shared" ca="1" si="7"/>
        <v xml:space="preserve"> 1021089</v>
      </c>
    </row>
    <row r="168" spans="1:21" ht="23.25" x14ac:dyDescent="0.25">
      <c r="A168" s="84"/>
      <c r="B168" s="84" t="str">
        <f t="shared" si="8"/>
        <v>X</v>
      </c>
      <c r="C168" s="84" t="str">
        <f>IF(OR(Tabella3[[#This Row],[LUN]]="X",Tabella3[[#This Row],[MAR]]="X",Tabella3[[#This Row],[MER]]="X",Tabella3[[#This Row],[GIO]]="X",Tabella3[[#This Row],[VEN]]="X",),"X","")</f>
        <v/>
      </c>
      <c r="D168" s="85" t="s">
        <v>10</v>
      </c>
      <c r="E168" s="81" t="s">
        <v>1941</v>
      </c>
      <c r="F168" s="81" t="s">
        <v>198</v>
      </c>
      <c r="G168" s="81" t="s">
        <v>1942</v>
      </c>
      <c r="H168" s="83"/>
      <c r="I168" s="83"/>
      <c r="J168" s="83"/>
      <c r="K168" s="83"/>
      <c r="L168" s="83"/>
      <c r="M168" s="81" t="s">
        <v>52</v>
      </c>
      <c r="N168" s="85"/>
      <c r="O168" s="85"/>
      <c r="P168" s="81"/>
      <c r="Q168" s="81" t="s">
        <v>1943</v>
      </c>
      <c r="R168" s="82">
        <v>45636</v>
      </c>
      <c r="S168" s="82" t="s">
        <v>238</v>
      </c>
      <c r="T168" s="138" t="str">
        <f ca="1">IF(AND('Inserimento dati'!$B$3=$H$2, Tabella3[[#This Row],[LUN]]="X"), "X",IF(AND('Inserimento dati'!$B$3=$I$2, Tabella3[[#This Row],[MAR]]="X"), "X", IF(AND('Inserimento dati'!$B$3=$J$2, Tabella3[[#This Row],[MER]]="X"), "X",IF(AND('Inserimento dati'!$B$3=$K$2, Tabella3[[#This Row],[GIO]]="X"), "X", IF(AND('Inserimento dati'!$B$3=$L$2, Tabella3[[#This Row],[VEN]]="X"), "X","")))))</f>
        <v/>
      </c>
      <c r="U168" s="154" t="str">
        <f t="shared" ca="1" si="7"/>
        <v xml:space="preserve"> 1021220</v>
      </c>
    </row>
    <row r="169" spans="1:21" ht="23.25" x14ac:dyDescent="0.25">
      <c r="A169" s="84"/>
      <c r="B169" s="84" t="str">
        <f t="shared" si="8"/>
        <v>X</v>
      </c>
      <c r="C169" s="84" t="str">
        <f>IF(OR(Tabella3[[#This Row],[LUN]]="X",Tabella3[[#This Row],[MAR]]="X",Tabella3[[#This Row],[MER]]="X",Tabella3[[#This Row],[GIO]]="X",Tabella3[[#This Row],[VEN]]="X",),"X","")</f>
        <v/>
      </c>
      <c r="D169" s="85" t="s">
        <v>10</v>
      </c>
      <c r="E169" s="81" t="s">
        <v>1944</v>
      </c>
      <c r="F169" s="81" t="s">
        <v>202</v>
      </c>
      <c r="G169" s="81" t="s">
        <v>1945</v>
      </c>
      <c r="H169" s="83"/>
      <c r="I169" s="83"/>
      <c r="J169" s="83"/>
      <c r="K169" s="83"/>
      <c r="L169" s="83"/>
      <c r="M169" s="81" t="s">
        <v>52</v>
      </c>
      <c r="N169" s="85"/>
      <c r="O169" s="85"/>
      <c r="P169" s="81"/>
      <c r="Q169" s="81"/>
      <c r="R169" s="82">
        <v>45632</v>
      </c>
      <c r="S169" s="82"/>
      <c r="T169" s="138" t="str">
        <f ca="1">IF(AND('Inserimento dati'!$B$3=$H$2, Tabella3[[#This Row],[LUN]]="X"), "X",IF(AND('Inserimento dati'!$B$3=$I$2, Tabella3[[#This Row],[MAR]]="X"), "X", IF(AND('Inserimento dati'!$B$3=$J$2, Tabella3[[#This Row],[MER]]="X"), "X",IF(AND('Inserimento dati'!$B$3=$K$2, Tabella3[[#This Row],[GIO]]="X"), "X", IF(AND('Inserimento dati'!$B$3=$L$2, Tabella3[[#This Row],[VEN]]="X"), "X","")))))</f>
        <v/>
      </c>
      <c r="U169" s="154" t="str">
        <f t="shared" ca="1" si="7"/>
        <v/>
      </c>
    </row>
    <row r="170" spans="1:21" ht="23.25" x14ac:dyDescent="0.25">
      <c r="A170" s="84"/>
      <c r="B170" s="84" t="str">
        <f t="shared" si="8"/>
        <v>X</v>
      </c>
      <c r="C170" s="84" t="str">
        <f>IF(OR(Tabella3[[#This Row],[LUN]]="X",Tabella3[[#This Row],[MAR]]="X",Tabella3[[#This Row],[MER]]="X",Tabella3[[#This Row],[GIO]]="X",Tabella3[[#This Row],[VEN]]="X",),"X","")</f>
        <v/>
      </c>
      <c r="D170" s="85" t="s">
        <v>10</v>
      </c>
      <c r="E170" s="81" t="s">
        <v>1946</v>
      </c>
      <c r="F170" s="81" t="s">
        <v>201</v>
      </c>
      <c r="G170" s="81" t="s">
        <v>1947</v>
      </c>
      <c r="H170" s="83"/>
      <c r="I170" s="83"/>
      <c r="J170" s="83"/>
      <c r="K170" s="83"/>
      <c r="L170" s="83"/>
      <c r="M170" s="81" t="s">
        <v>52</v>
      </c>
      <c r="N170" s="85"/>
      <c r="O170" s="85"/>
      <c r="P170" s="81"/>
      <c r="Q170" s="81"/>
      <c r="R170" s="82">
        <v>45632</v>
      </c>
      <c r="S170" s="82"/>
      <c r="T170" s="138" t="str">
        <f ca="1">IF(AND('Inserimento dati'!$B$3=$H$2, Tabella3[[#This Row],[LUN]]="X"), "X",IF(AND('Inserimento dati'!$B$3=$I$2, Tabella3[[#This Row],[MAR]]="X"), "X", IF(AND('Inserimento dati'!$B$3=$J$2, Tabella3[[#This Row],[MER]]="X"), "X",IF(AND('Inserimento dati'!$B$3=$K$2, Tabella3[[#This Row],[GIO]]="X"), "X", IF(AND('Inserimento dati'!$B$3=$L$2, Tabella3[[#This Row],[VEN]]="X"), "X","")))))</f>
        <v/>
      </c>
      <c r="U170" s="154" t="str">
        <f t="shared" ca="1" si="7"/>
        <v/>
      </c>
    </row>
    <row r="171" spans="1:21" ht="23.25" x14ac:dyDescent="0.25">
      <c r="A171" s="84"/>
      <c r="B171" s="84" t="str">
        <f t="shared" si="8"/>
        <v>X</v>
      </c>
      <c r="C171" s="84" t="str">
        <f>IF(OR(Tabella3[[#This Row],[LUN]]="X",Tabella3[[#This Row],[MAR]]="X",Tabella3[[#This Row],[MER]]="X",Tabella3[[#This Row],[GIO]]="X",Tabella3[[#This Row],[VEN]]="X",),"X","")</f>
        <v/>
      </c>
      <c r="D171" s="85" t="s">
        <v>10</v>
      </c>
      <c r="E171" s="81" t="s">
        <v>1948</v>
      </c>
      <c r="F171" s="81">
        <v>2200</v>
      </c>
      <c r="G171" s="81" t="s">
        <v>1949</v>
      </c>
      <c r="H171" s="83"/>
      <c r="I171" s="83"/>
      <c r="J171" s="83"/>
      <c r="K171" s="83"/>
      <c r="L171" s="83"/>
      <c r="M171" s="81" t="s">
        <v>52</v>
      </c>
      <c r="N171" s="85"/>
      <c r="O171" s="85"/>
      <c r="P171" s="81"/>
      <c r="Q171" s="81"/>
      <c r="R171" s="82">
        <v>45623</v>
      </c>
      <c r="S171" s="82" t="s">
        <v>238</v>
      </c>
      <c r="T171" s="138" t="str">
        <f ca="1">IF(AND('Inserimento dati'!$B$3=$H$2, Tabella3[[#This Row],[LUN]]="X"), "X",IF(AND('Inserimento dati'!$B$3=$I$2, Tabella3[[#This Row],[MAR]]="X"), "X", IF(AND('Inserimento dati'!$B$3=$J$2, Tabella3[[#This Row],[MER]]="X"), "X",IF(AND('Inserimento dati'!$B$3=$K$2, Tabella3[[#This Row],[GIO]]="X"), "X", IF(AND('Inserimento dati'!$B$3=$L$2, Tabella3[[#This Row],[VEN]]="X"), "X","")))))</f>
        <v/>
      </c>
      <c r="U171" s="154" t="str">
        <f t="shared" ca="1" si="7"/>
        <v/>
      </c>
    </row>
    <row r="172" spans="1:21" ht="30" x14ac:dyDescent="0.25">
      <c r="A172" s="84"/>
      <c r="B172" s="84" t="str">
        <f t="shared" si="8"/>
        <v>X</v>
      </c>
      <c r="C172" s="84" t="str">
        <f>IF(OR(Tabella3[[#This Row],[LUN]]="X",Tabella3[[#This Row],[MAR]]="X",Tabella3[[#This Row],[MER]]="X",Tabella3[[#This Row],[GIO]]="X",Tabella3[[#This Row],[VEN]]="X",),"X","")</f>
        <v/>
      </c>
      <c r="D172" s="85" t="s">
        <v>10</v>
      </c>
      <c r="E172" s="81" t="s">
        <v>1950</v>
      </c>
      <c r="F172" s="81">
        <v>2400</v>
      </c>
      <c r="G172" s="81" t="s">
        <v>1951</v>
      </c>
      <c r="H172" s="83"/>
      <c r="I172" s="83"/>
      <c r="J172" s="83"/>
      <c r="K172" s="83"/>
      <c r="L172" s="83"/>
      <c r="M172" s="81" t="s">
        <v>52</v>
      </c>
      <c r="N172" s="85"/>
      <c r="O172" s="85"/>
      <c r="P172" s="81"/>
      <c r="Q172" s="81" t="s">
        <v>1952</v>
      </c>
      <c r="R172" s="82">
        <v>45635</v>
      </c>
      <c r="S172" s="82" t="s">
        <v>20</v>
      </c>
      <c r="T172" s="138" t="str">
        <f ca="1">IF(AND('Inserimento dati'!$B$3=$H$2, Tabella3[[#This Row],[LUN]]="X"), "X",IF(AND('Inserimento dati'!$B$3=$I$2, Tabella3[[#This Row],[MAR]]="X"), "X", IF(AND('Inserimento dati'!$B$3=$J$2, Tabella3[[#This Row],[MER]]="X"), "X",IF(AND('Inserimento dati'!$B$3=$K$2, Tabella3[[#This Row],[GIO]]="X"), "X", IF(AND('Inserimento dati'!$B$3=$L$2, Tabella3[[#This Row],[VEN]]="X"), "X","")))))</f>
        <v/>
      </c>
      <c r="U172" s="154" t="str">
        <f t="shared" ca="1" si="7"/>
        <v/>
      </c>
    </row>
    <row r="173" spans="1:21" ht="30" x14ac:dyDescent="0.25">
      <c r="A173" s="84"/>
      <c r="B173" s="84" t="str">
        <f t="shared" ref="B173:B204" si="9">IF(OR(A173="x",A173="X"),"",IF(ISBLANK(A173),"X",""))</f>
        <v>X</v>
      </c>
      <c r="C173" s="84" t="str">
        <f>IF(OR(Tabella3[[#This Row],[LUN]]="X",Tabella3[[#This Row],[MAR]]="X",Tabella3[[#This Row],[MER]]="X",Tabella3[[#This Row],[GIO]]="X",Tabella3[[#This Row],[VEN]]="X",),"X","")</f>
        <v/>
      </c>
      <c r="D173" s="85" t="s">
        <v>10</v>
      </c>
      <c r="E173" s="81" t="s">
        <v>1953</v>
      </c>
      <c r="F173" s="81">
        <v>700</v>
      </c>
      <c r="G173" s="81" t="s">
        <v>1954</v>
      </c>
      <c r="H173" s="83"/>
      <c r="I173" s="83"/>
      <c r="J173" s="83"/>
      <c r="K173" s="83"/>
      <c r="L173" s="83"/>
      <c r="M173" s="81" t="s">
        <v>52</v>
      </c>
      <c r="N173" s="85"/>
      <c r="O173" s="85"/>
      <c r="P173" s="81"/>
      <c r="Q173" s="81" t="s">
        <v>1955</v>
      </c>
      <c r="R173" s="82">
        <v>45635</v>
      </c>
      <c r="S173" s="82" t="s">
        <v>535</v>
      </c>
      <c r="T173" s="138" t="str">
        <f ca="1">IF(AND('Inserimento dati'!$B$3=$H$2, Tabella3[[#This Row],[LUN]]="X"), "X",IF(AND('Inserimento dati'!$B$3=$I$2, Tabella3[[#This Row],[MAR]]="X"), "X", IF(AND('Inserimento dati'!$B$3=$J$2, Tabella3[[#This Row],[MER]]="X"), "X",IF(AND('Inserimento dati'!$B$3=$K$2, Tabella3[[#This Row],[GIO]]="X"), "X", IF(AND('Inserimento dati'!$B$3=$L$2, Tabella3[[#This Row],[VEN]]="X"), "X","")))))</f>
        <v/>
      </c>
      <c r="U173" s="154" t="str">
        <f t="shared" ca="1" si="7"/>
        <v/>
      </c>
    </row>
    <row r="174" spans="1:21" ht="30" x14ac:dyDescent="0.25">
      <c r="A174" s="84"/>
      <c r="B174" s="84" t="str">
        <f t="shared" si="9"/>
        <v>X</v>
      </c>
      <c r="C174" s="84" t="str">
        <f>IF(OR(Tabella3[[#This Row],[LUN]]="X",Tabella3[[#This Row],[MAR]]="X",Tabella3[[#This Row],[MER]]="X",Tabella3[[#This Row],[GIO]]="X",Tabella3[[#This Row],[VEN]]="X",),"X","")</f>
        <v/>
      </c>
      <c r="D174" s="85" t="s">
        <v>10</v>
      </c>
      <c r="E174" s="81" t="s">
        <v>1956</v>
      </c>
      <c r="F174" s="81">
        <v>1100</v>
      </c>
      <c r="G174" s="81" t="s">
        <v>1957</v>
      </c>
      <c r="H174" s="83"/>
      <c r="I174" s="83"/>
      <c r="J174" s="83"/>
      <c r="K174" s="83"/>
      <c r="L174" s="83"/>
      <c r="M174" s="81" t="s">
        <v>52</v>
      </c>
      <c r="N174" s="85"/>
      <c r="O174" s="85"/>
      <c r="P174" s="81"/>
      <c r="Q174" s="81" t="s">
        <v>1958</v>
      </c>
      <c r="R174" s="82">
        <v>45635</v>
      </c>
      <c r="S174" s="82" t="s">
        <v>9</v>
      </c>
      <c r="T174" s="138" t="str">
        <f ca="1">IF(AND('Inserimento dati'!$B$3=$H$2, Tabella3[[#This Row],[LUN]]="X"), "X",IF(AND('Inserimento dati'!$B$3=$I$2, Tabella3[[#This Row],[MAR]]="X"), "X", IF(AND('Inserimento dati'!$B$3=$J$2, Tabella3[[#This Row],[MER]]="X"), "X",IF(AND('Inserimento dati'!$B$3=$K$2, Tabella3[[#This Row],[GIO]]="X"), "X", IF(AND('Inserimento dati'!$B$3=$L$2, Tabella3[[#This Row],[VEN]]="X"), "X","")))))</f>
        <v/>
      </c>
      <c r="U174" s="154" t="str">
        <f t="shared" ca="1" si="7"/>
        <v/>
      </c>
    </row>
    <row r="175" spans="1:21" ht="23.25" x14ac:dyDescent="0.25">
      <c r="A175" s="84"/>
      <c r="B175" s="84" t="str">
        <f t="shared" si="9"/>
        <v>X</v>
      </c>
      <c r="C175" s="84" t="str">
        <f>IF(OR(Tabella3[[#This Row],[LUN]]="X",Tabella3[[#This Row],[MAR]]="X",Tabella3[[#This Row],[MER]]="X",Tabella3[[#This Row],[GIO]]="X",Tabella3[[#This Row],[VEN]]="X",),"X","")</f>
        <v/>
      </c>
      <c r="D175" s="85" t="s">
        <v>10</v>
      </c>
      <c r="E175" s="81" t="s">
        <v>1959</v>
      </c>
      <c r="F175" s="81">
        <v>2200</v>
      </c>
      <c r="G175" s="81" t="s">
        <v>1960</v>
      </c>
      <c r="H175" s="83"/>
      <c r="I175" s="83"/>
      <c r="J175" s="83"/>
      <c r="K175" s="83"/>
      <c r="L175" s="83"/>
      <c r="M175" s="81" t="s">
        <v>52</v>
      </c>
      <c r="N175" s="85"/>
      <c r="O175" s="85"/>
      <c r="P175" s="81"/>
      <c r="Q175" s="81"/>
      <c r="R175" s="82">
        <v>45631</v>
      </c>
      <c r="S175" s="82"/>
      <c r="T175" s="138" t="str">
        <f ca="1">IF(AND('Inserimento dati'!$B$3=$H$2, Tabella3[[#This Row],[LUN]]="X"), "X",IF(AND('Inserimento dati'!$B$3=$I$2, Tabella3[[#This Row],[MAR]]="X"), "X", IF(AND('Inserimento dati'!$B$3=$J$2, Tabella3[[#This Row],[MER]]="X"), "X",IF(AND('Inserimento dati'!$B$3=$K$2, Tabella3[[#This Row],[GIO]]="X"), "X", IF(AND('Inserimento dati'!$B$3=$L$2, Tabella3[[#This Row],[VEN]]="X"), "X","")))))</f>
        <v/>
      </c>
      <c r="U175" s="154" t="str">
        <f t="shared" ca="1" si="7"/>
        <v/>
      </c>
    </row>
    <row r="176" spans="1:21" ht="23.25" x14ac:dyDescent="0.25">
      <c r="A176" s="84"/>
      <c r="B176" s="84" t="str">
        <f t="shared" si="9"/>
        <v>X</v>
      </c>
      <c r="C176" s="84" t="str">
        <f>IF(OR(Tabella3[[#This Row],[LUN]]="X",Tabella3[[#This Row],[MAR]]="X",Tabella3[[#This Row],[MER]]="X",Tabella3[[#This Row],[GIO]]="X",Tabella3[[#This Row],[VEN]]="X",),"X","")</f>
        <v/>
      </c>
      <c r="D176" s="85" t="s">
        <v>10</v>
      </c>
      <c r="E176" s="81" t="s">
        <v>1961</v>
      </c>
      <c r="F176" s="81">
        <v>2200</v>
      </c>
      <c r="G176" s="81" t="s">
        <v>1962</v>
      </c>
      <c r="H176" s="83"/>
      <c r="I176" s="83"/>
      <c r="J176" s="83"/>
      <c r="K176" s="83"/>
      <c r="L176" s="83"/>
      <c r="M176" s="81" t="s">
        <v>52</v>
      </c>
      <c r="N176" s="85"/>
      <c r="O176" s="85"/>
      <c r="P176" s="81"/>
      <c r="Q176" s="81"/>
      <c r="R176" s="82">
        <v>45631</v>
      </c>
      <c r="S176" s="82"/>
      <c r="T176" s="138" t="str">
        <f ca="1">IF(AND('Inserimento dati'!$B$3=$H$2, Tabella3[[#This Row],[LUN]]="X"), "X",IF(AND('Inserimento dati'!$B$3=$I$2, Tabella3[[#This Row],[MAR]]="X"), "X", IF(AND('Inserimento dati'!$B$3=$J$2, Tabella3[[#This Row],[MER]]="X"), "X",IF(AND('Inserimento dati'!$B$3=$K$2, Tabella3[[#This Row],[GIO]]="X"), "X", IF(AND('Inserimento dati'!$B$3=$L$2, Tabella3[[#This Row],[VEN]]="X"), "X","")))))</f>
        <v/>
      </c>
      <c r="U176" s="154" t="str">
        <f t="shared" ca="1" si="7"/>
        <v/>
      </c>
    </row>
    <row r="177" spans="1:21" ht="30" x14ac:dyDescent="0.25">
      <c r="A177" s="84"/>
      <c r="B177" s="84" t="str">
        <f t="shared" si="9"/>
        <v>X</v>
      </c>
      <c r="C177" s="84" t="str">
        <f>IF(OR(Tabella3[[#This Row],[LUN]]="X",Tabella3[[#This Row],[MAR]]="X",Tabella3[[#This Row],[MER]]="X",Tabella3[[#This Row],[GIO]]="X",Tabella3[[#This Row],[VEN]]="X",),"X","")</f>
        <v/>
      </c>
      <c r="D177" s="85" t="s">
        <v>10</v>
      </c>
      <c r="E177" s="81" t="s">
        <v>1963</v>
      </c>
      <c r="F177" s="81" t="s">
        <v>199</v>
      </c>
      <c r="G177" s="81" t="s">
        <v>1964</v>
      </c>
      <c r="H177" s="83"/>
      <c r="I177" s="83"/>
      <c r="J177" s="83"/>
      <c r="K177" s="83"/>
      <c r="L177" s="83"/>
      <c r="M177" s="81" t="s">
        <v>52</v>
      </c>
      <c r="N177" s="85"/>
      <c r="O177" s="85"/>
      <c r="P177" s="81"/>
      <c r="Q177" s="81" t="s">
        <v>1965</v>
      </c>
      <c r="R177" s="82">
        <v>45628</v>
      </c>
      <c r="S177" s="82" t="s">
        <v>267</v>
      </c>
      <c r="T177" s="138" t="str">
        <f ca="1">IF(AND('Inserimento dati'!$B$3=$H$2, Tabella3[[#This Row],[LUN]]="X"), "X",IF(AND('Inserimento dati'!$B$3=$I$2, Tabella3[[#This Row],[MAR]]="X"), "X", IF(AND('Inserimento dati'!$B$3=$J$2, Tabella3[[#This Row],[MER]]="X"), "X",IF(AND('Inserimento dati'!$B$3=$K$2, Tabella3[[#This Row],[GIO]]="X"), "X", IF(AND('Inserimento dati'!$B$3=$L$2, Tabella3[[#This Row],[VEN]]="X"), "X","")))))</f>
        <v/>
      </c>
      <c r="U177" s="154" t="str">
        <f t="shared" ca="1" si="7"/>
        <v/>
      </c>
    </row>
    <row r="178" spans="1:21" ht="30" x14ac:dyDescent="0.25">
      <c r="A178" s="84"/>
      <c r="B178" s="84" t="str">
        <f t="shared" si="9"/>
        <v>X</v>
      </c>
      <c r="C178" s="84" t="str">
        <f>IF(OR(Tabella3[[#This Row],[LUN]]="X",Tabella3[[#This Row],[MAR]]="X",Tabella3[[#This Row],[MER]]="X",Tabella3[[#This Row],[GIO]]="X",Tabella3[[#This Row],[VEN]]="X",),"X","")</f>
        <v/>
      </c>
      <c r="D178" s="85" t="s">
        <v>10</v>
      </c>
      <c r="E178" s="81" t="s">
        <v>1966</v>
      </c>
      <c r="F178" s="81">
        <v>1800</v>
      </c>
      <c r="G178" s="81" t="s">
        <v>1967</v>
      </c>
      <c r="H178" s="83"/>
      <c r="I178" s="83"/>
      <c r="J178" s="83"/>
      <c r="K178" s="83"/>
      <c r="L178" s="83"/>
      <c r="M178" s="81" t="s">
        <v>52</v>
      </c>
      <c r="N178" s="85"/>
      <c r="O178" s="85"/>
      <c r="P178" s="81"/>
      <c r="Q178" s="81" t="s">
        <v>1968</v>
      </c>
      <c r="R178" s="82">
        <v>45624</v>
      </c>
      <c r="S178" s="82" t="s">
        <v>9</v>
      </c>
      <c r="T178" s="138" t="str">
        <f ca="1">IF(AND('Inserimento dati'!$B$3=$H$2, Tabella3[[#This Row],[LUN]]="X"), "X",IF(AND('Inserimento dati'!$B$3=$I$2, Tabella3[[#This Row],[MAR]]="X"), "X", IF(AND('Inserimento dati'!$B$3=$J$2, Tabella3[[#This Row],[MER]]="X"), "X",IF(AND('Inserimento dati'!$B$3=$K$2, Tabella3[[#This Row],[GIO]]="X"), "X", IF(AND('Inserimento dati'!$B$3=$L$2, Tabella3[[#This Row],[VEN]]="X"), "X","")))))</f>
        <v/>
      </c>
      <c r="U178" s="154" t="str">
        <f t="shared" ca="1" si="7"/>
        <v/>
      </c>
    </row>
    <row r="179" spans="1:21" ht="60" x14ac:dyDescent="0.25">
      <c r="A179" s="84"/>
      <c r="B179" s="84" t="str">
        <f t="shared" si="9"/>
        <v>X</v>
      </c>
      <c r="C179" s="84" t="str">
        <f>IF(OR(Tabella3[[#This Row],[LUN]]="X",Tabella3[[#This Row],[MAR]]="X",Tabella3[[#This Row],[MER]]="X",Tabella3[[#This Row],[GIO]]="X",Tabella3[[#This Row],[VEN]]="X",),"X","")</f>
        <v/>
      </c>
      <c r="D179" s="85" t="s">
        <v>10</v>
      </c>
      <c r="E179" s="81" t="s">
        <v>1969</v>
      </c>
      <c r="F179" s="81" t="s">
        <v>199</v>
      </c>
      <c r="G179" s="81" t="s">
        <v>1970</v>
      </c>
      <c r="H179" s="83"/>
      <c r="I179" s="83"/>
      <c r="J179" s="83"/>
      <c r="K179" s="83"/>
      <c r="L179" s="83"/>
      <c r="M179" s="81" t="s">
        <v>52</v>
      </c>
      <c r="N179" s="85"/>
      <c r="O179" s="85"/>
      <c r="P179" s="81"/>
      <c r="Q179" s="81" t="s">
        <v>1971</v>
      </c>
      <c r="R179" s="82">
        <v>45614</v>
      </c>
      <c r="S179" s="82" t="s">
        <v>1972</v>
      </c>
      <c r="T179" s="138" t="str">
        <f ca="1">IF(AND('Inserimento dati'!$B$3=$H$2, Tabella3[[#This Row],[LUN]]="X"), "X",IF(AND('Inserimento dati'!$B$3=$I$2, Tabella3[[#This Row],[MAR]]="X"), "X", IF(AND('Inserimento dati'!$B$3=$J$2, Tabella3[[#This Row],[MER]]="X"), "X",IF(AND('Inserimento dati'!$B$3=$K$2, Tabella3[[#This Row],[GIO]]="X"), "X", IF(AND('Inserimento dati'!$B$3=$L$2, Tabella3[[#This Row],[VEN]]="X"), "X","")))))</f>
        <v/>
      </c>
      <c r="U179" s="154" t="str">
        <f t="shared" ca="1" si="7"/>
        <v/>
      </c>
    </row>
    <row r="180" spans="1:21" ht="23.25" x14ac:dyDescent="0.25">
      <c r="A180" s="84"/>
      <c r="B180" s="84" t="str">
        <f t="shared" si="9"/>
        <v>X</v>
      </c>
      <c r="C180" s="84" t="str">
        <f>IF(OR(Tabella3[[#This Row],[LUN]]="X",Tabella3[[#This Row],[MAR]]="X",Tabella3[[#This Row],[MER]]="X",Tabella3[[#This Row],[GIO]]="X",Tabella3[[#This Row],[VEN]]="X",),"X","")</f>
        <v/>
      </c>
      <c r="D180" s="85" t="s">
        <v>10</v>
      </c>
      <c r="E180" s="81" t="s">
        <v>1973</v>
      </c>
      <c r="F180" s="81" t="s">
        <v>1974</v>
      </c>
      <c r="G180" s="81" t="s">
        <v>1975</v>
      </c>
      <c r="H180" s="83"/>
      <c r="I180" s="83"/>
      <c r="J180" s="83"/>
      <c r="K180" s="83"/>
      <c r="L180" s="83"/>
      <c r="M180" s="81" t="s">
        <v>52</v>
      </c>
      <c r="N180" s="85"/>
      <c r="O180" s="85"/>
      <c r="P180" s="81"/>
      <c r="Q180" s="81"/>
      <c r="R180" s="82">
        <v>45623</v>
      </c>
      <c r="S180" s="82"/>
      <c r="T180" s="138" t="str">
        <f ca="1">IF(AND('Inserimento dati'!$B$3=$H$2, Tabella3[[#This Row],[LUN]]="X"), "X",IF(AND('Inserimento dati'!$B$3=$I$2, Tabella3[[#This Row],[MAR]]="X"), "X", IF(AND('Inserimento dati'!$B$3=$J$2, Tabella3[[#This Row],[MER]]="X"), "X",IF(AND('Inserimento dati'!$B$3=$K$2, Tabella3[[#This Row],[GIO]]="X"), "X", IF(AND('Inserimento dati'!$B$3=$L$2, Tabella3[[#This Row],[VEN]]="X"), "X","")))))</f>
        <v/>
      </c>
      <c r="U180" s="154" t="str">
        <f t="shared" ca="1" si="7"/>
        <v/>
      </c>
    </row>
    <row r="181" spans="1:21" ht="23.25" x14ac:dyDescent="0.25">
      <c r="A181" s="84"/>
      <c r="B181" s="84" t="str">
        <f t="shared" si="9"/>
        <v>X</v>
      </c>
      <c r="C181" s="84" t="str">
        <f>IF(OR(Tabella3[[#This Row],[LUN]]="X",Tabella3[[#This Row],[MAR]]="X",Tabella3[[#This Row],[MER]]="X",Tabella3[[#This Row],[GIO]]="X",Tabella3[[#This Row],[VEN]]="X",),"X","")</f>
        <v/>
      </c>
      <c r="D181" s="85" t="s">
        <v>10</v>
      </c>
      <c r="E181" s="81" t="s">
        <v>1976</v>
      </c>
      <c r="F181" s="81" t="s">
        <v>200</v>
      </c>
      <c r="G181" s="81" t="s">
        <v>1977</v>
      </c>
      <c r="H181" s="83"/>
      <c r="I181" s="83"/>
      <c r="J181" s="83"/>
      <c r="K181" s="83"/>
      <c r="L181" s="83"/>
      <c r="M181" s="81" t="s">
        <v>52</v>
      </c>
      <c r="N181" s="85"/>
      <c r="O181" s="85"/>
      <c r="P181" s="81"/>
      <c r="Q181" s="81" t="s">
        <v>1978</v>
      </c>
      <c r="R181" s="82">
        <v>45617</v>
      </c>
      <c r="S181" s="82"/>
      <c r="T181" s="138" t="str">
        <f ca="1">IF(AND('Inserimento dati'!$B$3=$H$2, Tabella3[[#This Row],[LUN]]="X"), "X",IF(AND('Inserimento dati'!$B$3=$I$2, Tabella3[[#This Row],[MAR]]="X"), "X", IF(AND('Inserimento dati'!$B$3=$J$2, Tabella3[[#This Row],[MER]]="X"), "X",IF(AND('Inserimento dati'!$B$3=$K$2, Tabella3[[#This Row],[GIO]]="X"), "X", IF(AND('Inserimento dati'!$B$3=$L$2, Tabella3[[#This Row],[VEN]]="X"), "X","")))))</f>
        <v/>
      </c>
      <c r="U181" s="154" t="str">
        <f t="shared" ca="1" si="7"/>
        <v xml:space="preserve"> 1021174</v>
      </c>
    </row>
    <row r="182" spans="1:21" ht="23.25" x14ac:dyDescent="0.25">
      <c r="A182" s="84"/>
      <c r="B182" s="84" t="str">
        <f t="shared" si="9"/>
        <v>X</v>
      </c>
      <c r="C182" s="84" t="str">
        <f>IF(OR(Tabella3[[#This Row],[LUN]]="X",Tabella3[[#This Row],[MAR]]="X",Tabella3[[#This Row],[MER]]="X",Tabella3[[#This Row],[GIO]]="X",Tabella3[[#This Row],[VEN]]="X",),"X","")</f>
        <v/>
      </c>
      <c r="D182" s="85" t="s">
        <v>10</v>
      </c>
      <c r="E182" s="81" t="s">
        <v>1979</v>
      </c>
      <c r="F182" s="81" t="s">
        <v>200</v>
      </c>
      <c r="G182" s="81" t="s">
        <v>1980</v>
      </c>
      <c r="H182" s="83"/>
      <c r="I182" s="83"/>
      <c r="J182" s="83"/>
      <c r="K182" s="83"/>
      <c r="L182" s="83"/>
      <c r="M182" s="81" t="s">
        <v>52</v>
      </c>
      <c r="N182" s="85"/>
      <c r="O182" s="85"/>
      <c r="P182" s="81"/>
      <c r="Q182" s="81" t="s">
        <v>1978</v>
      </c>
      <c r="R182" s="82">
        <v>45617</v>
      </c>
      <c r="S182" s="82"/>
      <c r="T182" s="138" t="str">
        <f ca="1">IF(AND('Inserimento dati'!$B$3=$H$2, Tabella3[[#This Row],[LUN]]="X"), "X",IF(AND('Inserimento dati'!$B$3=$I$2, Tabella3[[#This Row],[MAR]]="X"), "X", IF(AND('Inserimento dati'!$B$3=$J$2, Tabella3[[#This Row],[MER]]="X"), "X",IF(AND('Inserimento dati'!$B$3=$K$2, Tabella3[[#This Row],[GIO]]="X"), "X", IF(AND('Inserimento dati'!$B$3=$L$2, Tabella3[[#This Row],[VEN]]="X"), "X","")))))</f>
        <v/>
      </c>
      <c r="U182" s="154" t="str">
        <f t="shared" ca="1" si="7"/>
        <v/>
      </c>
    </row>
    <row r="183" spans="1:21" ht="30" x14ac:dyDescent="0.25">
      <c r="A183" s="84"/>
      <c r="B183" s="84" t="str">
        <f t="shared" si="9"/>
        <v>X</v>
      </c>
      <c r="C183" s="84" t="str">
        <f>IF(OR(Tabella3[[#This Row],[LUN]]="X",Tabella3[[#This Row],[MAR]]="X",Tabella3[[#This Row],[MER]]="X",Tabella3[[#This Row],[GIO]]="X",Tabella3[[#This Row],[VEN]]="X",),"X","")</f>
        <v/>
      </c>
      <c r="D183" s="85" t="s">
        <v>10</v>
      </c>
      <c r="E183" s="81" t="s">
        <v>1981</v>
      </c>
      <c r="F183" s="81" t="s">
        <v>199</v>
      </c>
      <c r="G183" s="81" t="s">
        <v>1982</v>
      </c>
      <c r="H183" s="83"/>
      <c r="I183" s="83"/>
      <c r="J183" s="83"/>
      <c r="K183" s="83"/>
      <c r="L183" s="83"/>
      <c r="M183" s="81" t="s">
        <v>52</v>
      </c>
      <c r="N183" s="85"/>
      <c r="O183" s="85"/>
      <c r="P183" s="81"/>
      <c r="Q183" s="81" t="s">
        <v>1983</v>
      </c>
      <c r="R183" s="82">
        <v>45610</v>
      </c>
      <c r="S183" s="82" t="s">
        <v>9</v>
      </c>
      <c r="T183" s="138" t="str">
        <f ca="1">IF(AND('Inserimento dati'!$B$3=$H$2, Tabella3[[#This Row],[LUN]]="X"), "X",IF(AND('Inserimento dati'!$B$3=$I$2, Tabella3[[#This Row],[MAR]]="X"), "X", IF(AND('Inserimento dati'!$B$3=$J$2, Tabella3[[#This Row],[MER]]="X"), "X",IF(AND('Inserimento dati'!$B$3=$K$2, Tabella3[[#This Row],[GIO]]="X"), "X", IF(AND('Inserimento dati'!$B$3=$L$2, Tabella3[[#This Row],[VEN]]="X"), "X","")))))</f>
        <v/>
      </c>
      <c r="U183" s="154" t="str">
        <f t="shared" ca="1" si="7"/>
        <v/>
      </c>
    </row>
    <row r="184" spans="1:21" ht="60" x14ac:dyDescent="0.25">
      <c r="A184" s="84"/>
      <c r="B184" s="84" t="str">
        <f t="shared" si="9"/>
        <v>X</v>
      </c>
      <c r="C184" s="84" t="str">
        <f>IF(OR(Tabella3[[#This Row],[LUN]]="X",Tabella3[[#This Row],[MAR]]="X",Tabella3[[#This Row],[MER]]="X",Tabella3[[#This Row],[GIO]]="X",Tabella3[[#This Row],[VEN]]="X",),"X","")</f>
        <v/>
      </c>
      <c r="D184" s="85" t="s">
        <v>10</v>
      </c>
      <c r="E184" s="81" t="s">
        <v>1984</v>
      </c>
      <c r="F184" s="81" t="s">
        <v>203</v>
      </c>
      <c r="G184" s="81" t="s">
        <v>1985</v>
      </c>
      <c r="H184" s="83"/>
      <c r="I184" s="83"/>
      <c r="J184" s="83"/>
      <c r="K184" s="83"/>
      <c r="L184" s="83"/>
      <c r="M184" s="81" t="s">
        <v>52</v>
      </c>
      <c r="N184" s="85"/>
      <c r="O184" s="85"/>
      <c r="P184" s="81"/>
      <c r="Q184" s="81" t="s">
        <v>1986</v>
      </c>
      <c r="R184" s="82">
        <v>45615</v>
      </c>
      <c r="S184" s="82" t="s">
        <v>9</v>
      </c>
      <c r="T184" s="138" t="str">
        <f ca="1">IF(AND('Inserimento dati'!$B$3=$H$2, Tabella3[[#This Row],[LUN]]="X"), "X",IF(AND('Inserimento dati'!$B$3=$I$2, Tabella3[[#This Row],[MAR]]="X"), "X", IF(AND('Inserimento dati'!$B$3=$J$2, Tabella3[[#This Row],[MER]]="X"), "X",IF(AND('Inserimento dati'!$B$3=$K$2, Tabella3[[#This Row],[GIO]]="X"), "X", IF(AND('Inserimento dati'!$B$3=$L$2, Tabella3[[#This Row],[VEN]]="X"), "X","")))))</f>
        <v/>
      </c>
      <c r="U184" s="154" t="str">
        <f t="shared" ca="1" si="7"/>
        <v/>
      </c>
    </row>
    <row r="185" spans="1:21" ht="30" x14ac:dyDescent="0.25">
      <c r="A185" s="84"/>
      <c r="B185" s="84" t="str">
        <f t="shared" si="9"/>
        <v>X</v>
      </c>
      <c r="C185" s="84" t="str">
        <f>IF(OR(Tabella3[[#This Row],[LUN]]="X",Tabella3[[#This Row],[MAR]]="X",Tabella3[[#This Row],[MER]]="X",Tabella3[[#This Row],[GIO]]="X",Tabella3[[#This Row],[VEN]]="X",),"X","")</f>
        <v/>
      </c>
      <c r="D185" s="85" t="s">
        <v>10</v>
      </c>
      <c r="E185" s="81" t="s">
        <v>1987</v>
      </c>
      <c r="F185" s="81">
        <v>700</v>
      </c>
      <c r="G185" s="81" t="s">
        <v>1988</v>
      </c>
      <c r="H185" s="83"/>
      <c r="I185" s="83"/>
      <c r="J185" s="83"/>
      <c r="K185" s="83"/>
      <c r="L185" s="83"/>
      <c r="M185" s="81" t="s">
        <v>52</v>
      </c>
      <c r="N185" s="85"/>
      <c r="O185" s="85"/>
      <c r="P185" s="81"/>
      <c r="Q185" s="81" t="s">
        <v>1989</v>
      </c>
      <c r="R185" s="82">
        <v>45617</v>
      </c>
      <c r="S185" s="82" t="s">
        <v>9</v>
      </c>
      <c r="T185" s="138" t="str">
        <f ca="1">IF(AND('Inserimento dati'!$B$3=$H$2, Tabella3[[#This Row],[LUN]]="X"), "X",IF(AND('Inserimento dati'!$B$3=$I$2, Tabella3[[#This Row],[MAR]]="X"), "X", IF(AND('Inserimento dati'!$B$3=$J$2, Tabella3[[#This Row],[MER]]="X"), "X",IF(AND('Inserimento dati'!$B$3=$K$2, Tabella3[[#This Row],[GIO]]="X"), "X", IF(AND('Inserimento dati'!$B$3=$L$2, Tabella3[[#This Row],[VEN]]="X"), "X","")))))</f>
        <v/>
      </c>
      <c r="U185" s="154" t="str">
        <f t="shared" ca="1" si="7"/>
        <v/>
      </c>
    </row>
    <row r="186" spans="1:21" ht="30" x14ac:dyDescent="0.25">
      <c r="A186" s="84"/>
      <c r="B186" s="84" t="str">
        <f t="shared" si="9"/>
        <v>X</v>
      </c>
      <c r="C186" s="84" t="str">
        <f>IF(OR(Tabella3[[#This Row],[LUN]]="X",Tabella3[[#This Row],[MAR]]="X",Tabella3[[#This Row],[MER]]="X",Tabella3[[#This Row],[GIO]]="X",Tabella3[[#This Row],[VEN]]="X",),"X","")</f>
        <v/>
      </c>
      <c r="D186" s="85" t="s">
        <v>10</v>
      </c>
      <c r="E186" s="81" t="s">
        <v>1990</v>
      </c>
      <c r="F186" s="81">
        <v>700</v>
      </c>
      <c r="G186" s="81" t="s">
        <v>1991</v>
      </c>
      <c r="H186" s="83"/>
      <c r="I186" s="83"/>
      <c r="J186" s="83"/>
      <c r="K186" s="83"/>
      <c r="L186" s="83"/>
      <c r="M186" s="81" t="s">
        <v>52</v>
      </c>
      <c r="N186" s="85"/>
      <c r="O186" s="85"/>
      <c r="P186" s="81"/>
      <c r="Q186" s="81" t="s">
        <v>1992</v>
      </c>
      <c r="R186" s="82">
        <v>45617</v>
      </c>
      <c r="S186" s="82" t="s">
        <v>9</v>
      </c>
      <c r="T186" s="138" t="str">
        <f ca="1">IF(AND('Inserimento dati'!$B$3=$H$2, Tabella3[[#This Row],[LUN]]="X"), "X",IF(AND('Inserimento dati'!$B$3=$I$2, Tabella3[[#This Row],[MAR]]="X"), "X", IF(AND('Inserimento dati'!$B$3=$J$2, Tabella3[[#This Row],[MER]]="X"), "X",IF(AND('Inserimento dati'!$B$3=$K$2, Tabella3[[#This Row],[GIO]]="X"), "X", IF(AND('Inserimento dati'!$B$3=$L$2, Tabella3[[#This Row],[VEN]]="X"), "X","")))))</f>
        <v/>
      </c>
      <c r="U186" s="154" t="str">
        <f t="shared" ca="1" si="7"/>
        <v xml:space="preserve">  102089</v>
      </c>
    </row>
    <row r="187" spans="1:21" ht="30" x14ac:dyDescent="0.25">
      <c r="A187" s="84"/>
      <c r="B187" s="84" t="str">
        <f t="shared" si="9"/>
        <v>X</v>
      </c>
      <c r="C187" s="84" t="str">
        <f>IF(OR(Tabella3[[#This Row],[LUN]]="X",Tabella3[[#This Row],[MAR]]="X",Tabella3[[#This Row],[MER]]="X",Tabella3[[#This Row],[GIO]]="X",Tabella3[[#This Row],[VEN]]="X",),"X","")</f>
        <v/>
      </c>
      <c r="D187" s="85" t="s">
        <v>10</v>
      </c>
      <c r="E187" s="81" t="s">
        <v>1993</v>
      </c>
      <c r="F187" s="81">
        <v>700</v>
      </c>
      <c r="G187" s="81" t="s">
        <v>1994</v>
      </c>
      <c r="H187" s="83"/>
      <c r="I187" s="83"/>
      <c r="J187" s="83"/>
      <c r="K187" s="83"/>
      <c r="L187" s="83"/>
      <c r="M187" s="81" t="s">
        <v>52</v>
      </c>
      <c r="N187" s="85"/>
      <c r="O187" s="85"/>
      <c r="P187" s="81"/>
      <c r="Q187" s="81" t="s">
        <v>1995</v>
      </c>
      <c r="R187" s="82">
        <v>45617</v>
      </c>
      <c r="S187" s="82" t="s">
        <v>9</v>
      </c>
      <c r="T187" s="138" t="str">
        <f ca="1">IF(AND('Inserimento dati'!$B$3=$H$2, Tabella3[[#This Row],[LUN]]="X"), "X",IF(AND('Inserimento dati'!$B$3=$I$2, Tabella3[[#This Row],[MAR]]="X"), "X", IF(AND('Inserimento dati'!$B$3=$J$2, Tabella3[[#This Row],[MER]]="X"), "X",IF(AND('Inserimento dati'!$B$3=$K$2, Tabella3[[#This Row],[GIO]]="X"), "X", IF(AND('Inserimento dati'!$B$3=$L$2, Tabella3[[#This Row],[VEN]]="X"), "X","")))))</f>
        <v/>
      </c>
      <c r="U187" s="154" t="str">
        <f t="shared" ca="1" si="7"/>
        <v/>
      </c>
    </row>
    <row r="188" spans="1:21" ht="45" x14ac:dyDescent="0.25">
      <c r="A188" s="84"/>
      <c r="B188" s="84" t="str">
        <f t="shared" si="9"/>
        <v>X</v>
      </c>
      <c r="C188" s="84" t="str">
        <f>IF(OR(Tabella3[[#This Row],[LUN]]="X",Tabella3[[#This Row],[MAR]]="X",Tabella3[[#This Row],[MER]]="X",Tabella3[[#This Row],[GIO]]="X",Tabella3[[#This Row],[VEN]]="X",),"X","")</f>
        <v/>
      </c>
      <c r="D188" s="85" t="s">
        <v>10</v>
      </c>
      <c r="E188" s="81" t="s">
        <v>1996</v>
      </c>
      <c r="F188" s="81">
        <v>1100</v>
      </c>
      <c r="G188" s="81" t="s">
        <v>1997</v>
      </c>
      <c r="H188" s="83"/>
      <c r="I188" s="83"/>
      <c r="J188" s="83"/>
      <c r="K188" s="83"/>
      <c r="L188" s="83"/>
      <c r="M188" s="81" t="s">
        <v>52</v>
      </c>
      <c r="N188" s="85"/>
      <c r="O188" s="85"/>
      <c r="P188" s="81"/>
      <c r="Q188" s="81" t="s">
        <v>1998</v>
      </c>
      <c r="R188" s="82">
        <v>45617</v>
      </c>
      <c r="S188" s="82" t="s">
        <v>11</v>
      </c>
      <c r="T188" s="138" t="str">
        <f ca="1">IF(AND('Inserimento dati'!$B$3=$H$2, Tabella3[[#This Row],[LUN]]="X"), "X",IF(AND('Inserimento dati'!$B$3=$I$2, Tabella3[[#This Row],[MAR]]="X"), "X", IF(AND('Inserimento dati'!$B$3=$J$2, Tabella3[[#This Row],[MER]]="X"), "X",IF(AND('Inserimento dati'!$B$3=$K$2, Tabella3[[#This Row],[GIO]]="X"), "X", IF(AND('Inserimento dati'!$B$3=$L$2, Tabella3[[#This Row],[VEN]]="X"), "X","")))))</f>
        <v/>
      </c>
      <c r="U188" s="154" t="str">
        <f t="shared" ca="1" si="7"/>
        <v/>
      </c>
    </row>
    <row r="189" spans="1:21" ht="30" x14ac:dyDescent="0.25">
      <c r="A189" s="84"/>
      <c r="B189" s="84" t="str">
        <f t="shared" si="9"/>
        <v>X</v>
      </c>
      <c r="C189" s="84" t="str">
        <f>IF(OR(Tabella3[[#This Row],[LUN]]="X",Tabella3[[#This Row],[MAR]]="X",Tabella3[[#This Row],[MER]]="X",Tabella3[[#This Row],[GIO]]="X",Tabella3[[#This Row],[VEN]]="X",),"X","")</f>
        <v/>
      </c>
      <c r="D189" s="85" t="s">
        <v>10</v>
      </c>
      <c r="E189" s="81" t="s">
        <v>1999</v>
      </c>
      <c r="F189" s="81">
        <v>800</v>
      </c>
      <c r="G189" s="81" t="s">
        <v>2000</v>
      </c>
      <c r="H189" s="83"/>
      <c r="I189" s="83"/>
      <c r="J189" s="83"/>
      <c r="K189" s="83"/>
      <c r="L189" s="83"/>
      <c r="M189" s="81" t="s">
        <v>52</v>
      </c>
      <c r="N189" s="85"/>
      <c r="O189" s="85"/>
      <c r="P189" s="81"/>
      <c r="Q189" s="81" t="s">
        <v>2001</v>
      </c>
      <c r="R189" s="82">
        <v>45614</v>
      </c>
      <c r="S189" s="82" t="s">
        <v>1596</v>
      </c>
      <c r="T189" s="138" t="str">
        <f ca="1">IF(AND('Inserimento dati'!$B$3=$H$2, Tabella3[[#This Row],[LUN]]="X"), "X",IF(AND('Inserimento dati'!$B$3=$I$2, Tabella3[[#This Row],[MAR]]="X"), "X", IF(AND('Inserimento dati'!$B$3=$J$2, Tabella3[[#This Row],[MER]]="X"), "X",IF(AND('Inserimento dati'!$B$3=$K$2, Tabella3[[#This Row],[GIO]]="X"), "X", IF(AND('Inserimento dati'!$B$3=$L$2, Tabella3[[#This Row],[VEN]]="X"), "X","")))))</f>
        <v/>
      </c>
      <c r="U189" s="154" t="str">
        <f t="shared" ca="1" si="7"/>
        <v/>
      </c>
    </row>
    <row r="190" spans="1:21" ht="30" x14ac:dyDescent="0.25">
      <c r="A190" s="84"/>
      <c r="B190" s="84" t="str">
        <f t="shared" si="9"/>
        <v>X</v>
      </c>
      <c r="C190" s="84" t="str">
        <f>IF(OR(Tabella3[[#This Row],[LUN]]="X",Tabella3[[#This Row],[MAR]]="X",Tabella3[[#This Row],[MER]]="X",Tabella3[[#This Row],[GIO]]="X",Tabella3[[#This Row],[VEN]]="X",),"X","")</f>
        <v/>
      </c>
      <c r="D190" s="85" t="s">
        <v>10</v>
      </c>
      <c r="E190" s="81" t="s">
        <v>2002</v>
      </c>
      <c r="F190" s="81" t="s">
        <v>199</v>
      </c>
      <c r="G190" s="81" t="s">
        <v>2003</v>
      </c>
      <c r="H190" s="83"/>
      <c r="I190" s="83"/>
      <c r="J190" s="83"/>
      <c r="K190" s="83"/>
      <c r="L190" s="83"/>
      <c r="M190" s="81" t="s">
        <v>52</v>
      </c>
      <c r="N190" s="85"/>
      <c r="O190" s="85"/>
      <c r="P190" s="81"/>
      <c r="Q190" s="81" t="s">
        <v>2004</v>
      </c>
      <c r="R190" s="82">
        <v>45610</v>
      </c>
      <c r="S190" s="82" t="s">
        <v>2005</v>
      </c>
      <c r="T190" s="138" t="str">
        <f ca="1">IF(AND('Inserimento dati'!$B$3=$H$2, Tabella3[[#This Row],[LUN]]="X"), "X",IF(AND('Inserimento dati'!$B$3=$I$2, Tabella3[[#This Row],[MAR]]="X"), "X", IF(AND('Inserimento dati'!$B$3=$J$2, Tabella3[[#This Row],[MER]]="X"), "X",IF(AND('Inserimento dati'!$B$3=$K$2, Tabella3[[#This Row],[GIO]]="X"), "X", IF(AND('Inserimento dati'!$B$3=$L$2, Tabella3[[#This Row],[VEN]]="X"), "X","")))))</f>
        <v/>
      </c>
      <c r="U190" s="154" t="str">
        <f t="shared" ca="1" si="7"/>
        <v/>
      </c>
    </row>
    <row r="191" spans="1:21" ht="30" x14ac:dyDescent="0.25">
      <c r="A191" s="84"/>
      <c r="B191" s="84" t="str">
        <f t="shared" si="9"/>
        <v>X</v>
      </c>
      <c r="C191" s="84" t="str">
        <f>IF(OR(Tabella3[[#This Row],[LUN]]="X",Tabella3[[#This Row],[MAR]]="X",Tabella3[[#This Row],[MER]]="X",Tabella3[[#This Row],[GIO]]="X",Tabella3[[#This Row],[VEN]]="X",),"X","")</f>
        <v/>
      </c>
      <c r="D191" s="85" t="s">
        <v>10</v>
      </c>
      <c r="E191" s="81" t="s">
        <v>2006</v>
      </c>
      <c r="F191" s="81">
        <v>700</v>
      </c>
      <c r="G191" s="81" t="s">
        <v>2007</v>
      </c>
      <c r="H191" s="83"/>
      <c r="I191" s="83"/>
      <c r="J191" s="83"/>
      <c r="K191" s="83"/>
      <c r="L191" s="83"/>
      <c r="M191" s="81" t="s">
        <v>52</v>
      </c>
      <c r="N191" s="85"/>
      <c r="O191" s="85"/>
      <c r="P191" s="81"/>
      <c r="Q191" s="81" t="s">
        <v>2008</v>
      </c>
      <c r="R191" s="82">
        <v>45603</v>
      </c>
      <c r="S191" s="82" t="s">
        <v>546</v>
      </c>
      <c r="T191" s="138" t="str">
        <f ca="1">IF(AND('Inserimento dati'!$B$3=$H$2, Tabella3[[#This Row],[LUN]]="X"), "X",IF(AND('Inserimento dati'!$B$3=$I$2, Tabella3[[#This Row],[MAR]]="X"), "X", IF(AND('Inserimento dati'!$B$3=$J$2, Tabella3[[#This Row],[MER]]="X"), "X",IF(AND('Inserimento dati'!$B$3=$K$2, Tabella3[[#This Row],[GIO]]="X"), "X", IF(AND('Inserimento dati'!$B$3=$L$2, Tabella3[[#This Row],[VEN]]="X"), "X","")))))</f>
        <v/>
      </c>
      <c r="U191" s="154" t="str">
        <f t="shared" ca="1" si="7"/>
        <v/>
      </c>
    </row>
    <row r="192" spans="1:21" ht="30" x14ac:dyDescent="0.25">
      <c r="A192" s="84"/>
      <c r="B192" s="84" t="str">
        <f t="shared" si="9"/>
        <v>X</v>
      </c>
      <c r="C192" s="84" t="str">
        <f>IF(OR(Tabella3[[#This Row],[LUN]]="X",Tabella3[[#This Row],[MAR]]="X",Tabella3[[#This Row],[MER]]="X",Tabella3[[#This Row],[GIO]]="X",Tabella3[[#This Row],[VEN]]="X",),"X","")</f>
        <v/>
      </c>
      <c r="D192" s="85" t="s">
        <v>10</v>
      </c>
      <c r="E192" s="81" t="s">
        <v>2009</v>
      </c>
      <c r="F192" s="81">
        <v>1800</v>
      </c>
      <c r="G192" s="81" t="s">
        <v>2010</v>
      </c>
      <c r="H192" s="83"/>
      <c r="I192" s="83"/>
      <c r="J192" s="83"/>
      <c r="K192" s="83"/>
      <c r="L192" s="83"/>
      <c r="M192" s="81" t="s">
        <v>52</v>
      </c>
      <c r="N192" s="85"/>
      <c r="O192" s="85"/>
      <c r="P192" s="81"/>
      <c r="Q192" s="81" t="s">
        <v>2008</v>
      </c>
      <c r="R192" s="82">
        <v>45600</v>
      </c>
      <c r="S192" s="82" t="s">
        <v>11</v>
      </c>
      <c r="T192" s="138" t="str">
        <f ca="1">IF(AND('Inserimento dati'!$B$3=$H$2, Tabella3[[#This Row],[LUN]]="X"), "X",IF(AND('Inserimento dati'!$B$3=$I$2, Tabella3[[#This Row],[MAR]]="X"), "X", IF(AND('Inserimento dati'!$B$3=$J$2, Tabella3[[#This Row],[MER]]="X"), "X",IF(AND('Inserimento dati'!$B$3=$K$2, Tabella3[[#This Row],[GIO]]="X"), "X", IF(AND('Inserimento dati'!$B$3=$L$2, Tabella3[[#This Row],[VEN]]="X"), "X","")))))</f>
        <v/>
      </c>
      <c r="U192" s="154" t="str">
        <f t="shared" ca="1" si="7"/>
        <v/>
      </c>
    </row>
    <row r="193" spans="1:21" ht="30" x14ac:dyDescent="0.25">
      <c r="A193" s="84"/>
      <c r="B193" s="84" t="str">
        <f t="shared" si="9"/>
        <v>X</v>
      </c>
      <c r="C193" s="84" t="str">
        <f>IF(OR(Tabella3[[#This Row],[LUN]]="X",Tabella3[[#This Row],[MAR]]="X",Tabella3[[#This Row],[MER]]="X",Tabella3[[#This Row],[GIO]]="X",Tabella3[[#This Row],[VEN]]="X",),"X","")</f>
        <v/>
      </c>
      <c r="D193" s="85" t="s">
        <v>10</v>
      </c>
      <c r="E193" s="81" t="s">
        <v>2011</v>
      </c>
      <c r="F193" s="81">
        <v>700</v>
      </c>
      <c r="G193" s="81" t="s">
        <v>2012</v>
      </c>
      <c r="H193" s="83"/>
      <c r="I193" s="83"/>
      <c r="J193" s="83"/>
      <c r="K193" s="83"/>
      <c r="L193" s="83"/>
      <c r="M193" s="81" t="s">
        <v>52</v>
      </c>
      <c r="N193" s="85"/>
      <c r="O193" s="85"/>
      <c r="P193" s="81"/>
      <c r="Q193" s="81" t="s">
        <v>2013</v>
      </c>
      <c r="R193" s="82">
        <v>45600</v>
      </c>
      <c r="S193" s="82" t="s">
        <v>11</v>
      </c>
      <c r="T193" s="138" t="str">
        <f ca="1">IF(AND('Inserimento dati'!$B$3=$H$2, Tabella3[[#This Row],[LUN]]="X"), "X",IF(AND('Inserimento dati'!$B$3=$I$2, Tabella3[[#This Row],[MAR]]="X"), "X", IF(AND('Inserimento dati'!$B$3=$J$2, Tabella3[[#This Row],[MER]]="X"), "X",IF(AND('Inserimento dati'!$B$3=$K$2, Tabella3[[#This Row],[GIO]]="X"), "X", IF(AND('Inserimento dati'!$B$3=$L$2, Tabella3[[#This Row],[VEN]]="X"), "X","")))))</f>
        <v/>
      </c>
      <c r="U193" s="154" t="str">
        <f t="shared" ca="1" si="7"/>
        <v/>
      </c>
    </row>
    <row r="194" spans="1:21" ht="23.25" x14ac:dyDescent="0.25">
      <c r="A194" s="84"/>
      <c r="B194" s="84" t="str">
        <f t="shared" si="9"/>
        <v>X</v>
      </c>
      <c r="C194" s="84" t="str">
        <f>IF(OR(Tabella3[[#This Row],[LUN]]="X",Tabella3[[#This Row],[MAR]]="X",Tabella3[[#This Row],[MER]]="X",Tabella3[[#This Row],[GIO]]="X",Tabella3[[#This Row],[VEN]]="X",),"X","")</f>
        <v/>
      </c>
      <c r="D194" s="85" t="s">
        <v>10</v>
      </c>
      <c r="E194" s="81" t="s">
        <v>2014</v>
      </c>
      <c r="F194" s="81">
        <v>700</v>
      </c>
      <c r="G194" s="81" t="s">
        <v>2015</v>
      </c>
      <c r="H194" s="83"/>
      <c r="I194" s="83"/>
      <c r="J194" s="83"/>
      <c r="K194" s="83"/>
      <c r="L194" s="83"/>
      <c r="M194" s="81" t="s">
        <v>52</v>
      </c>
      <c r="N194" s="85"/>
      <c r="O194" s="85"/>
      <c r="P194" s="81"/>
      <c r="Q194" s="81" t="s">
        <v>2016</v>
      </c>
      <c r="R194" s="82">
        <v>45598</v>
      </c>
      <c r="S194" s="82" t="s">
        <v>2017</v>
      </c>
      <c r="T194" s="138" t="str">
        <f ca="1">IF(AND('Inserimento dati'!$B$3=$H$2, Tabella3[[#This Row],[LUN]]="X"), "X",IF(AND('Inserimento dati'!$B$3=$I$2, Tabella3[[#This Row],[MAR]]="X"), "X", IF(AND('Inserimento dati'!$B$3=$J$2, Tabella3[[#This Row],[MER]]="X"), "X",IF(AND('Inserimento dati'!$B$3=$K$2, Tabella3[[#This Row],[GIO]]="X"), "X", IF(AND('Inserimento dati'!$B$3=$L$2, Tabella3[[#This Row],[VEN]]="X"), "X","")))))</f>
        <v/>
      </c>
      <c r="U194" s="154" t="str">
        <f t="shared" ca="1" si="7"/>
        <v/>
      </c>
    </row>
    <row r="195" spans="1:21" ht="30" x14ac:dyDescent="0.25">
      <c r="A195" s="84"/>
      <c r="B195" s="84" t="str">
        <f t="shared" si="9"/>
        <v>X</v>
      </c>
      <c r="C195" s="84" t="str">
        <f>IF(OR(Tabella3[[#This Row],[LUN]]="X",Tabella3[[#This Row],[MAR]]="X",Tabella3[[#This Row],[MER]]="X",Tabella3[[#This Row],[GIO]]="X",Tabella3[[#This Row],[VEN]]="X",),"X","")</f>
        <v/>
      </c>
      <c r="D195" s="85" t="s">
        <v>10</v>
      </c>
      <c r="E195" s="81" t="s">
        <v>2018</v>
      </c>
      <c r="F195" s="81">
        <v>700</v>
      </c>
      <c r="G195" s="81" t="s">
        <v>2019</v>
      </c>
      <c r="H195" s="83"/>
      <c r="I195" s="83"/>
      <c r="J195" s="83"/>
      <c r="K195" s="83"/>
      <c r="L195" s="83"/>
      <c r="M195" s="81" t="s">
        <v>52</v>
      </c>
      <c r="N195" s="85"/>
      <c r="O195" s="85"/>
      <c r="P195" s="81"/>
      <c r="Q195" s="81" t="s">
        <v>427</v>
      </c>
      <c r="R195" s="82">
        <v>45593</v>
      </c>
      <c r="S195" s="82" t="s">
        <v>1750</v>
      </c>
      <c r="T195" s="138" t="str">
        <f ca="1">IF(AND('Inserimento dati'!$B$3=$H$2, Tabella3[[#This Row],[LUN]]="X"), "X",IF(AND('Inserimento dati'!$B$3=$I$2, Tabella3[[#This Row],[MAR]]="X"), "X", IF(AND('Inserimento dati'!$B$3=$J$2, Tabella3[[#This Row],[MER]]="X"), "X",IF(AND('Inserimento dati'!$B$3=$K$2, Tabella3[[#This Row],[GIO]]="X"), "X", IF(AND('Inserimento dati'!$B$3=$L$2, Tabella3[[#This Row],[VEN]]="X"), "X","")))))</f>
        <v/>
      </c>
      <c r="U195" s="154" t="str">
        <f t="shared" ca="1" si="7"/>
        <v/>
      </c>
    </row>
    <row r="196" spans="1:21" ht="30" x14ac:dyDescent="0.25">
      <c r="A196" s="84"/>
      <c r="B196" s="84" t="str">
        <f t="shared" si="9"/>
        <v>X</v>
      </c>
      <c r="C196" s="84" t="str">
        <f>IF(OR(Tabella3[[#This Row],[LUN]]="X",Tabella3[[#This Row],[MAR]]="X",Tabella3[[#This Row],[MER]]="X",Tabella3[[#This Row],[GIO]]="X",Tabella3[[#This Row],[VEN]]="X",),"X","")</f>
        <v/>
      </c>
      <c r="D196" s="85" t="s">
        <v>10</v>
      </c>
      <c r="E196" s="81" t="s">
        <v>2020</v>
      </c>
      <c r="F196" s="81">
        <v>1400</v>
      </c>
      <c r="G196" s="81" t="s">
        <v>2021</v>
      </c>
      <c r="H196" s="83"/>
      <c r="I196" s="83"/>
      <c r="J196" s="83"/>
      <c r="K196" s="83"/>
      <c r="L196" s="83"/>
      <c r="M196" s="81" t="s">
        <v>52</v>
      </c>
      <c r="N196" s="85"/>
      <c r="O196" s="85"/>
      <c r="P196" s="81"/>
      <c r="Q196" s="81" t="s">
        <v>2022</v>
      </c>
      <c r="R196" s="82">
        <v>45600</v>
      </c>
      <c r="S196" s="82" t="s">
        <v>9</v>
      </c>
      <c r="T196" s="138" t="str">
        <f ca="1">IF(AND('Inserimento dati'!$B$3=$H$2, Tabella3[[#This Row],[LUN]]="X"), "X",IF(AND('Inserimento dati'!$B$3=$I$2, Tabella3[[#This Row],[MAR]]="X"), "X", IF(AND('Inserimento dati'!$B$3=$J$2, Tabella3[[#This Row],[MER]]="X"), "X",IF(AND('Inserimento dati'!$B$3=$K$2, Tabella3[[#This Row],[GIO]]="X"), "X", IF(AND('Inserimento dati'!$B$3=$L$2, Tabella3[[#This Row],[VEN]]="X"), "X","")))))</f>
        <v/>
      </c>
      <c r="U196" s="154" t="str">
        <f t="shared" ref="U196:U259" ca="1" si="10">IFERROR(MID(G196,_xlfn.AGGREGATE(15,6,(ROW(INDIRECT("1:"&amp;LEN(G196)-7)))/(ISNUMBER(--MID(G196,ROW(INDIRECT("1:"&amp;LEN(G196)-7)),8))),1),8),"")</f>
        <v/>
      </c>
    </row>
    <row r="197" spans="1:21" ht="30" x14ac:dyDescent="0.25">
      <c r="A197" s="84"/>
      <c r="B197" s="84" t="str">
        <f t="shared" si="9"/>
        <v>X</v>
      </c>
      <c r="C197" s="84" t="str">
        <f>IF(OR(Tabella3[[#This Row],[LUN]]="X",Tabella3[[#This Row],[MAR]]="X",Tabella3[[#This Row],[MER]]="X",Tabella3[[#This Row],[GIO]]="X",Tabella3[[#This Row],[VEN]]="X",),"X","")</f>
        <v/>
      </c>
      <c r="D197" s="85" t="s">
        <v>10</v>
      </c>
      <c r="E197" s="81" t="s">
        <v>2023</v>
      </c>
      <c r="F197" s="81">
        <v>1800</v>
      </c>
      <c r="G197" s="81" t="s">
        <v>2024</v>
      </c>
      <c r="H197" s="83"/>
      <c r="I197" s="83"/>
      <c r="J197" s="83"/>
      <c r="K197" s="83"/>
      <c r="L197" s="83"/>
      <c r="M197" s="81" t="s">
        <v>52</v>
      </c>
      <c r="N197" s="85"/>
      <c r="O197" s="85"/>
      <c r="P197" s="81"/>
      <c r="Q197" s="81" t="s">
        <v>2025</v>
      </c>
      <c r="R197" s="82">
        <v>45600</v>
      </c>
      <c r="S197" s="82" t="s">
        <v>9</v>
      </c>
      <c r="T197" s="138" t="str">
        <f ca="1">IF(AND('Inserimento dati'!$B$3=$H$2, Tabella3[[#This Row],[LUN]]="X"), "X",IF(AND('Inserimento dati'!$B$3=$I$2, Tabella3[[#This Row],[MAR]]="X"), "X", IF(AND('Inserimento dati'!$B$3=$J$2, Tabella3[[#This Row],[MER]]="X"), "X",IF(AND('Inserimento dati'!$B$3=$K$2, Tabella3[[#This Row],[GIO]]="X"), "X", IF(AND('Inserimento dati'!$B$3=$L$2, Tabella3[[#This Row],[VEN]]="X"), "X","")))))</f>
        <v/>
      </c>
      <c r="U197" s="154" t="str">
        <f t="shared" ca="1" si="10"/>
        <v/>
      </c>
    </row>
    <row r="198" spans="1:21" ht="30" x14ac:dyDescent="0.25">
      <c r="A198" s="84"/>
      <c r="B198" s="84" t="str">
        <f t="shared" si="9"/>
        <v>X</v>
      </c>
      <c r="C198" s="84" t="str">
        <f>IF(OR(Tabella3[[#This Row],[LUN]]="X",Tabella3[[#This Row],[MAR]]="X",Tabella3[[#This Row],[MER]]="X",Tabella3[[#This Row],[GIO]]="X",Tabella3[[#This Row],[VEN]]="X",),"X","")</f>
        <v/>
      </c>
      <c r="D198" s="85" t="s">
        <v>10</v>
      </c>
      <c r="E198" s="81" t="s">
        <v>2026</v>
      </c>
      <c r="F198" s="81">
        <v>1100</v>
      </c>
      <c r="G198" s="81" t="s">
        <v>2027</v>
      </c>
      <c r="H198" s="83"/>
      <c r="I198" s="83"/>
      <c r="J198" s="83"/>
      <c r="K198" s="83"/>
      <c r="L198" s="83"/>
      <c r="M198" s="81" t="s">
        <v>52</v>
      </c>
      <c r="N198" s="85"/>
      <c r="O198" s="85"/>
      <c r="P198" s="81"/>
      <c r="Q198" s="81" t="s">
        <v>2028</v>
      </c>
      <c r="R198" s="82">
        <v>45601</v>
      </c>
      <c r="S198" s="82" t="s">
        <v>11</v>
      </c>
      <c r="T198" s="138" t="str">
        <f ca="1">IF(AND('Inserimento dati'!$B$3=$H$2, Tabella3[[#This Row],[LUN]]="X"), "X",IF(AND('Inserimento dati'!$B$3=$I$2, Tabella3[[#This Row],[MAR]]="X"), "X", IF(AND('Inserimento dati'!$B$3=$J$2, Tabella3[[#This Row],[MER]]="X"), "X",IF(AND('Inserimento dati'!$B$3=$K$2, Tabella3[[#This Row],[GIO]]="X"), "X", IF(AND('Inserimento dati'!$B$3=$L$2, Tabella3[[#This Row],[VEN]]="X"), "X","")))))</f>
        <v/>
      </c>
      <c r="U198" s="154" t="str">
        <f t="shared" ca="1" si="10"/>
        <v/>
      </c>
    </row>
    <row r="199" spans="1:21" ht="30" x14ac:dyDescent="0.25">
      <c r="A199" s="84"/>
      <c r="B199" s="84" t="str">
        <f t="shared" si="9"/>
        <v>X</v>
      </c>
      <c r="C199" s="84" t="str">
        <f>IF(OR(Tabella3[[#This Row],[LUN]]="X",Tabella3[[#This Row],[MAR]]="X",Tabella3[[#This Row],[MER]]="X",Tabella3[[#This Row],[GIO]]="X",Tabella3[[#This Row],[VEN]]="X",),"X","")</f>
        <v/>
      </c>
      <c r="D199" s="85" t="s">
        <v>10</v>
      </c>
      <c r="E199" s="81" t="s">
        <v>2029</v>
      </c>
      <c r="F199" s="81" t="s">
        <v>203</v>
      </c>
      <c r="G199" s="81" t="s">
        <v>2030</v>
      </c>
      <c r="H199" s="83"/>
      <c r="I199" s="83"/>
      <c r="J199" s="83"/>
      <c r="K199" s="83"/>
      <c r="L199" s="83"/>
      <c r="M199" s="81" t="s">
        <v>52</v>
      </c>
      <c r="N199" s="85"/>
      <c r="O199" s="85"/>
      <c r="P199" s="81"/>
      <c r="Q199" s="81" t="s">
        <v>2008</v>
      </c>
      <c r="R199" s="82">
        <v>45598</v>
      </c>
      <c r="S199" s="82" t="s">
        <v>1750</v>
      </c>
      <c r="T199" s="138" t="str">
        <f ca="1">IF(AND('Inserimento dati'!$B$3=$H$2, Tabella3[[#This Row],[LUN]]="X"), "X",IF(AND('Inserimento dati'!$B$3=$I$2, Tabella3[[#This Row],[MAR]]="X"), "X", IF(AND('Inserimento dati'!$B$3=$J$2, Tabella3[[#This Row],[MER]]="X"), "X",IF(AND('Inserimento dati'!$B$3=$K$2, Tabella3[[#This Row],[GIO]]="X"), "X", IF(AND('Inserimento dati'!$B$3=$L$2, Tabella3[[#This Row],[VEN]]="X"), "X","")))))</f>
        <v/>
      </c>
      <c r="U199" s="154" t="str">
        <f t="shared" ca="1" si="10"/>
        <v/>
      </c>
    </row>
    <row r="200" spans="1:21" ht="23.25" x14ac:dyDescent="0.25">
      <c r="A200" s="84"/>
      <c r="B200" s="84" t="str">
        <f t="shared" si="9"/>
        <v>X</v>
      </c>
      <c r="C200" s="84" t="str">
        <f>IF(OR(Tabella3[[#This Row],[LUN]]="X",Tabella3[[#This Row],[MAR]]="X",Tabella3[[#This Row],[MER]]="X",Tabella3[[#This Row],[GIO]]="X",Tabella3[[#This Row],[VEN]]="X",),"X","")</f>
        <v/>
      </c>
      <c r="D200" s="85" t="s">
        <v>10</v>
      </c>
      <c r="E200" s="81" t="s">
        <v>2031</v>
      </c>
      <c r="F200" s="81" t="s">
        <v>160</v>
      </c>
      <c r="G200" s="81" t="s">
        <v>2032</v>
      </c>
      <c r="H200" s="83"/>
      <c r="I200" s="83"/>
      <c r="J200" s="83"/>
      <c r="K200" s="83"/>
      <c r="L200" s="83"/>
      <c r="M200" s="81" t="s">
        <v>52</v>
      </c>
      <c r="N200" s="85"/>
      <c r="O200" s="85"/>
      <c r="P200" s="81"/>
      <c r="Q200" s="81" t="s">
        <v>2033</v>
      </c>
      <c r="R200" s="82">
        <v>45743</v>
      </c>
      <c r="S200" s="81" t="s">
        <v>20</v>
      </c>
      <c r="T200" s="138" t="str">
        <f ca="1">IF(AND('Inserimento dati'!$B$3=$H$2, Tabella3[[#This Row],[LUN]]="X"), "X",IF(AND('Inserimento dati'!$B$3=$I$2, Tabella3[[#This Row],[MAR]]="X"), "X", IF(AND('Inserimento dati'!$B$3=$J$2, Tabella3[[#This Row],[MER]]="X"), "X",IF(AND('Inserimento dati'!$B$3=$K$2, Tabella3[[#This Row],[GIO]]="X"), "X", IF(AND('Inserimento dati'!$B$3=$L$2, Tabella3[[#This Row],[VEN]]="X"), "X","")))))</f>
        <v/>
      </c>
      <c r="U200" s="154" t="str">
        <f t="shared" ca="1" si="10"/>
        <v/>
      </c>
    </row>
    <row r="201" spans="1:21" ht="60" x14ac:dyDescent="0.25">
      <c r="A201" s="84"/>
      <c r="B201" s="84" t="str">
        <f t="shared" si="9"/>
        <v>X</v>
      </c>
      <c r="C201" s="84" t="str">
        <f>IF(OR(Tabella3[[#This Row],[LUN]]="X",Tabella3[[#This Row],[MAR]]="X",Tabella3[[#This Row],[MER]]="X",Tabella3[[#This Row],[GIO]]="X",Tabella3[[#This Row],[VEN]]="X",),"X","")</f>
        <v/>
      </c>
      <c r="D201" s="85" t="s">
        <v>10</v>
      </c>
      <c r="E201" s="81" t="s">
        <v>2034</v>
      </c>
      <c r="F201" s="81" t="s">
        <v>203</v>
      </c>
      <c r="G201" s="81" t="s">
        <v>2035</v>
      </c>
      <c r="H201" s="83"/>
      <c r="I201" s="83"/>
      <c r="J201" s="83"/>
      <c r="K201" s="83"/>
      <c r="L201" s="83"/>
      <c r="M201" s="81" t="s">
        <v>52</v>
      </c>
      <c r="N201" s="85"/>
      <c r="O201" s="85"/>
      <c r="P201" s="81"/>
      <c r="Q201" s="81" t="s">
        <v>2036</v>
      </c>
      <c r="R201" s="82">
        <v>45784</v>
      </c>
      <c r="S201" s="81" t="s">
        <v>9</v>
      </c>
      <c r="T201" s="138" t="str">
        <f ca="1">IF(AND('Inserimento dati'!$B$3=$H$2, Tabella3[[#This Row],[LUN]]="X"), "X",IF(AND('Inserimento dati'!$B$3=$I$2, Tabella3[[#This Row],[MAR]]="X"), "X", IF(AND('Inserimento dati'!$B$3=$J$2, Tabella3[[#This Row],[MER]]="X"), "X",IF(AND('Inserimento dati'!$B$3=$K$2, Tabella3[[#This Row],[GIO]]="X"), "X", IF(AND('Inserimento dati'!$B$3=$L$2, Tabella3[[#This Row],[VEN]]="X"), "X","")))))</f>
        <v/>
      </c>
      <c r="U201" s="154" t="str">
        <f t="shared" ca="1" si="10"/>
        <v xml:space="preserve"> 1022221</v>
      </c>
    </row>
    <row r="202" spans="1:21" ht="23.25" x14ac:dyDescent="0.25">
      <c r="A202" s="84"/>
      <c r="B202" s="84" t="str">
        <f t="shared" si="9"/>
        <v>X</v>
      </c>
      <c r="C202" s="84" t="str">
        <f>IF(OR(Tabella3[[#This Row],[LUN]]="X",Tabella3[[#This Row],[MAR]]="X",Tabella3[[#This Row],[MER]]="X",Tabella3[[#This Row],[GIO]]="X",Tabella3[[#This Row],[VEN]]="X",),"X","")</f>
        <v/>
      </c>
      <c r="D202" s="85" t="s">
        <v>10</v>
      </c>
      <c r="E202" s="81" t="s">
        <v>2037</v>
      </c>
      <c r="F202" s="81" t="s">
        <v>160</v>
      </c>
      <c r="G202" s="81" t="s">
        <v>2038</v>
      </c>
      <c r="H202" s="83"/>
      <c r="I202" s="83"/>
      <c r="J202" s="83"/>
      <c r="K202" s="83"/>
      <c r="L202" s="83"/>
      <c r="M202" s="81" t="s">
        <v>52</v>
      </c>
      <c r="N202" s="85"/>
      <c r="O202" s="85"/>
      <c r="P202" s="81"/>
      <c r="Q202" s="81"/>
      <c r="R202" s="82"/>
      <c r="S202" s="81"/>
      <c r="T202" s="150" t="str">
        <f ca="1">IF(AND('Inserimento dati'!$B$3=$H$2, Tabella3[[#This Row],[LUN]]="X"), "X",IF(AND('Inserimento dati'!$B$3=$I$2, Tabella3[[#This Row],[MAR]]="X"), "X", IF(AND('Inserimento dati'!$B$3=$J$2, Tabella3[[#This Row],[MER]]="X"), "X",IF(AND('Inserimento dati'!$B$3=$K$2, Tabella3[[#This Row],[GIO]]="X"), "X", IF(AND('Inserimento dati'!$B$3=$L$2, Tabella3[[#This Row],[VEN]]="X"), "X","")))))</f>
        <v/>
      </c>
      <c r="U202" s="154" t="str">
        <f t="shared" ca="1" si="10"/>
        <v/>
      </c>
    </row>
    <row r="203" spans="1:21" ht="30" x14ac:dyDescent="0.25">
      <c r="A203" s="84"/>
      <c r="B203" s="84" t="str">
        <f t="shared" si="9"/>
        <v>X</v>
      </c>
      <c r="C203" s="84" t="str">
        <f>IF(OR(Tabella3[[#This Row],[LUN]]="X",Tabella3[[#This Row],[MAR]]="X",Tabella3[[#This Row],[MER]]="X",Tabella3[[#This Row],[GIO]]="X",Tabella3[[#This Row],[VEN]]="X",),"X","")</f>
        <v/>
      </c>
      <c r="D203" s="85" t="s">
        <v>10</v>
      </c>
      <c r="E203" s="81" t="s">
        <v>2039</v>
      </c>
      <c r="F203" s="81">
        <v>1100</v>
      </c>
      <c r="G203" s="81" t="s">
        <v>2040</v>
      </c>
      <c r="H203" s="83"/>
      <c r="I203" s="83"/>
      <c r="J203" s="83"/>
      <c r="K203" s="83"/>
      <c r="L203" s="83"/>
      <c r="M203" s="81" t="s">
        <v>52</v>
      </c>
      <c r="N203" s="85"/>
      <c r="O203" s="85"/>
      <c r="P203" s="81"/>
      <c r="Q203" s="81" t="s">
        <v>2041</v>
      </c>
      <c r="R203" s="82">
        <v>45775</v>
      </c>
      <c r="S203" s="81" t="s">
        <v>1615</v>
      </c>
      <c r="T203" s="138" t="str">
        <f ca="1">IF(AND('Inserimento dati'!$B$3=$H$2, Tabella3[[#This Row],[LUN]]="X"), "X",IF(AND('Inserimento dati'!$B$3=$I$2, Tabella3[[#This Row],[MAR]]="X"), "X", IF(AND('Inserimento dati'!$B$3=$J$2, Tabella3[[#This Row],[MER]]="X"), "X",IF(AND('Inserimento dati'!$B$3=$K$2, Tabella3[[#This Row],[GIO]]="X"), "X", IF(AND('Inserimento dati'!$B$3=$L$2, Tabella3[[#This Row],[VEN]]="X"), "X","")))))</f>
        <v/>
      </c>
      <c r="U203" s="154" t="str">
        <f t="shared" ca="1" si="10"/>
        <v xml:space="preserve"> 1021801</v>
      </c>
    </row>
    <row r="204" spans="1:21" ht="45" x14ac:dyDescent="0.25">
      <c r="A204" s="84"/>
      <c r="B204" s="84" t="str">
        <f t="shared" si="9"/>
        <v>X</v>
      </c>
      <c r="C204" s="84" t="str">
        <f>IF(OR(Tabella3[[#This Row],[LUN]]="X",Tabella3[[#This Row],[MAR]]="X",Tabella3[[#This Row],[MER]]="X",Tabella3[[#This Row],[GIO]]="X",Tabella3[[#This Row],[VEN]]="X",),"X","")</f>
        <v/>
      </c>
      <c r="D204" s="85" t="s">
        <v>10</v>
      </c>
      <c r="E204" s="85" t="s">
        <v>2042</v>
      </c>
      <c r="F204" s="81">
        <v>1800</v>
      </c>
      <c r="G204" s="81" t="s">
        <v>2043</v>
      </c>
      <c r="H204" s="83"/>
      <c r="I204" s="83"/>
      <c r="J204" s="83"/>
      <c r="K204" s="83"/>
      <c r="L204" s="83"/>
      <c r="M204" s="81" t="s">
        <v>52</v>
      </c>
      <c r="N204" s="85"/>
      <c r="O204" s="85"/>
      <c r="P204" s="81"/>
      <c r="Q204" s="81" t="s">
        <v>2044</v>
      </c>
      <c r="R204" s="82">
        <v>45791</v>
      </c>
      <c r="S204" s="81" t="s">
        <v>23</v>
      </c>
      <c r="T204" s="138" t="str">
        <f ca="1">IF(AND('Inserimento dati'!$B$3=$H$2, Tabella3[[#This Row],[LUN]]="X"), "X",IF(AND('Inserimento dati'!$B$3=$I$2, Tabella3[[#This Row],[MAR]]="X"), "X", IF(AND('Inserimento dati'!$B$3=$J$2, Tabella3[[#This Row],[MER]]="X"), "X",IF(AND('Inserimento dati'!$B$3=$K$2, Tabella3[[#This Row],[GIO]]="X"), "X", IF(AND('Inserimento dati'!$B$3=$L$2, Tabella3[[#This Row],[VEN]]="X"), "X","")))))</f>
        <v/>
      </c>
      <c r="U204" s="154" t="str">
        <f t="shared" ca="1" si="10"/>
        <v>10218265</v>
      </c>
    </row>
    <row r="205" spans="1:21" ht="23.25" x14ac:dyDescent="0.25">
      <c r="A205" s="84"/>
      <c r="B205" s="84" t="str">
        <f t="shared" ref="B205:B211" si="11">IF(OR(A205="x",A205="X"),"",IF(ISBLANK(A205),"X",""))</f>
        <v>X</v>
      </c>
      <c r="C205" s="84" t="str">
        <f>IF(OR(Tabella3[[#This Row],[LUN]]="X",Tabella3[[#This Row],[MAR]]="X",Tabella3[[#This Row],[MER]]="X",Tabella3[[#This Row],[GIO]]="X",Tabella3[[#This Row],[VEN]]="X",),"X","")</f>
        <v/>
      </c>
      <c r="D205" s="85" t="s">
        <v>10</v>
      </c>
      <c r="E205" s="81" t="s">
        <v>2045</v>
      </c>
      <c r="F205" s="81">
        <v>800</v>
      </c>
      <c r="G205" s="81" t="s">
        <v>2046</v>
      </c>
      <c r="H205" s="83"/>
      <c r="I205" s="83"/>
      <c r="J205" s="83"/>
      <c r="K205" s="83"/>
      <c r="L205" s="83"/>
      <c r="M205" s="81" t="s">
        <v>52</v>
      </c>
      <c r="N205" s="85"/>
      <c r="O205" s="85"/>
      <c r="P205" s="81"/>
      <c r="Q205" s="81" t="s">
        <v>2047</v>
      </c>
      <c r="R205" s="82">
        <v>45790</v>
      </c>
      <c r="S205" s="81" t="s">
        <v>238</v>
      </c>
      <c r="T205" s="150" t="str">
        <f ca="1">IF(AND('Inserimento dati'!$B$3=$H$2, Tabella3[[#This Row],[LUN]]="X"), "X",IF(AND('Inserimento dati'!$B$3=$I$2, Tabella3[[#This Row],[MAR]]="X"), "X", IF(AND('Inserimento dati'!$B$3=$J$2, Tabella3[[#This Row],[MER]]="X"), "X",IF(AND('Inserimento dati'!$B$3=$K$2, Tabella3[[#This Row],[GIO]]="X"), "X", IF(AND('Inserimento dati'!$B$3=$L$2, Tabella3[[#This Row],[VEN]]="X"), "X","")))))</f>
        <v/>
      </c>
      <c r="U205" s="154" t="str">
        <f t="shared" ca="1" si="10"/>
        <v/>
      </c>
    </row>
    <row r="206" spans="1:21" ht="23.25" x14ac:dyDescent="0.25">
      <c r="A206" s="84"/>
      <c r="B206" s="84" t="str">
        <f t="shared" si="11"/>
        <v>X</v>
      </c>
      <c r="C206" s="84" t="str">
        <f>IF(OR(Tabella3[[#This Row],[LUN]]="X",Tabella3[[#This Row],[MAR]]="X",Tabella3[[#This Row],[MER]]="X",Tabella3[[#This Row],[GIO]]="X",Tabella3[[#This Row],[VEN]]="X",),"X","")</f>
        <v/>
      </c>
      <c r="D206" s="85" t="s">
        <v>10</v>
      </c>
      <c r="E206" s="81" t="s">
        <v>2048</v>
      </c>
      <c r="F206" s="81" t="s">
        <v>160</v>
      </c>
      <c r="G206" s="81" t="s">
        <v>2049</v>
      </c>
      <c r="H206" s="83"/>
      <c r="I206" s="83"/>
      <c r="J206" s="83"/>
      <c r="K206" s="83"/>
      <c r="L206" s="83"/>
      <c r="M206" s="81" t="s">
        <v>52</v>
      </c>
      <c r="N206" s="103"/>
      <c r="O206" s="85"/>
      <c r="P206" s="81"/>
      <c r="Q206" s="81" t="s">
        <v>2044</v>
      </c>
      <c r="R206" s="82">
        <v>45791</v>
      </c>
      <c r="S206" s="81" t="s">
        <v>23</v>
      </c>
      <c r="T206" s="132" t="str">
        <f ca="1">IF(AND('Inserimento dati'!$B$3=$H$2, Tabella3[[#This Row],[LUN]]="X"), "X",IF(AND('Inserimento dati'!$B$3=$I$2, Tabella3[[#This Row],[MAR]]="X"), "X", IF(AND('Inserimento dati'!$B$3=$J$2, Tabella3[[#This Row],[MER]]="X"), "X",IF(AND('Inserimento dati'!$B$3=$K$2, Tabella3[[#This Row],[GIO]]="X"), "X", IF(AND('Inserimento dati'!$B$3=$L$2, Tabella3[[#This Row],[VEN]]="X"), "X","")))))</f>
        <v/>
      </c>
      <c r="U206" s="154" t="str">
        <f t="shared" ca="1" si="10"/>
        <v>10223752</v>
      </c>
    </row>
    <row r="207" spans="1:21" ht="23.25" x14ac:dyDescent="0.25">
      <c r="A207" s="84"/>
      <c r="B207" s="84" t="str">
        <f t="shared" si="11"/>
        <v>X</v>
      </c>
      <c r="C207" s="84" t="str">
        <f>IF(OR(Tabella3[[#This Row],[LUN]]="X",Tabella3[[#This Row],[MAR]]="X",Tabella3[[#This Row],[MER]]="X",Tabella3[[#This Row],[GIO]]="X",Tabella3[[#This Row],[VEN]]="X",),"X","")</f>
        <v/>
      </c>
      <c r="D207" s="85" t="s">
        <v>10</v>
      </c>
      <c r="E207" s="81" t="s">
        <v>2050</v>
      </c>
      <c r="F207" s="81" t="s">
        <v>160</v>
      </c>
      <c r="G207" s="81" t="s">
        <v>2051</v>
      </c>
      <c r="H207" s="83"/>
      <c r="I207" s="83"/>
      <c r="J207" s="83"/>
      <c r="K207" s="83"/>
      <c r="L207" s="83"/>
      <c r="M207" s="81" t="s">
        <v>52</v>
      </c>
      <c r="N207" s="103"/>
      <c r="O207" s="85"/>
      <c r="P207" s="81"/>
      <c r="Q207" s="81" t="s">
        <v>2044</v>
      </c>
      <c r="R207" s="82">
        <v>45791</v>
      </c>
      <c r="S207" s="81" t="s">
        <v>23</v>
      </c>
      <c r="T207" s="132" t="str">
        <f ca="1">IF(AND('Inserimento dati'!$B$3=$H$2, Tabella3[[#This Row],[LUN]]="X"), "X",IF(AND('Inserimento dati'!$B$3=$I$2, Tabella3[[#This Row],[MAR]]="X"), "X", IF(AND('Inserimento dati'!$B$3=$J$2, Tabella3[[#This Row],[MER]]="X"), "X",IF(AND('Inserimento dati'!$B$3=$K$2, Tabella3[[#This Row],[GIO]]="X"), "X", IF(AND('Inserimento dati'!$B$3=$L$2, Tabella3[[#This Row],[VEN]]="X"), "X","")))))</f>
        <v/>
      </c>
      <c r="U207" s="154" t="str">
        <f t="shared" ca="1" si="10"/>
        <v>10223751</v>
      </c>
    </row>
    <row r="208" spans="1:21" ht="23.25" x14ac:dyDescent="0.25">
      <c r="A208" s="84"/>
      <c r="B208" s="84" t="str">
        <f t="shared" si="11"/>
        <v>X</v>
      </c>
      <c r="C208" s="84" t="str">
        <f>IF(OR(Tabella3[[#This Row],[LUN]]="X",Tabella3[[#This Row],[MAR]]="X",Tabella3[[#This Row],[MER]]="X",Tabella3[[#This Row],[GIO]]="X",Tabella3[[#This Row],[VEN]]="X",),"X","")</f>
        <v/>
      </c>
      <c r="D208" s="85" t="s">
        <v>10</v>
      </c>
      <c r="E208" s="81" t="s">
        <v>2052</v>
      </c>
      <c r="F208" s="81" t="s">
        <v>160</v>
      </c>
      <c r="G208" s="81" t="s">
        <v>2053</v>
      </c>
      <c r="H208" s="83"/>
      <c r="I208" s="83"/>
      <c r="J208" s="83"/>
      <c r="K208" s="83"/>
      <c r="L208" s="83"/>
      <c r="M208" s="81" t="s">
        <v>52</v>
      </c>
      <c r="N208" s="85"/>
      <c r="O208" s="85"/>
      <c r="P208" s="81"/>
      <c r="Q208" s="81" t="s">
        <v>2044</v>
      </c>
      <c r="R208" s="82">
        <v>45791</v>
      </c>
      <c r="S208" s="81" t="s">
        <v>23</v>
      </c>
      <c r="T208" s="150" t="str">
        <f ca="1">IF(AND('Inserimento dati'!$B$3=$H$2, Tabella3[[#This Row],[LUN]]="X"), "X",IF(AND('Inserimento dati'!$B$3=$I$2, Tabella3[[#This Row],[MAR]]="X"), "X", IF(AND('Inserimento dati'!$B$3=$J$2, Tabella3[[#This Row],[MER]]="X"), "X",IF(AND('Inserimento dati'!$B$3=$K$2, Tabella3[[#This Row],[GIO]]="X"), "X", IF(AND('Inserimento dati'!$B$3=$L$2, Tabella3[[#This Row],[VEN]]="X"), "X","")))))</f>
        <v/>
      </c>
      <c r="U208" s="154" t="str">
        <f t="shared" ca="1" si="10"/>
        <v>10223749</v>
      </c>
    </row>
    <row r="209" spans="1:21" ht="30" x14ac:dyDescent="0.25">
      <c r="A209" s="84"/>
      <c r="B209" s="84" t="str">
        <f t="shared" si="11"/>
        <v>X</v>
      </c>
      <c r="C209" s="84" t="str">
        <f>IF(OR(Tabella3[[#This Row],[LUN]]="X",Tabella3[[#This Row],[MAR]]="X",Tabella3[[#This Row],[MER]]="X",Tabella3[[#This Row],[GIO]]="X",Tabella3[[#This Row],[VEN]]="X",),"X","")</f>
        <v/>
      </c>
      <c r="D209" s="85" t="s">
        <v>10</v>
      </c>
      <c r="E209" s="81" t="s">
        <v>2054</v>
      </c>
      <c r="F209" s="81" t="s">
        <v>198</v>
      </c>
      <c r="G209" s="81" t="s">
        <v>2055</v>
      </c>
      <c r="H209" s="83"/>
      <c r="I209" s="83"/>
      <c r="J209" s="83"/>
      <c r="K209" s="83"/>
      <c r="L209" s="83"/>
      <c r="M209" s="81" t="s">
        <v>52</v>
      </c>
      <c r="N209" s="85"/>
      <c r="O209" s="85"/>
      <c r="P209" s="81"/>
      <c r="Q209" s="81"/>
      <c r="R209" s="82">
        <v>45785</v>
      </c>
      <c r="S209" s="81" t="s">
        <v>23</v>
      </c>
      <c r="T209" s="138" t="str">
        <f ca="1">IF(AND('Inserimento dati'!$B$3=$H$2, Tabella3[[#This Row],[LUN]]="X"), "X",IF(AND('Inserimento dati'!$B$3=$I$2, Tabella3[[#This Row],[MAR]]="X"), "X", IF(AND('Inserimento dati'!$B$3=$J$2, Tabella3[[#This Row],[MER]]="X"), "X",IF(AND('Inserimento dati'!$B$3=$K$2, Tabella3[[#This Row],[GIO]]="X"), "X", IF(AND('Inserimento dati'!$B$3=$L$2, Tabella3[[#This Row],[VEN]]="X"), "X","")))))</f>
        <v/>
      </c>
      <c r="U209" s="154" t="str">
        <f t="shared" ca="1" si="10"/>
        <v/>
      </c>
    </row>
    <row r="210" spans="1:21" ht="30" x14ac:dyDescent="0.25">
      <c r="A210" s="84"/>
      <c r="B210" s="84" t="str">
        <f t="shared" si="11"/>
        <v>X</v>
      </c>
      <c r="C210" s="84" t="str">
        <f>IF(OR(Tabella3[[#This Row],[LUN]]="X",Tabella3[[#This Row],[MAR]]="X",Tabella3[[#This Row],[MER]]="X",Tabella3[[#This Row],[GIO]]="X",Tabella3[[#This Row],[VEN]]="X",),"X","")</f>
        <v/>
      </c>
      <c r="D210" s="85" t="s">
        <v>10</v>
      </c>
      <c r="E210" s="81" t="s">
        <v>2056</v>
      </c>
      <c r="F210" s="81" t="s">
        <v>198</v>
      </c>
      <c r="G210" s="81" t="s">
        <v>2057</v>
      </c>
      <c r="H210" s="83"/>
      <c r="I210" s="83"/>
      <c r="J210" s="83"/>
      <c r="K210" s="83"/>
      <c r="L210" s="83"/>
      <c r="M210" s="81" t="s">
        <v>52</v>
      </c>
      <c r="N210" s="85"/>
      <c r="O210" s="85"/>
      <c r="P210" s="81"/>
      <c r="Q210" s="81"/>
      <c r="R210" s="82">
        <v>45785</v>
      </c>
      <c r="S210" s="81" t="s">
        <v>23</v>
      </c>
      <c r="T210" s="138" t="str">
        <f ca="1">IF(AND('Inserimento dati'!$B$3=$H$2, Tabella3[[#This Row],[LUN]]="X"), "X",IF(AND('Inserimento dati'!$B$3=$I$2, Tabella3[[#This Row],[MAR]]="X"), "X", IF(AND('Inserimento dati'!$B$3=$J$2, Tabella3[[#This Row],[MER]]="X"), "X",IF(AND('Inserimento dati'!$B$3=$K$2, Tabella3[[#This Row],[GIO]]="X"), "X", IF(AND('Inserimento dati'!$B$3=$L$2, Tabella3[[#This Row],[VEN]]="X"), "X","")))))</f>
        <v/>
      </c>
      <c r="U210" s="154" t="str">
        <f t="shared" ca="1" si="10"/>
        <v/>
      </c>
    </row>
    <row r="211" spans="1:21" ht="45" x14ac:dyDescent="0.25">
      <c r="A211" s="84"/>
      <c r="B211" s="84" t="str">
        <f t="shared" si="11"/>
        <v>X</v>
      </c>
      <c r="C211" s="84" t="str">
        <f>IF(OR(Tabella3[[#This Row],[LUN]]="X",Tabella3[[#This Row],[MAR]]="X",Tabella3[[#This Row],[MER]]="X",Tabella3[[#This Row],[GIO]]="X",Tabella3[[#This Row],[VEN]]="X",),"X","")</f>
        <v/>
      </c>
      <c r="D211" s="85" t="s">
        <v>10</v>
      </c>
      <c r="E211" s="81" t="s">
        <v>2058</v>
      </c>
      <c r="F211" s="81" t="s">
        <v>198</v>
      </c>
      <c r="G211" s="81" t="s">
        <v>2059</v>
      </c>
      <c r="H211" s="83"/>
      <c r="I211" s="83"/>
      <c r="J211" s="83"/>
      <c r="K211" s="83"/>
      <c r="L211" s="83"/>
      <c r="M211" s="81" t="s">
        <v>52</v>
      </c>
      <c r="N211" s="85"/>
      <c r="O211" s="85"/>
      <c r="P211" s="81"/>
      <c r="Q211" s="81" t="s">
        <v>2060</v>
      </c>
      <c r="R211" s="82">
        <v>45762</v>
      </c>
      <c r="S211" s="81" t="s">
        <v>2061</v>
      </c>
      <c r="T211" s="138" t="str">
        <f ca="1">IF(AND('Inserimento dati'!$B$3=$H$2, Tabella3[[#This Row],[LUN]]="X"), "X",IF(AND('Inserimento dati'!$B$3=$I$2, Tabella3[[#This Row],[MAR]]="X"), "X", IF(AND('Inserimento dati'!$B$3=$J$2, Tabella3[[#This Row],[MER]]="X"), "X",IF(AND('Inserimento dati'!$B$3=$K$2, Tabella3[[#This Row],[GIO]]="X"), "X", IF(AND('Inserimento dati'!$B$3=$L$2, Tabella3[[#This Row],[VEN]]="X"), "X","")))))</f>
        <v/>
      </c>
      <c r="U211" s="154" t="str">
        <f t="shared" ca="1" si="10"/>
        <v/>
      </c>
    </row>
    <row r="212" spans="1:21" ht="23.25" x14ac:dyDescent="0.25">
      <c r="A212" s="84"/>
      <c r="B212" s="84" t="s">
        <v>8</v>
      </c>
      <c r="C212" s="84" t="str">
        <f>IF(OR(Tabella3[[#This Row],[LUN]]="X",Tabella3[[#This Row],[MAR]]="X",Tabella3[[#This Row],[MER]]="X",Tabella3[[#This Row],[GIO]]="X",Tabella3[[#This Row],[VEN]]="X",),"X","")</f>
        <v/>
      </c>
      <c r="D212" s="85" t="s">
        <v>10</v>
      </c>
      <c r="E212" s="81" t="s">
        <v>2062</v>
      </c>
      <c r="F212" s="81" t="s">
        <v>199</v>
      </c>
      <c r="G212" s="81" t="s">
        <v>2063</v>
      </c>
      <c r="H212" s="83"/>
      <c r="I212" s="83"/>
      <c r="J212" s="83"/>
      <c r="K212" s="83"/>
      <c r="L212" s="83"/>
      <c r="M212" s="81" t="s">
        <v>52</v>
      </c>
      <c r="N212" s="85"/>
      <c r="O212" s="85"/>
      <c r="P212" s="81"/>
      <c r="Q212" s="81" t="s">
        <v>1552</v>
      </c>
      <c r="R212" s="82">
        <v>45798</v>
      </c>
      <c r="S212" s="81" t="s">
        <v>267</v>
      </c>
      <c r="T212" s="152" t="str">
        <f ca="1">IF(AND('Inserimento dati'!$B$3=$H$2, Tabella3[[#This Row],[LUN]]="X"), "X",IF(AND('Inserimento dati'!$B$3=$I$2, Tabella3[[#This Row],[MAR]]="X"), "X", IF(AND('Inserimento dati'!$B$3=$J$2, Tabella3[[#This Row],[MER]]="X"), "X",IF(AND('Inserimento dati'!$B$3=$K$2, Tabella3[[#This Row],[GIO]]="X"), "X", IF(AND('Inserimento dati'!$B$3=$L$2, Tabella3[[#This Row],[VEN]]="X"), "X","")))))</f>
        <v/>
      </c>
      <c r="U212" s="155" t="str">
        <f t="shared" ca="1" si="10"/>
        <v/>
      </c>
    </row>
    <row r="213" spans="1:21" ht="30" x14ac:dyDescent="0.25">
      <c r="A213" s="84"/>
      <c r="B213" s="84">
        <v>1</v>
      </c>
      <c r="C213" s="84" t="str">
        <f>IF(OR(Tabella3[[#This Row],[LUN]]="X",Tabella3[[#This Row],[MAR]]="X",Tabella3[[#This Row],[MER]]="X",Tabella3[[#This Row],[GIO]]="X",Tabella3[[#This Row],[VEN]]="X",),"X","")</f>
        <v/>
      </c>
      <c r="D213" s="85" t="s">
        <v>10</v>
      </c>
      <c r="E213" s="81" t="s">
        <v>2064</v>
      </c>
      <c r="F213" s="81" t="s">
        <v>160</v>
      </c>
      <c r="G213" s="81" t="s">
        <v>2065</v>
      </c>
      <c r="H213" s="83"/>
      <c r="I213" s="83"/>
      <c r="J213" s="83"/>
      <c r="K213" s="83"/>
      <c r="L213" s="83"/>
      <c r="M213" s="81" t="s">
        <v>52</v>
      </c>
      <c r="N213" s="85"/>
      <c r="O213" s="85"/>
      <c r="P213" s="81"/>
      <c r="Q213" s="81" t="s">
        <v>2066</v>
      </c>
      <c r="R213" s="82">
        <v>45800</v>
      </c>
      <c r="S213" s="81" t="s">
        <v>2067</v>
      </c>
      <c r="T213" s="138" t="str">
        <f ca="1">IF(AND('Inserimento dati'!$B$3=$H$2, Tabella3[[#This Row],[LUN]]="X"), "X",IF(AND('Inserimento dati'!$B$3=$I$2, Tabella3[[#This Row],[MAR]]="X"), "X", IF(AND('Inserimento dati'!$B$3=$J$2, Tabella3[[#This Row],[MER]]="X"), "X",IF(AND('Inserimento dati'!$B$3=$K$2, Tabella3[[#This Row],[GIO]]="X"), "X", IF(AND('Inserimento dati'!$B$3=$L$2, Tabella3[[#This Row],[VEN]]="X"), "X","")))))</f>
        <v/>
      </c>
      <c r="U213" s="154" t="str">
        <f t="shared" ca="1" si="10"/>
        <v>10221653</v>
      </c>
    </row>
    <row r="214" spans="1:21" ht="30" x14ac:dyDescent="0.25">
      <c r="A214" s="84"/>
      <c r="B214" s="84">
        <v>4</v>
      </c>
      <c r="C214" s="84" t="str">
        <f>IF(OR(Tabella3[[#This Row],[LUN]]="X",Tabella3[[#This Row],[MAR]]="X",Tabella3[[#This Row],[MER]]="X",Tabella3[[#This Row],[GIO]]="X",Tabella3[[#This Row],[VEN]]="X",),"X","")</f>
        <v/>
      </c>
      <c r="D214" s="85" t="s">
        <v>10</v>
      </c>
      <c r="E214" s="81" t="s">
        <v>2068</v>
      </c>
      <c r="F214" s="81" t="s">
        <v>199</v>
      </c>
      <c r="G214" s="81" t="s">
        <v>2069</v>
      </c>
      <c r="H214" s="83"/>
      <c r="I214" s="83"/>
      <c r="J214" s="83"/>
      <c r="K214" s="83"/>
      <c r="L214" s="83"/>
      <c r="M214" s="81" t="s">
        <v>52</v>
      </c>
      <c r="N214" s="85"/>
      <c r="O214" s="85"/>
      <c r="P214" s="81"/>
      <c r="Q214" s="81" t="s">
        <v>2070</v>
      </c>
      <c r="R214" s="82">
        <v>45792</v>
      </c>
      <c r="S214" s="81" t="s">
        <v>1483</v>
      </c>
      <c r="T214" s="150" t="str">
        <f ca="1">IF(AND('Inserimento dati'!$B$3=$H$2, Tabella3[[#This Row],[LUN]]="X"), "X",IF(AND('Inserimento dati'!$B$3=$I$2, Tabella3[[#This Row],[MAR]]="X"), "X", IF(AND('Inserimento dati'!$B$3=$J$2, Tabella3[[#This Row],[MER]]="X"), "X",IF(AND('Inserimento dati'!$B$3=$K$2, Tabella3[[#This Row],[GIO]]="X"), "X", IF(AND('Inserimento dati'!$B$3=$L$2, Tabella3[[#This Row],[VEN]]="X"), "X","")))))</f>
        <v/>
      </c>
      <c r="U214" s="154" t="str">
        <f t="shared" ca="1" si="10"/>
        <v/>
      </c>
    </row>
    <row r="215" spans="1:21" ht="23.25" x14ac:dyDescent="0.25">
      <c r="A215" s="84"/>
      <c r="B215" s="84">
        <v>1</v>
      </c>
      <c r="C215" s="84" t="str">
        <f>IF(OR(Tabella3[[#This Row],[LUN]]="X",Tabella3[[#This Row],[MAR]]="X",Tabella3[[#This Row],[MER]]="X",Tabella3[[#This Row],[GIO]]="X",Tabella3[[#This Row],[VEN]]="X",),"X","")</f>
        <v/>
      </c>
      <c r="D215" s="85" t="s">
        <v>10</v>
      </c>
      <c r="E215" s="81" t="s">
        <v>2071</v>
      </c>
      <c r="F215" s="81" t="s">
        <v>198</v>
      </c>
      <c r="G215" s="81" t="s">
        <v>2072</v>
      </c>
      <c r="H215" s="83"/>
      <c r="I215" s="83"/>
      <c r="J215" s="83"/>
      <c r="K215" s="83"/>
      <c r="L215" s="83"/>
      <c r="M215" s="81" t="s">
        <v>52</v>
      </c>
      <c r="N215" s="85"/>
      <c r="O215" s="85"/>
      <c r="P215" s="81"/>
      <c r="Q215" s="81"/>
      <c r="R215" s="82"/>
      <c r="S215" s="81"/>
      <c r="T215" s="138" t="str">
        <f ca="1">IF(AND('Inserimento dati'!$B$3=$H$2, Tabella3[[#This Row],[LUN]]="X"), "X",IF(AND('Inserimento dati'!$B$3=$I$2, Tabella3[[#This Row],[MAR]]="X"), "X", IF(AND('Inserimento dati'!$B$3=$J$2, Tabella3[[#This Row],[MER]]="X"), "X",IF(AND('Inserimento dati'!$B$3=$K$2, Tabella3[[#This Row],[GIO]]="X"), "X", IF(AND('Inserimento dati'!$B$3=$L$2, Tabella3[[#This Row],[VEN]]="X"), "X","")))))</f>
        <v/>
      </c>
      <c r="U215" s="154" t="str">
        <f t="shared" ca="1" si="10"/>
        <v/>
      </c>
    </row>
    <row r="216" spans="1:21" ht="30" x14ac:dyDescent="0.25">
      <c r="A216" s="84"/>
      <c r="B216" s="84">
        <v>1</v>
      </c>
      <c r="C216" s="84" t="str">
        <f>IF(OR(Tabella3[[#This Row],[LUN]]="X",Tabella3[[#This Row],[MAR]]="X",Tabella3[[#This Row],[MER]]="X",Tabella3[[#This Row],[GIO]]="X",Tabella3[[#This Row],[VEN]]="X",),"X","")</f>
        <v/>
      </c>
      <c r="D216" s="85" t="s">
        <v>10</v>
      </c>
      <c r="E216" s="81" t="s">
        <v>2073</v>
      </c>
      <c r="F216" s="81" t="s">
        <v>198</v>
      </c>
      <c r="G216" s="81" t="s">
        <v>2074</v>
      </c>
      <c r="H216" s="83"/>
      <c r="I216" s="83"/>
      <c r="J216" s="83"/>
      <c r="K216" s="83"/>
      <c r="L216" s="83"/>
      <c r="M216" s="81" t="s">
        <v>52</v>
      </c>
      <c r="N216" s="85"/>
      <c r="O216" s="85"/>
      <c r="P216" s="81"/>
      <c r="Q216" s="81" t="s">
        <v>2075</v>
      </c>
      <c r="R216" s="82">
        <v>45797</v>
      </c>
      <c r="S216" s="81" t="s">
        <v>238</v>
      </c>
      <c r="T216" s="138" t="str">
        <f ca="1">IF(AND('Inserimento dati'!$B$3=$H$2, Tabella3[[#This Row],[LUN]]="X"), "X",IF(AND('Inserimento dati'!$B$3=$I$2, Tabella3[[#This Row],[MAR]]="X"), "X", IF(AND('Inserimento dati'!$B$3=$J$2, Tabella3[[#This Row],[MER]]="X"), "X",IF(AND('Inserimento dati'!$B$3=$K$2, Tabella3[[#This Row],[GIO]]="X"), "X", IF(AND('Inserimento dati'!$B$3=$L$2, Tabella3[[#This Row],[VEN]]="X"), "X","")))))</f>
        <v/>
      </c>
      <c r="U216" s="155" t="str">
        <f t="shared" ca="1" si="10"/>
        <v/>
      </c>
    </row>
    <row r="217" spans="1:21" ht="60" x14ac:dyDescent="0.25">
      <c r="A217" s="84"/>
      <c r="B217" s="84" t="str">
        <f>IF(OR(A217="x",A217="X"),"",IF(ISBLANK(A217),"X",""))</f>
        <v>X</v>
      </c>
      <c r="C217" s="84" t="str">
        <f>IF(OR(Tabella3[[#This Row],[LUN]]="X",Tabella3[[#This Row],[MAR]]="X",Tabella3[[#This Row],[MER]]="X",Tabella3[[#This Row],[GIO]]="X",Tabella3[[#This Row],[VEN]]="X",),"X","")</f>
        <v/>
      </c>
      <c r="D217" s="85" t="s">
        <v>10</v>
      </c>
      <c r="E217" s="81" t="s">
        <v>2076</v>
      </c>
      <c r="F217" s="81" t="s">
        <v>201</v>
      </c>
      <c r="G217" s="81" t="s">
        <v>2077</v>
      </c>
      <c r="H217" s="83"/>
      <c r="I217" s="83"/>
      <c r="J217" s="83"/>
      <c r="K217" s="83"/>
      <c r="L217" s="83"/>
      <c r="M217" s="81" t="s">
        <v>52</v>
      </c>
      <c r="N217" s="85"/>
      <c r="O217" s="85"/>
      <c r="P217" s="81"/>
      <c r="Q217" s="81" t="s">
        <v>2078</v>
      </c>
      <c r="R217" s="82">
        <v>45804</v>
      </c>
      <c r="S217" s="81" t="s">
        <v>2079</v>
      </c>
      <c r="T217" s="150" t="str">
        <f ca="1">IF(AND('Inserimento dati'!$B$3=$H$2, Tabella3[[#This Row],[LUN]]="X"), "X",IF(AND('Inserimento dati'!$B$3=$I$2, Tabella3[[#This Row],[MAR]]="X"), "X", IF(AND('Inserimento dati'!$B$3=$J$2, Tabella3[[#This Row],[MER]]="X"), "X",IF(AND('Inserimento dati'!$B$3=$K$2, Tabella3[[#This Row],[GIO]]="X"), "X", IF(AND('Inserimento dati'!$B$3=$L$2, Tabella3[[#This Row],[VEN]]="X"), "X","")))))</f>
        <v/>
      </c>
      <c r="U217" s="145" t="str">
        <f t="shared" ca="1" si="10"/>
        <v/>
      </c>
    </row>
    <row r="218" spans="1:21" ht="30" x14ac:dyDescent="0.25">
      <c r="A218" s="84"/>
      <c r="B218" s="84" t="str">
        <f>IF(OR(A218="x",A218="X"),"",IF(ISBLANK(A218),"X",""))</f>
        <v>X</v>
      </c>
      <c r="C218" s="84" t="str">
        <f>IF(OR(Tabella3[[#This Row],[LUN]]="X",Tabella3[[#This Row],[MAR]]="X",Tabella3[[#This Row],[MER]]="X",Tabella3[[#This Row],[GIO]]="X",Tabella3[[#This Row],[VEN]]="X",),"X","")</f>
        <v/>
      </c>
      <c r="D218" s="85" t="s">
        <v>10</v>
      </c>
      <c r="E218" s="81" t="s">
        <v>2080</v>
      </c>
      <c r="F218" s="81" t="s">
        <v>201</v>
      </c>
      <c r="G218" s="81" t="s">
        <v>2081</v>
      </c>
      <c r="H218" s="83"/>
      <c r="I218" s="83"/>
      <c r="J218" s="83"/>
      <c r="K218" s="83"/>
      <c r="L218" s="83"/>
      <c r="M218" s="81" t="s">
        <v>52</v>
      </c>
      <c r="N218" s="85"/>
      <c r="O218" s="85"/>
      <c r="P218" s="81"/>
      <c r="Q218" s="81" t="s">
        <v>2082</v>
      </c>
      <c r="R218" s="82">
        <v>45804</v>
      </c>
      <c r="S218" s="81" t="s">
        <v>9</v>
      </c>
      <c r="T218" s="150" t="str">
        <f ca="1">IF(AND('Inserimento dati'!$B$3=$H$2, Tabella3[[#This Row],[LUN]]="X"), "X",IF(AND('Inserimento dati'!$B$3=$I$2, Tabella3[[#This Row],[MAR]]="X"), "X", IF(AND('Inserimento dati'!$B$3=$J$2, Tabella3[[#This Row],[MER]]="X"), "X",IF(AND('Inserimento dati'!$B$3=$K$2, Tabella3[[#This Row],[GIO]]="X"), "X", IF(AND('Inserimento dati'!$B$3=$L$2, Tabella3[[#This Row],[VEN]]="X"), "X","")))))</f>
        <v/>
      </c>
      <c r="U218" s="145" t="str">
        <f t="shared" ca="1" si="10"/>
        <v/>
      </c>
    </row>
    <row r="219" spans="1:21" ht="30" x14ac:dyDescent="0.25">
      <c r="A219" s="84"/>
      <c r="B219" s="84" t="s">
        <v>8</v>
      </c>
      <c r="C219" s="84" t="str">
        <f>IF(OR(Tabella3[[#This Row],[LUN]]="X",Tabella3[[#This Row],[MAR]]="X",Tabella3[[#This Row],[MER]]="X",Tabella3[[#This Row],[GIO]]="X",Tabella3[[#This Row],[VEN]]="X",),"X","")</f>
        <v/>
      </c>
      <c r="D219" s="85" t="s">
        <v>10</v>
      </c>
      <c r="E219" s="81" t="s">
        <v>2083</v>
      </c>
      <c r="F219" s="81" t="s">
        <v>160</v>
      </c>
      <c r="G219" s="81" t="s">
        <v>2084</v>
      </c>
      <c r="H219" s="83"/>
      <c r="I219" s="83"/>
      <c r="J219" s="83"/>
      <c r="K219" s="83"/>
      <c r="L219" s="83"/>
      <c r="M219" s="81" t="s">
        <v>52</v>
      </c>
      <c r="N219" s="85"/>
      <c r="O219" s="85"/>
      <c r="P219" s="81"/>
      <c r="Q219" s="81" t="s">
        <v>2085</v>
      </c>
      <c r="R219" s="82">
        <v>45805</v>
      </c>
      <c r="S219" s="81" t="s">
        <v>1211</v>
      </c>
      <c r="T219" s="150" t="str">
        <f ca="1">IF(AND('Inserimento dati'!$B$3=$H$2, Tabella3[[#This Row],[LUN]]="X"), "X",IF(AND('Inserimento dati'!$B$3=$I$2, Tabella3[[#This Row],[MAR]]="X"), "X", IF(AND('Inserimento dati'!$B$3=$J$2, Tabella3[[#This Row],[MER]]="X"), "X",IF(AND('Inserimento dati'!$B$3=$K$2, Tabella3[[#This Row],[GIO]]="X"), "X", IF(AND('Inserimento dati'!$B$3=$L$2, Tabella3[[#This Row],[VEN]]="X"), "X","")))))</f>
        <v/>
      </c>
      <c r="U219" s="145" t="str">
        <f t="shared" ca="1" si="10"/>
        <v>10224188</v>
      </c>
    </row>
    <row r="220" spans="1:21" ht="30" x14ac:dyDescent="0.25">
      <c r="A220" s="84"/>
      <c r="B220" s="84">
        <v>1</v>
      </c>
      <c r="C220" s="84" t="str">
        <f>IF(OR(Tabella3[[#This Row],[LUN]]="X",Tabella3[[#This Row],[MAR]]="X",Tabella3[[#This Row],[MER]]="X",Tabella3[[#This Row],[GIO]]="X",Tabella3[[#This Row],[VEN]]="X",),"X","")</f>
        <v/>
      </c>
      <c r="D220" s="85" t="s">
        <v>10</v>
      </c>
      <c r="E220" s="81" t="s">
        <v>2086</v>
      </c>
      <c r="F220" s="81" t="s">
        <v>203</v>
      </c>
      <c r="G220" s="81" t="s">
        <v>2087</v>
      </c>
      <c r="H220" s="83"/>
      <c r="I220" s="83"/>
      <c r="J220" s="83"/>
      <c r="K220" s="83"/>
      <c r="L220" s="83"/>
      <c r="M220" s="81" t="s">
        <v>52</v>
      </c>
      <c r="N220" s="85"/>
      <c r="O220" s="85"/>
      <c r="P220" s="81"/>
      <c r="Q220" s="81" t="s">
        <v>2088</v>
      </c>
      <c r="R220" s="82">
        <v>45805</v>
      </c>
      <c r="S220" s="81" t="s">
        <v>2089</v>
      </c>
      <c r="T220" s="152" t="str">
        <f ca="1">IF(AND('Inserimento dati'!$B$3=$H$2, Tabella3[[#This Row],[LUN]]="X"), "X",IF(AND('Inserimento dati'!$B$3=$I$2, Tabella3[[#This Row],[MAR]]="X"), "X", IF(AND('Inserimento dati'!$B$3=$J$2, Tabella3[[#This Row],[MER]]="X"), "X",IF(AND('Inserimento dati'!$B$3=$K$2, Tabella3[[#This Row],[GIO]]="X"), "X", IF(AND('Inserimento dati'!$B$3=$L$2, Tabella3[[#This Row],[VEN]]="X"), "X","")))))</f>
        <v/>
      </c>
      <c r="U220" s="154" t="str">
        <f t="shared" ca="1" si="10"/>
        <v/>
      </c>
    </row>
    <row r="221" spans="1:21" ht="23.25" x14ac:dyDescent="0.25">
      <c r="A221" s="84"/>
      <c r="B221" s="84" t="s">
        <v>8</v>
      </c>
      <c r="C221" s="84" t="str">
        <f>IF(OR(Tabella3[[#This Row],[LUN]]="X",Tabella3[[#This Row],[MAR]]="X",Tabella3[[#This Row],[MER]]="X",Tabella3[[#This Row],[GIO]]="X",Tabella3[[#This Row],[VEN]]="X",),"X","")</f>
        <v/>
      </c>
      <c r="D221" s="85" t="s">
        <v>10</v>
      </c>
      <c r="E221" s="81" t="s">
        <v>2090</v>
      </c>
      <c r="F221" s="81">
        <v>2200</v>
      </c>
      <c r="G221" s="81" t="s">
        <v>2091</v>
      </c>
      <c r="H221" s="83"/>
      <c r="I221" s="83"/>
      <c r="J221" s="83"/>
      <c r="K221" s="83"/>
      <c r="L221" s="83"/>
      <c r="M221" s="81" t="s">
        <v>52</v>
      </c>
      <c r="N221" s="85"/>
      <c r="O221" s="85"/>
      <c r="P221" s="81"/>
      <c r="Q221" s="81" t="s">
        <v>2092</v>
      </c>
      <c r="R221" s="82">
        <v>45805</v>
      </c>
      <c r="S221" s="81" t="s">
        <v>2093</v>
      </c>
      <c r="T221" s="150" t="str">
        <f ca="1">IF(AND('Inserimento dati'!$B$3=$H$2, Tabella3[[#This Row],[LUN]]="X"), "X",IF(AND('Inserimento dati'!$B$3=$I$2, Tabella3[[#This Row],[MAR]]="X"), "X", IF(AND('Inserimento dati'!$B$3=$J$2, Tabella3[[#This Row],[MER]]="X"), "X",IF(AND('Inserimento dati'!$B$3=$K$2, Tabella3[[#This Row],[GIO]]="X"), "X", IF(AND('Inserimento dati'!$B$3=$L$2, Tabella3[[#This Row],[VEN]]="X"), "X","")))))</f>
        <v/>
      </c>
      <c r="U221" s="145" t="str">
        <f t="shared" ca="1" si="10"/>
        <v/>
      </c>
    </row>
    <row r="222" spans="1:21" ht="45" x14ac:dyDescent="0.25">
      <c r="A222" s="84"/>
      <c r="B222" s="84" t="s">
        <v>8</v>
      </c>
      <c r="C222" s="84" t="str">
        <f>IF(OR(Tabella3[[#This Row],[LUN]]="X",Tabella3[[#This Row],[MAR]]="X",Tabella3[[#This Row],[MER]]="X",Tabella3[[#This Row],[GIO]]="X",Tabella3[[#This Row],[VEN]]="X",),"X","")</f>
        <v/>
      </c>
      <c r="D222" s="85" t="s">
        <v>10</v>
      </c>
      <c r="E222" s="81" t="s">
        <v>2094</v>
      </c>
      <c r="F222" s="81" t="s">
        <v>198</v>
      </c>
      <c r="G222" s="81" t="s">
        <v>2095</v>
      </c>
      <c r="H222" s="83"/>
      <c r="I222" s="83"/>
      <c r="J222" s="83"/>
      <c r="K222" s="83"/>
      <c r="L222" s="83"/>
      <c r="M222" s="81" t="s">
        <v>52</v>
      </c>
      <c r="N222" s="85"/>
      <c r="O222" s="85"/>
      <c r="P222" s="81"/>
      <c r="Q222" s="81" t="s">
        <v>2096</v>
      </c>
      <c r="R222" s="82">
        <v>45785</v>
      </c>
      <c r="S222" s="81" t="s">
        <v>23</v>
      </c>
      <c r="T222" s="138" t="str">
        <f ca="1">IF(AND('Inserimento dati'!$B$3=$H$2, Tabella3[[#This Row],[LUN]]="X"), "X",IF(AND('Inserimento dati'!$B$3=$I$2, Tabella3[[#This Row],[MAR]]="X"), "X", IF(AND('Inserimento dati'!$B$3=$J$2, Tabella3[[#This Row],[MER]]="X"), "X",IF(AND('Inserimento dati'!$B$3=$K$2, Tabella3[[#This Row],[GIO]]="X"), "X", IF(AND('Inserimento dati'!$B$3=$L$2, Tabella3[[#This Row],[VEN]]="X"), "X","")))))</f>
        <v/>
      </c>
      <c r="U222" s="154" t="str">
        <f t="shared" ca="1" si="10"/>
        <v/>
      </c>
    </row>
    <row r="223" spans="1:21" ht="23.25" x14ac:dyDescent="0.25">
      <c r="A223" s="84"/>
      <c r="B223" s="84" t="s">
        <v>8</v>
      </c>
      <c r="C223" s="84" t="str">
        <f>IF(OR(Tabella3[[#This Row],[LUN]]="X",Tabella3[[#This Row],[MAR]]="X",Tabella3[[#This Row],[MER]]="X",Tabella3[[#This Row],[GIO]]="X",Tabella3[[#This Row],[VEN]]="X",),"X","")</f>
        <v/>
      </c>
      <c r="D223" s="85" t="s">
        <v>10</v>
      </c>
      <c r="E223" s="81" t="s">
        <v>2097</v>
      </c>
      <c r="F223" s="81" t="s">
        <v>201</v>
      </c>
      <c r="G223" s="81" t="s">
        <v>2098</v>
      </c>
      <c r="H223" s="83"/>
      <c r="I223" s="83"/>
      <c r="J223" s="83"/>
      <c r="K223" s="83"/>
      <c r="L223" s="83"/>
      <c r="M223" s="81" t="s">
        <v>52</v>
      </c>
      <c r="N223" s="85"/>
      <c r="O223" s="85"/>
      <c r="P223" s="81"/>
      <c r="Q223" s="81"/>
      <c r="R223" s="82"/>
      <c r="S223" s="81"/>
      <c r="T223" s="150" t="str">
        <f ca="1">IF(AND('Inserimento dati'!$B$3=$H$2, Tabella3[[#This Row],[LUN]]="X"), "X",IF(AND('Inserimento dati'!$B$3=$I$2, Tabella3[[#This Row],[MAR]]="X"), "X", IF(AND('Inserimento dati'!$B$3=$J$2, Tabella3[[#This Row],[MER]]="X"), "X",IF(AND('Inserimento dati'!$B$3=$K$2, Tabella3[[#This Row],[GIO]]="X"), "X", IF(AND('Inserimento dati'!$B$3=$L$2, Tabella3[[#This Row],[VEN]]="X"), "X","")))))</f>
        <v/>
      </c>
      <c r="U223" s="145" t="str">
        <f t="shared" ca="1" si="10"/>
        <v/>
      </c>
    </row>
    <row r="224" spans="1:21" ht="23.25" x14ac:dyDescent="0.25">
      <c r="A224" s="84"/>
      <c r="B224" s="84">
        <v>1</v>
      </c>
      <c r="C224" s="84" t="str">
        <f>IF(OR(Tabella3[[#This Row],[LUN]]="X",Tabella3[[#This Row],[MAR]]="X",Tabella3[[#This Row],[MER]]="X",Tabella3[[#This Row],[GIO]]="X",Tabella3[[#This Row],[VEN]]="X",),"X","")</f>
        <v/>
      </c>
      <c r="D224" s="85" t="s">
        <v>10</v>
      </c>
      <c r="E224" s="81" t="s">
        <v>2099</v>
      </c>
      <c r="F224" s="81">
        <v>700</v>
      </c>
      <c r="G224" s="81" t="s">
        <v>2100</v>
      </c>
      <c r="H224" s="83"/>
      <c r="I224" s="83"/>
      <c r="J224" s="83"/>
      <c r="K224" s="83"/>
      <c r="L224" s="83"/>
      <c r="M224" s="81" t="s">
        <v>52</v>
      </c>
      <c r="N224" s="85"/>
      <c r="O224" s="85"/>
      <c r="P224" s="81"/>
      <c r="Q224" s="81"/>
      <c r="R224" s="82"/>
      <c r="S224" s="81"/>
      <c r="T224" s="152" t="str">
        <f ca="1">IF(AND('Inserimento dati'!$B$3=$H$2, Tabella3[[#This Row],[LUN]]="X"), "X",IF(AND('Inserimento dati'!$B$3=$I$2, Tabella3[[#This Row],[MAR]]="X"), "X", IF(AND('Inserimento dati'!$B$3=$J$2, Tabella3[[#This Row],[MER]]="X"), "X",IF(AND('Inserimento dati'!$B$3=$K$2, Tabella3[[#This Row],[GIO]]="X"), "X", IF(AND('Inserimento dati'!$B$3=$L$2, Tabella3[[#This Row],[VEN]]="X"), "X","")))))</f>
        <v/>
      </c>
      <c r="U224" s="154" t="str">
        <f t="shared" ca="1" si="10"/>
        <v>10220464</v>
      </c>
    </row>
    <row r="225" spans="1:21" ht="45" x14ac:dyDescent="0.25">
      <c r="A225" s="84"/>
      <c r="B225" s="84">
        <v>2</v>
      </c>
      <c r="C225" s="84" t="str">
        <f>IF(OR(Tabella3[[#This Row],[LUN]]="X",Tabella3[[#This Row],[MAR]]="X",Tabella3[[#This Row],[MER]]="X",Tabella3[[#This Row],[GIO]]="X",Tabella3[[#This Row],[VEN]]="X",),"X","")</f>
        <v/>
      </c>
      <c r="D225" s="85" t="s">
        <v>10</v>
      </c>
      <c r="E225" s="81" t="s">
        <v>79</v>
      </c>
      <c r="F225" s="81">
        <v>800</v>
      </c>
      <c r="G225" s="81" t="s">
        <v>2101</v>
      </c>
      <c r="H225" s="83"/>
      <c r="I225" s="83"/>
      <c r="J225" s="83"/>
      <c r="K225" s="83"/>
      <c r="L225" s="83"/>
      <c r="M225" s="81" t="s">
        <v>52</v>
      </c>
      <c r="N225" s="85"/>
      <c r="O225" s="85"/>
      <c r="P225" s="81"/>
      <c r="Q225" s="81" t="s">
        <v>80</v>
      </c>
      <c r="R225" s="82">
        <v>45770</v>
      </c>
      <c r="S225" s="81" t="s">
        <v>46</v>
      </c>
      <c r="T225" s="138" t="str">
        <f ca="1">IF(AND('Inserimento dati'!$B$3=$H$2, Tabella3[[#This Row],[LUN]]="X"), "X",IF(AND('Inserimento dati'!$B$3=$I$2, Tabella3[[#This Row],[MAR]]="X"), "X", IF(AND('Inserimento dati'!$B$3=$J$2, Tabella3[[#This Row],[MER]]="X"), "X",IF(AND('Inserimento dati'!$B$3=$K$2, Tabella3[[#This Row],[GIO]]="X"), "X", IF(AND('Inserimento dati'!$B$3=$L$2, Tabella3[[#This Row],[VEN]]="X"), "X","")))))</f>
        <v/>
      </c>
      <c r="U225" s="154" t="str">
        <f t="shared" ca="1" si="10"/>
        <v>10218060</v>
      </c>
    </row>
    <row r="226" spans="1:21" ht="30" x14ac:dyDescent="0.25">
      <c r="A226" s="84"/>
      <c r="B226" s="84">
        <v>3</v>
      </c>
      <c r="C226" s="84" t="str">
        <f>IF(OR(Tabella3[[#This Row],[LUN]]="X",Tabella3[[#This Row],[MAR]]="X",Tabella3[[#This Row],[MER]]="X",Tabella3[[#This Row],[GIO]]="X",Tabella3[[#This Row],[VEN]]="X",),"X","")</f>
        <v/>
      </c>
      <c r="D226" s="85" t="s">
        <v>10</v>
      </c>
      <c r="E226" s="81" t="s">
        <v>2102</v>
      </c>
      <c r="F226" s="81">
        <v>1400</v>
      </c>
      <c r="G226" s="81" t="s">
        <v>2103</v>
      </c>
      <c r="H226" s="83"/>
      <c r="I226" s="83"/>
      <c r="J226" s="83"/>
      <c r="K226" s="83"/>
      <c r="L226" s="83"/>
      <c r="M226" s="81" t="s">
        <v>52</v>
      </c>
      <c r="N226" s="85"/>
      <c r="O226" s="85"/>
      <c r="P226" s="81"/>
      <c r="Q226" s="81" t="s">
        <v>2104</v>
      </c>
      <c r="R226" s="82">
        <v>45812</v>
      </c>
      <c r="S226" s="81" t="s">
        <v>2105</v>
      </c>
      <c r="T226" s="132" t="str">
        <f ca="1">IF(AND('Inserimento dati'!$B$3=$H$2, Tabella3[[#This Row],[LUN]]="X"), "X",IF(AND('Inserimento dati'!$B$3=$I$2, Tabella3[[#This Row],[MAR]]="X"), "X", IF(AND('Inserimento dati'!$B$3=$J$2, Tabella3[[#This Row],[MER]]="X"), "X",IF(AND('Inserimento dati'!$B$3=$K$2, Tabella3[[#This Row],[GIO]]="X"), "X", IF(AND('Inserimento dati'!$B$3=$L$2, Tabella3[[#This Row],[VEN]]="X"), "X","")))))</f>
        <v/>
      </c>
      <c r="U226" s="145" t="str">
        <f t="shared" ca="1" si="10"/>
        <v>10225267</v>
      </c>
    </row>
    <row r="227" spans="1:21" ht="23.25" x14ac:dyDescent="0.25">
      <c r="A227" s="84"/>
      <c r="B227" s="84">
        <v>4</v>
      </c>
      <c r="C227" s="84" t="str">
        <f>IF(OR(Tabella3[[#This Row],[LUN]]="X",Tabella3[[#This Row],[MAR]]="X",Tabella3[[#This Row],[MER]]="X",Tabella3[[#This Row],[GIO]]="X",Tabella3[[#This Row],[VEN]]="X",),"X","")</f>
        <v/>
      </c>
      <c r="D227" s="85" t="s">
        <v>10</v>
      </c>
      <c r="E227" s="81" t="s">
        <v>2106</v>
      </c>
      <c r="F227" s="81" t="s">
        <v>201</v>
      </c>
      <c r="G227" s="81" t="s">
        <v>2107</v>
      </c>
      <c r="H227" s="83"/>
      <c r="I227" s="83"/>
      <c r="J227" s="83"/>
      <c r="K227" s="83"/>
      <c r="L227" s="83"/>
      <c r="M227" s="81" t="s">
        <v>52</v>
      </c>
      <c r="N227" s="85"/>
      <c r="O227" s="85"/>
      <c r="P227" s="81"/>
      <c r="Q227" s="81"/>
      <c r="R227" s="82"/>
      <c r="S227" s="81"/>
      <c r="T227" s="152" t="str">
        <f ca="1">IF(AND('Inserimento dati'!$B$3=$H$2, Tabella3[[#This Row],[LUN]]="X"), "X",IF(AND('Inserimento dati'!$B$3=$I$2, Tabella3[[#This Row],[MAR]]="X"), "X", IF(AND('Inserimento dati'!$B$3=$J$2, Tabella3[[#This Row],[MER]]="X"), "X",IF(AND('Inserimento dati'!$B$3=$K$2, Tabella3[[#This Row],[GIO]]="X"), "X", IF(AND('Inserimento dati'!$B$3=$L$2, Tabella3[[#This Row],[VEN]]="X"), "X","")))))</f>
        <v/>
      </c>
      <c r="U227" s="154" t="str">
        <f t="shared" ca="1" si="10"/>
        <v>10224035</v>
      </c>
    </row>
    <row r="228" spans="1:21" ht="23.25" x14ac:dyDescent="0.25">
      <c r="A228" s="84"/>
      <c r="B228" s="84">
        <v>4</v>
      </c>
      <c r="C228" s="84" t="str">
        <f>IF(OR(Tabella3[[#This Row],[LUN]]="X",Tabella3[[#This Row],[MAR]]="X",Tabella3[[#This Row],[MER]]="X",Tabella3[[#This Row],[GIO]]="X",Tabella3[[#This Row],[VEN]]="X",),"X","")</f>
        <v/>
      </c>
      <c r="D228" s="85" t="s">
        <v>10</v>
      </c>
      <c r="E228" s="81" t="s">
        <v>2108</v>
      </c>
      <c r="F228" s="81">
        <v>700</v>
      </c>
      <c r="G228" s="81" t="s">
        <v>2109</v>
      </c>
      <c r="H228" s="83"/>
      <c r="I228" s="83"/>
      <c r="J228" s="83"/>
      <c r="K228" s="83"/>
      <c r="L228" s="83"/>
      <c r="M228" s="81" t="s">
        <v>52</v>
      </c>
      <c r="N228" s="85"/>
      <c r="O228" s="85"/>
      <c r="P228" s="81"/>
      <c r="Q228" s="81"/>
      <c r="R228" s="82"/>
      <c r="S228" s="81"/>
      <c r="T228" s="152" t="str">
        <f ca="1">IF(AND('Inserimento dati'!$B$3=$H$2, Tabella3[[#This Row],[LUN]]="X"), "X",IF(AND('Inserimento dati'!$B$3=$I$2, Tabella3[[#This Row],[MAR]]="X"), "X", IF(AND('Inserimento dati'!$B$3=$J$2, Tabella3[[#This Row],[MER]]="X"), "X",IF(AND('Inserimento dati'!$B$3=$K$2, Tabella3[[#This Row],[GIO]]="X"), "X", IF(AND('Inserimento dati'!$B$3=$L$2, Tabella3[[#This Row],[VEN]]="X"), "X","")))))</f>
        <v/>
      </c>
      <c r="U228" s="154" t="str">
        <f t="shared" ca="1" si="10"/>
        <v>10220465</v>
      </c>
    </row>
    <row r="229" spans="1:21" ht="23.25" x14ac:dyDescent="0.25">
      <c r="A229" s="84"/>
      <c r="B229" s="84">
        <v>4</v>
      </c>
      <c r="C229" s="84" t="str">
        <f>IF(OR(Tabella3[[#This Row],[LUN]]="X",Tabella3[[#This Row],[MAR]]="X",Tabella3[[#This Row],[MER]]="X",Tabella3[[#This Row],[GIO]]="X",Tabella3[[#This Row],[VEN]]="X",),"X","")</f>
        <v/>
      </c>
      <c r="D229" s="85" t="s">
        <v>10</v>
      </c>
      <c r="E229" s="81" t="s">
        <v>2110</v>
      </c>
      <c r="F229" s="81">
        <v>1800</v>
      </c>
      <c r="G229" s="81" t="s">
        <v>2111</v>
      </c>
      <c r="H229" s="83"/>
      <c r="I229" s="83"/>
      <c r="J229" s="83"/>
      <c r="K229" s="83"/>
      <c r="L229" s="83"/>
      <c r="M229" s="81" t="s">
        <v>52</v>
      </c>
      <c r="N229" s="85"/>
      <c r="O229" s="85"/>
      <c r="P229" s="81"/>
      <c r="Q229" s="81"/>
      <c r="R229" s="82"/>
      <c r="S229" s="81"/>
      <c r="T229" s="138" t="str">
        <f ca="1">IF(AND('Inserimento dati'!$B$3=$H$2, Tabella3[[#This Row],[LUN]]="X"), "X",IF(AND('Inserimento dati'!$B$3=$I$2, Tabella3[[#This Row],[MAR]]="X"), "X", IF(AND('Inserimento dati'!$B$3=$J$2, Tabella3[[#This Row],[MER]]="X"), "X",IF(AND('Inserimento dati'!$B$3=$K$2, Tabella3[[#This Row],[GIO]]="X"), "X", IF(AND('Inserimento dati'!$B$3=$L$2, Tabella3[[#This Row],[VEN]]="X"), "X","")))))</f>
        <v/>
      </c>
      <c r="U229" s="154" t="str">
        <f t="shared" ca="1" si="10"/>
        <v>10220619</v>
      </c>
    </row>
    <row r="230" spans="1:21" ht="23.25" x14ac:dyDescent="0.25">
      <c r="A230" s="84"/>
      <c r="B230" s="84">
        <v>4</v>
      </c>
      <c r="C230" s="84" t="str">
        <f>IF(OR(Tabella3[[#This Row],[LUN]]="X",Tabella3[[#This Row],[MAR]]="X",Tabella3[[#This Row],[MER]]="X",Tabella3[[#This Row],[GIO]]="X",Tabella3[[#This Row],[VEN]]="X",),"X","")</f>
        <v/>
      </c>
      <c r="D230" s="85" t="s">
        <v>10</v>
      </c>
      <c r="E230" s="81" t="s">
        <v>2112</v>
      </c>
      <c r="F230" s="81">
        <v>2200</v>
      </c>
      <c r="G230" s="81" t="s">
        <v>2113</v>
      </c>
      <c r="H230" s="83"/>
      <c r="I230" s="83"/>
      <c r="J230" s="83"/>
      <c r="K230" s="83"/>
      <c r="L230" s="83"/>
      <c r="M230" s="81" t="s">
        <v>52</v>
      </c>
      <c r="N230" s="85"/>
      <c r="O230" s="85"/>
      <c r="P230" s="81"/>
      <c r="Q230" s="81"/>
      <c r="R230" s="82"/>
      <c r="S230" s="81"/>
      <c r="T230" s="138" t="str">
        <f ca="1">IF(AND('Inserimento dati'!$B$3=$H$2, Tabella3[[#This Row],[LUN]]="X"), "X",IF(AND('Inserimento dati'!$B$3=$I$2, Tabella3[[#This Row],[MAR]]="X"), "X", IF(AND('Inserimento dati'!$B$3=$J$2, Tabella3[[#This Row],[MER]]="X"), "X",IF(AND('Inserimento dati'!$B$3=$K$2, Tabella3[[#This Row],[GIO]]="X"), "X", IF(AND('Inserimento dati'!$B$3=$L$2, Tabella3[[#This Row],[VEN]]="X"), "X","")))))</f>
        <v/>
      </c>
      <c r="U230" s="154" t="str">
        <f t="shared" ca="1" si="10"/>
        <v>10222453</v>
      </c>
    </row>
    <row r="231" spans="1:21" ht="23.25" x14ac:dyDescent="0.25">
      <c r="A231" s="84"/>
      <c r="B231" s="84">
        <v>4</v>
      </c>
      <c r="C231" s="84" t="str">
        <f>IF(OR(Tabella3[[#This Row],[LUN]]="X",Tabella3[[#This Row],[MAR]]="X",Tabella3[[#This Row],[MER]]="X",Tabella3[[#This Row],[GIO]]="X",Tabella3[[#This Row],[VEN]]="X",),"X","")</f>
        <v/>
      </c>
      <c r="D231" s="85" t="s">
        <v>10</v>
      </c>
      <c r="E231" s="81" t="s">
        <v>2114</v>
      </c>
      <c r="F231" s="81" t="s">
        <v>160</v>
      </c>
      <c r="G231" s="81" t="s">
        <v>2115</v>
      </c>
      <c r="H231" s="83"/>
      <c r="I231" s="83"/>
      <c r="J231" s="83"/>
      <c r="K231" s="83"/>
      <c r="L231" s="83"/>
      <c r="M231" s="81" t="s">
        <v>52</v>
      </c>
      <c r="N231" s="85"/>
      <c r="O231" s="85"/>
      <c r="P231" s="81"/>
      <c r="Q231" s="81"/>
      <c r="R231" s="82"/>
      <c r="S231" s="81"/>
      <c r="T231" s="138" t="str">
        <f ca="1">IF(AND('Inserimento dati'!$B$3=$H$2, Tabella3[[#This Row],[LUN]]="X"), "X",IF(AND('Inserimento dati'!$B$3=$I$2, Tabella3[[#This Row],[MAR]]="X"), "X", IF(AND('Inserimento dati'!$B$3=$J$2, Tabella3[[#This Row],[MER]]="X"), "X",IF(AND('Inserimento dati'!$B$3=$K$2, Tabella3[[#This Row],[GIO]]="X"), "X", IF(AND('Inserimento dati'!$B$3=$L$2, Tabella3[[#This Row],[VEN]]="X"), "X","")))))</f>
        <v/>
      </c>
      <c r="U231" s="154" t="str">
        <f t="shared" ca="1" si="10"/>
        <v>10222225</v>
      </c>
    </row>
    <row r="232" spans="1:21" ht="23.25" x14ac:dyDescent="0.25">
      <c r="A232" s="84"/>
      <c r="B232" s="84">
        <v>4</v>
      </c>
      <c r="C232" s="84" t="str">
        <f>IF(OR(Tabella3[[#This Row],[LUN]]="X",Tabella3[[#This Row],[MAR]]="X",Tabella3[[#This Row],[MER]]="X",Tabella3[[#This Row],[GIO]]="X",Tabella3[[#This Row],[VEN]]="X",),"X","")</f>
        <v/>
      </c>
      <c r="D232" s="85" t="s">
        <v>10</v>
      </c>
      <c r="E232" s="81" t="s">
        <v>2116</v>
      </c>
      <c r="F232" s="81">
        <v>1100</v>
      </c>
      <c r="G232" s="81" t="s">
        <v>2117</v>
      </c>
      <c r="H232" s="83"/>
      <c r="I232" s="83"/>
      <c r="J232" s="83"/>
      <c r="K232" s="83"/>
      <c r="L232" s="83"/>
      <c r="M232" s="81" t="s">
        <v>52</v>
      </c>
      <c r="N232" s="85"/>
      <c r="O232" s="85"/>
      <c r="P232" s="81"/>
      <c r="Q232" s="81"/>
      <c r="R232" s="82"/>
      <c r="S232" s="82"/>
      <c r="T232" s="84" t="str">
        <f ca="1">IF(AND('Inserimento dati'!$B$3=$H$2, Tabella3[[#This Row],[LUN]]="X"), "X",IF(AND('Inserimento dati'!$B$3=$I$2, Tabella3[[#This Row],[MAR]]="X"), "X", IF(AND('Inserimento dati'!$B$3=$J$2, Tabella3[[#This Row],[MER]]="X"), "X",IF(AND('Inserimento dati'!$B$3=$K$2, Tabella3[[#This Row],[GIO]]="X"), "X", IF(AND('Inserimento dati'!$B$3=$L$2, Tabella3[[#This Row],[VEN]]="X"), "X","")))))</f>
        <v/>
      </c>
      <c r="U232" s="154" t="str">
        <f t="shared" ca="1" si="10"/>
        <v>10215991</v>
      </c>
    </row>
    <row r="233" spans="1:21" ht="23.25" x14ac:dyDescent="0.25">
      <c r="A233" s="84"/>
      <c r="B233" s="84">
        <v>4</v>
      </c>
      <c r="C233" s="84" t="str">
        <f>IF(OR(Tabella3[[#This Row],[LUN]]="X",Tabella3[[#This Row],[MAR]]="X",Tabella3[[#This Row],[MER]]="X",Tabella3[[#This Row],[GIO]]="X",Tabella3[[#This Row],[VEN]]="X",),"X","")</f>
        <v/>
      </c>
      <c r="D233" s="85" t="s">
        <v>10</v>
      </c>
      <c r="E233" s="81" t="s">
        <v>2118</v>
      </c>
      <c r="F233" s="81">
        <v>700</v>
      </c>
      <c r="G233" s="81" t="s">
        <v>2119</v>
      </c>
      <c r="H233" s="83"/>
      <c r="I233" s="83"/>
      <c r="J233" s="83"/>
      <c r="K233" s="83"/>
      <c r="L233" s="83"/>
      <c r="M233" s="81" t="s">
        <v>52</v>
      </c>
      <c r="N233" s="85"/>
      <c r="O233" s="85"/>
      <c r="P233" s="81"/>
      <c r="Q233" s="81"/>
      <c r="R233" s="82"/>
      <c r="S233" s="81"/>
      <c r="T233" s="138" t="str">
        <f ca="1">IF(AND('Inserimento dati'!$B$3=$H$2, Tabella3[[#This Row],[LUN]]="X"), "X",IF(AND('Inserimento dati'!$B$3=$I$2, Tabella3[[#This Row],[MAR]]="X"), "X", IF(AND('Inserimento dati'!$B$3=$J$2, Tabella3[[#This Row],[MER]]="X"), "X",IF(AND('Inserimento dati'!$B$3=$K$2, Tabella3[[#This Row],[GIO]]="X"), "X", IF(AND('Inserimento dati'!$B$3=$L$2, Tabella3[[#This Row],[VEN]]="X"), "X","")))))</f>
        <v/>
      </c>
      <c r="U233" s="154" t="str">
        <f t="shared" ca="1" si="10"/>
        <v>10221625</v>
      </c>
    </row>
    <row r="234" spans="1:21" ht="23.25" x14ac:dyDescent="0.25">
      <c r="A234" s="84"/>
      <c r="B234" s="84">
        <v>4</v>
      </c>
      <c r="C234" s="84" t="str">
        <f>IF(OR(Tabella3[[#This Row],[LUN]]="X",Tabella3[[#This Row],[MAR]]="X",Tabella3[[#This Row],[MER]]="X",Tabella3[[#This Row],[GIO]]="X",Tabella3[[#This Row],[VEN]]="X",),"X","")</f>
        <v/>
      </c>
      <c r="D234" s="85" t="s">
        <v>10</v>
      </c>
      <c r="E234" s="81" t="s">
        <v>2120</v>
      </c>
      <c r="F234" s="81">
        <v>1400</v>
      </c>
      <c r="G234" s="81" t="s">
        <v>2121</v>
      </c>
      <c r="H234" s="83"/>
      <c r="I234" s="83"/>
      <c r="J234" s="83"/>
      <c r="K234" s="83"/>
      <c r="L234" s="83"/>
      <c r="M234" s="81" t="s">
        <v>52</v>
      </c>
      <c r="N234" s="85"/>
      <c r="O234" s="85"/>
      <c r="P234" s="81"/>
      <c r="Q234" s="81"/>
      <c r="R234" s="82"/>
      <c r="S234" s="82"/>
      <c r="T234" s="84" t="str">
        <f ca="1">IF(AND('Inserimento dati'!$B$3=$H$2, Tabella3[[#This Row],[LUN]]="X"), "X",IF(AND('Inserimento dati'!$B$3=$I$2, Tabella3[[#This Row],[MAR]]="X"), "X", IF(AND('Inserimento dati'!$B$3=$J$2, Tabella3[[#This Row],[MER]]="X"), "X",IF(AND('Inserimento dati'!$B$3=$K$2, Tabella3[[#This Row],[GIO]]="X"), "X", IF(AND('Inserimento dati'!$B$3=$L$2, Tabella3[[#This Row],[VEN]]="X"), "X","")))))</f>
        <v/>
      </c>
      <c r="U234" s="154" t="str">
        <f t="shared" ca="1" si="10"/>
        <v>10215990</v>
      </c>
    </row>
    <row r="235" spans="1:21" ht="23.25" x14ac:dyDescent="0.25">
      <c r="A235" s="84"/>
      <c r="B235" s="84">
        <v>4</v>
      </c>
      <c r="C235" s="84" t="str">
        <f>IF(OR(Tabella3[[#This Row],[LUN]]="X",Tabella3[[#This Row],[MAR]]="X",Tabella3[[#This Row],[MER]]="X",Tabella3[[#This Row],[GIO]]="X",Tabella3[[#This Row],[VEN]]="X",),"X","")</f>
        <v/>
      </c>
      <c r="D235" s="85" t="s">
        <v>10</v>
      </c>
      <c r="E235" s="81" t="s">
        <v>2122</v>
      </c>
      <c r="F235" s="81" t="s">
        <v>201</v>
      </c>
      <c r="G235" s="81" t="s">
        <v>2123</v>
      </c>
      <c r="H235" s="83"/>
      <c r="I235" s="83"/>
      <c r="J235" s="83"/>
      <c r="K235" s="83"/>
      <c r="L235" s="83"/>
      <c r="M235" s="81" t="s">
        <v>52</v>
      </c>
      <c r="N235" s="85"/>
      <c r="O235" s="85"/>
      <c r="P235" s="81"/>
      <c r="Q235" s="81"/>
      <c r="R235" s="82"/>
      <c r="S235" s="81"/>
      <c r="T235" s="138" t="str">
        <f ca="1">IF(AND('Inserimento dati'!$B$3=$H$2, Tabella3[[#This Row],[LUN]]="X"), "X",IF(AND('Inserimento dati'!$B$3=$I$2, Tabella3[[#This Row],[MAR]]="X"), "X", IF(AND('Inserimento dati'!$B$3=$J$2, Tabella3[[#This Row],[MER]]="X"), "X",IF(AND('Inserimento dati'!$B$3=$K$2, Tabella3[[#This Row],[GIO]]="X"), "X", IF(AND('Inserimento dati'!$B$3=$L$2, Tabella3[[#This Row],[VEN]]="X"), "X","")))))</f>
        <v/>
      </c>
      <c r="U235" s="154" t="str">
        <f t="shared" ca="1" si="10"/>
        <v>10216874</v>
      </c>
    </row>
    <row r="236" spans="1:21" ht="23.25" x14ac:dyDescent="0.25">
      <c r="A236" s="84"/>
      <c r="B236" s="84">
        <v>4</v>
      </c>
      <c r="C236" s="84" t="str">
        <f>IF(OR(Tabella3[[#This Row],[LUN]]="X",Tabella3[[#This Row],[MAR]]="X",Tabella3[[#This Row],[MER]]="X",Tabella3[[#This Row],[GIO]]="X",Tabella3[[#This Row],[VEN]]="X",),"X","")</f>
        <v/>
      </c>
      <c r="D236" s="85" t="s">
        <v>10</v>
      </c>
      <c r="E236" s="81" t="s">
        <v>2124</v>
      </c>
      <c r="F236" s="81" t="s">
        <v>160</v>
      </c>
      <c r="G236" s="81" t="s">
        <v>2125</v>
      </c>
      <c r="H236" s="83"/>
      <c r="I236" s="83"/>
      <c r="J236" s="83"/>
      <c r="K236" s="83"/>
      <c r="L236" s="83"/>
      <c r="M236" s="81" t="s">
        <v>52</v>
      </c>
      <c r="N236" s="85"/>
      <c r="O236" s="85"/>
      <c r="P236" s="81"/>
      <c r="Q236" s="81"/>
      <c r="R236" s="82"/>
      <c r="S236" s="82"/>
      <c r="T236" s="84" t="str">
        <f ca="1">IF(AND('Inserimento dati'!$B$3=$H$2, Tabella3[[#This Row],[LUN]]="X"), "X",IF(AND('Inserimento dati'!$B$3=$I$2, Tabella3[[#This Row],[MAR]]="X"), "X", IF(AND('Inserimento dati'!$B$3=$J$2, Tabella3[[#This Row],[MER]]="X"), "X",IF(AND('Inserimento dati'!$B$3=$K$2, Tabella3[[#This Row],[GIO]]="X"), "X", IF(AND('Inserimento dati'!$B$3=$L$2, Tabella3[[#This Row],[VEN]]="X"), "X","")))))</f>
        <v/>
      </c>
      <c r="U236" s="154" t="str">
        <f t="shared" ca="1" si="10"/>
        <v>10215297</v>
      </c>
    </row>
    <row r="237" spans="1:21" ht="23.25" x14ac:dyDescent="0.25">
      <c r="A237" s="84"/>
      <c r="B237" s="84">
        <v>4</v>
      </c>
      <c r="C237" s="84" t="str">
        <f>IF(OR(Tabella3[[#This Row],[LUN]]="X",Tabella3[[#This Row],[MAR]]="X",Tabella3[[#This Row],[MER]]="X",Tabella3[[#This Row],[GIO]]="X",Tabella3[[#This Row],[VEN]]="X",),"X","")</f>
        <v/>
      </c>
      <c r="D237" s="85" t="s">
        <v>10</v>
      </c>
      <c r="E237" s="81" t="s">
        <v>2126</v>
      </c>
      <c r="F237" s="81" t="s">
        <v>160</v>
      </c>
      <c r="G237" s="81" t="s">
        <v>2127</v>
      </c>
      <c r="H237" s="83"/>
      <c r="I237" s="83"/>
      <c r="J237" s="83"/>
      <c r="K237" s="83"/>
      <c r="L237" s="83"/>
      <c r="M237" s="81" t="s">
        <v>52</v>
      </c>
      <c r="N237" s="85"/>
      <c r="O237" s="85"/>
      <c r="P237" s="81"/>
      <c r="Q237" s="81"/>
      <c r="R237" s="82"/>
      <c r="S237" s="82"/>
      <c r="T237" s="84" t="str">
        <f ca="1">IF(AND('Inserimento dati'!$B$3=$H$2, Tabella3[[#This Row],[LUN]]="X"), "X",IF(AND('Inserimento dati'!$B$3=$I$2, Tabella3[[#This Row],[MAR]]="X"), "X", IF(AND('Inserimento dati'!$B$3=$J$2, Tabella3[[#This Row],[MER]]="X"), "X",IF(AND('Inserimento dati'!$B$3=$K$2, Tabella3[[#This Row],[GIO]]="X"), "X", IF(AND('Inserimento dati'!$B$3=$L$2, Tabella3[[#This Row],[VEN]]="X"), "X","")))))</f>
        <v/>
      </c>
      <c r="U237" s="154" t="str">
        <f t="shared" ca="1" si="10"/>
        <v/>
      </c>
    </row>
    <row r="238" spans="1:21" ht="23.25" x14ac:dyDescent="0.25">
      <c r="A238" s="84"/>
      <c r="B238" s="84">
        <v>4</v>
      </c>
      <c r="C238" s="84" t="str">
        <f>IF(OR(Tabella3[[#This Row],[LUN]]="X",Tabella3[[#This Row],[MAR]]="X",Tabella3[[#This Row],[MER]]="X",Tabella3[[#This Row],[GIO]]="X",Tabella3[[#This Row],[VEN]]="X",),"X","")</f>
        <v/>
      </c>
      <c r="D238" s="85" t="s">
        <v>10</v>
      </c>
      <c r="E238" s="81" t="s">
        <v>2128</v>
      </c>
      <c r="F238" s="81" t="s">
        <v>160</v>
      </c>
      <c r="G238" s="81" t="s">
        <v>2129</v>
      </c>
      <c r="H238" s="83"/>
      <c r="I238" s="83"/>
      <c r="J238" s="83"/>
      <c r="K238" s="83"/>
      <c r="L238" s="83"/>
      <c r="M238" s="81" t="s">
        <v>52</v>
      </c>
      <c r="N238" s="85"/>
      <c r="O238" s="85"/>
      <c r="P238" s="81"/>
      <c r="Q238" s="81"/>
      <c r="R238" s="82"/>
      <c r="S238" s="82"/>
      <c r="T238" s="84" t="str">
        <f ca="1">IF(AND('Inserimento dati'!$B$3=$H$2, Tabella3[[#This Row],[LUN]]="X"), "X",IF(AND('Inserimento dati'!$B$3=$I$2, Tabella3[[#This Row],[MAR]]="X"), "X", IF(AND('Inserimento dati'!$B$3=$J$2, Tabella3[[#This Row],[MER]]="X"), "X",IF(AND('Inserimento dati'!$B$3=$K$2, Tabella3[[#This Row],[GIO]]="X"), "X", IF(AND('Inserimento dati'!$B$3=$L$2, Tabella3[[#This Row],[VEN]]="X"), "X","")))))</f>
        <v/>
      </c>
      <c r="U238" s="154" t="str">
        <f t="shared" ca="1" si="10"/>
        <v>10214483</v>
      </c>
    </row>
    <row r="239" spans="1:21" ht="23.25" x14ac:dyDescent="0.25">
      <c r="A239" s="84"/>
      <c r="B239" s="84">
        <v>4</v>
      </c>
      <c r="C239" s="84" t="str">
        <f>IF(OR(Tabella3[[#This Row],[LUN]]="X",Tabella3[[#This Row],[MAR]]="X",Tabella3[[#This Row],[MER]]="X",Tabella3[[#This Row],[GIO]]="X",Tabella3[[#This Row],[VEN]]="X",),"X","")</f>
        <v/>
      </c>
      <c r="D239" s="85" t="s">
        <v>10</v>
      </c>
      <c r="E239" s="81" t="s">
        <v>2130</v>
      </c>
      <c r="F239" s="81">
        <v>700</v>
      </c>
      <c r="G239" s="81" t="s">
        <v>2131</v>
      </c>
      <c r="H239" s="83"/>
      <c r="I239" s="83"/>
      <c r="J239" s="83"/>
      <c r="K239" s="83"/>
      <c r="L239" s="83"/>
      <c r="M239" s="81" t="s">
        <v>52</v>
      </c>
      <c r="N239" s="85"/>
      <c r="O239" s="85"/>
      <c r="P239" s="81"/>
      <c r="Q239" s="81"/>
      <c r="R239" s="82"/>
      <c r="S239" s="82"/>
      <c r="T239" s="84" t="str">
        <f ca="1">IF(AND('Inserimento dati'!$B$3=$H$2, Tabella3[[#This Row],[LUN]]="X"), "X",IF(AND('Inserimento dati'!$B$3=$I$2, Tabella3[[#This Row],[MAR]]="X"), "X", IF(AND('Inserimento dati'!$B$3=$J$2, Tabella3[[#This Row],[MER]]="X"), "X",IF(AND('Inserimento dati'!$B$3=$K$2, Tabella3[[#This Row],[GIO]]="X"), "X", IF(AND('Inserimento dati'!$B$3=$L$2, Tabella3[[#This Row],[VEN]]="X"), "X","")))))</f>
        <v/>
      </c>
      <c r="U239" s="154" t="str">
        <f t="shared" ca="1" si="10"/>
        <v>10214556</v>
      </c>
    </row>
    <row r="240" spans="1:21" ht="23.25" x14ac:dyDescent="0.25">
      <c r="A240" s="84"/>
      <c r="B240" s="84">
        <v>4</v>
      </c>
      <c r="C240" s="84" t="str">
        <f>IF(OR(Tabella3[[#This Row],[LUN]]="X",Tabella3[[#This Row],[MAR]]="X",Tabella3[[#This Row],[MER]]="X",Tabella3[[#This Row],[GIO]]="X",Tabella3[[#This Row],[VEN]]="X",),"X","")</f>
        <v/>
      </c>
      <c r="D240" s="85" t="s">
        <v>10</v>
      </c>
      <c r="E240" s="81" t="s">
        <v>2132</v>
      </c>
      <c r="F240" s="81">
        <v>700</v>
      </c>
      <c r="G240" s="81" t="s">
        <v>2133</v>
      </c>
      <c r="H240" s="83"/>
      <c r="I240" s="83"/>
      <c r="J240" s="83"/>
      <c r="K240" s="83"/>
      <c r="L240" s="83"/>
      <c r="M240" s="81" t="s">
        <v>52</v>
      </c>
      <c r="N240" s="85"/>
      <c r="O240" s="85"/>
      <c r="P240" s="81"/>
      <c r="Q240" s="81"/>
      <c r="R240" s="82"/>
      <c r="S240" s="82"/>
      <c r="T240" s="84" t="str">
        <f ca="1">IF(AND('Inserimento dati'!$B$3=$H$2, Tabella3[[#This Row],[LUN]]="X"), "X",IF(AND('Inserimento dati'!$B$3=$I$2, Tabella3[[#This Row],[MAR]]="X"), "X", IF(AND('Inserimento dati'!$B$3=$J$2, Tabella3[[#This Row],[MER]]="X"), "X",IF(AND('Inserimento dati'!$B$3=$K$2, Tabella3[[#This Row],[GIO]]="X"), "X", IF(AND('Inserimento dati'!$B$3=$L$2, Tabella3[[#This Row],[VEN]]="X"), "X","")))))</f>
        <v/>
      </c>
      <c r="U240" s="154" t="str">
        <f t="shared" ca="1" si="10"/>
        <v>10215414</v>
      </c>
    </row>
    <row r="241" spans="1:21" ht="23.25" x14ac:dyDescent="0.25">
      <c r="A241" s="84"/>
      <c r="B241" s="84">
        <v>4</v>
      </c>
      <c r="C241" s="84" t="str">
        <f>IF(OR(Tabella3[[#This Row],[LUN]]="X",Tabella3[[#This Row],[MAR]]="X",Tabella3[[#This Row],[MER]]="X",Tabella3[[#This Row],[GIO]]="X",Tabella3[[#This Row],[VEN]]="X",),"X","")</f>
        <v/>
      </c>
      <c r="D241" s="85" t="s">
        <v>10</v>
      </c>
      <c r="E241" s="81" t="s">
        <v>2134</v>
      </c>
      <c r="F241" s="81" t="s">
        <v>203</v>
      </c>
      <c r="G241" s="81" t="s">
        <v>2135</v>
      </c>
      <c r="H241" s="83"/>
      <c r="I241" s="83"/>
      <c r="J241" s="83"/>
      <c r="K241" s="83"/>
      <c r="L241" s="83"/>
      <c r="M241" s="81" t="s">
        <v>52</v>
      </c>
      <c r="N241" s="85"/>
      <c r="O241" s="85"/>
      <c r="P241" s="81"/>
      <c r="Q241" s="81"/>
      <c r="R241" s="82"/>
      <c r="S241" s="82"/>
      <c r="T241" s="84" t="str">
        <f ca="1">IF(AND('Inserimento dati'!$B$3=$H$2, Tabella3[[#This Row],[LUN]]="X"), "X",IF(AND('Inserimento dati'!$B$3=$I$2, Tabella3[[#This Row],[MAR]]="X"), "X", IF(AND('Inserimento dati'!$B$3=$J$2, Tabella3[[#This Row],[MER]]="X"), "X",IF(AND('Inserimento dati'!$B$3=$K$2, Tabella3[[#This Row],[GIO]]="X"), "X", IF(AND('Inserimento dati'!$B$3=$L$2, Tabella3[[#This Row],[VEN]]="X"), "X","")))))</f>
        <v/>
      </c>
      <c r="U241" s="154" t="str">
        <f t="shared" ca="1" si="10"/>
        <v>10215992</v>
      </c>
    </row>
    <row r="242" spans="1:21" ht="23.25" x14ac:dyDescent="0.25">
      <c r="A242" s="84"/>
      <c r="B242" s="84">
        <v>4</v>
      </c>
      <c r="C242" s="84" t="str">
        <f>IF(OR(Tabella3[[#This Row],[LUN]]="X",Tabella3[[#This Row],[MAR]]="X",Tabella3[[#This Row],[MER]]="X",Tabella3[[#This Row],[GIO]]="X",Tabella3[[#This Row],[VEN]]="X",),"X","")</f>
        <v/>
      </c>
      <c r="D242" s="85" t="s">
        <v>10</v>
      </c>
      <c r="E242" s="81" t="s">
        <v>2136</v>
      </c>
      <c r="F242" s="81" t="s">
        <v>200</v>
      </c>
      <c r="G242" s="81" t="s">
        <v>2137</v>
      </c>
      <c r="H242" s="83"/>
      <c r="I242" s="83"/>
      <c r="J242" s="83"/>
      <c r="K242" s="83"/>
      <c r="L242" s="83"/>
      <c r="M242" s="81" t="s">
        <v>52</v>
      </c>
      <c r="N242" s="85"/>
      <c r="O242" s="85"/>
      <c r="P242" s="81"/>
      <c r="Q242" s="81"/>
      <c r="R242" s="82"/>
      <c r="S242" s="82"/>
      <c r="T242" s="84" t="str">
        <f ca="1">IF(AND('Inserimento dati'!$B$3=$H$2, Tabella3[[#This Row],[LUN]]="X"), "X",IF(AND('Inserimento dati'!$B$3=$I$2, Tabella3[[#This Row],[MAR]]="X"), "X", IF(AND('Inserimento dati'!$B$3=$J$2, Tabella3[[#This Row],[MER]]="X"), "X",IF(AND('Inserimento dati'!$B$3=$K$2, Tabella3[[#This Row],[GIO]]="X"), "X", IF(AND('Inserimento dati'!$B$3=$L$2, Tabella3[[#This Row],[VEN]]="X"), "X","")))))</f>
        <v/>
      </c>
      <c r="U242" s="154" t="str">
        <f t="shared" ca="1" si="10"/>
        <v>10215992</v>
      </c>
    </row>
    <row r="243" spans="1:21" ht="23.25" x14ac:dyDescent="0.25">
      <c r="A243" s="84"/>
      <c r="B243" s="84">
        <v>4</v>
      </c>
      <c r="C243" s="84" t="str">
        <f>IF(OR(Tabella3[[#This Row],[LUN]]="X",Tabella3[[#This Row],[MAR]]="X",Tabella3[[#This Row],[MER]]="X",Tabella3[[#This Row],[GIO]]="X",Tabella3[[#This Row],[VEN]]="X",),"X","")</f>
        <v/>
      </c>
      <c r="D243" s="85" t="s">
        <v>10</v>
      </c>
      <c r="E243" s="81" t="s">
        <v>2138</v>
      </c>
      <c r="F243" s="81" t="s">
        <v>200</v>
      </c>
      <c r="G243" s="81" t="s">
        <v>2139</v>
      </c>
      <c r="H243" s="83"/>
      <c r="I243" s="83"/>
      <c r="J243" s="83"/>
      <c r="K243" s="83"/>
      <c r="L243" s="83"/>
      <c r="M243" s="81" t="s">
        <v>52</v>
      </c>
      <c r="N243" s="85"/>
      <c r="O243" s="85"/>
      <c r="P243" s="81"/>
      <c r="Q243" s="81"/>
      <c r="R243" s="82"/>
      <c r="S243" s="82"/>
      <c r="T243" s="84" t="str">
        <f ca="1">IF(AND('Inserimento dati'!$B$3=$H$2, Tabella3[[#This Row],[LUN]]="X"), "X",IF(AND('Inserimento dati'!$B$3=$I$2, Tabella3[[#This Row],[MAR]]="X"), "X", IF(AND('Inserimento dati'!$B$3=$J$2, Tabella3[[#This Row],[MER]]="X"), "X",IF(AND('Inserimento dati'!$B$3=$K$2, Tabella3[[#This Row],[GIO]]="X"), "X", IF(AND('Inserimento dati'!$B$3=$L$2, Tabella3[[#This Row],[VEN]]="X"), "X","")))))</f>
        <v/>
      </c>
      <c r="U243" s="154" t="str">
        <f t="shared" ca="1" si="10"/>
        <v>10215992</v>
      </c>
    </row>
    <row r="244" spans="1:21" ht="23.25" x14ac:dyDescent="0.25">
      <c r="A244" s="84"/>
      <c r="B244" s="84">
        <v>4</v>
      </c>
      <c r="C244" s="84" t="str">
        <f>IF(OR(Tabella3[[#This Row],[LUN]]="X",Tabella3[[#This Row],[MAR]]="X",Tabella3[[#This Row],[MER]]="X",Tabella3[[#This Row],[GIO]]="X",Tabella3[[#This Row],[VEN]]="X",),"X","")</f>
        <v/>
      </c>
      <c r="D244" s="85" t="s">
        <v>10</v>
      </c>
      <c r="E244" s="81" t="s">
        <v>2140</v>
      </c>
      <c r="F244" s="81" t="s">
        <v>198</v>
      </c>
      <c r="G244" s="81" t="s">
        <v>2141</v>
      </c>
      <c r="H244" s="83"/>
      <c r="I244" s="83"/>
      <c r="J244" s="83"/>
      <c r="K244" s="83"/>
      <c r="L244" s="83"/>
      <c r="M244" s="81" t="s">
        <v>52</v>
      </c>
      <c r="N244" s="85"/>
      <c r="O244" s="85"/>
      <c r="P244" s="81"/>
      <c r="Q244" s="81"/>
      <c r="R244" s="82"/>
      <c r="S244" s="82"/>
      <c r="T244" s="84" t="str">
        <f ca="1">IF(AND('Inserimento dati'!$B$3=$H$2, Tabella3[[#This Row],[LUN]]="X"), "X",IF(AND('Inserimento dati'!$B$3=$I$2, Tabella3[[#This Row],[MAR]]="X"), "X", IF(AND('Inserimento dati'!$B$3=$J$2, Tabella3[[#This Row],[MER]]="X"), "X",IF(AND('Inserimento dati'!$B$3=$K$2, Tabella3[[#This Row],[GIO]]="X"), "X", IF(AND('Inserimento dati'!$B$3=$L$2, Tabella3[[#This Row],[VEN]]="X"), "X","")))))</f>
        <v/>
      </c>
      <c r="U244" s="154" t="str">
        <f t="shared" ca="1" si="10"/>
        <v>10215992</v>
      </c>
    </row>
    <row r="245" spans="1:21" ht="23.25" x14ac:dyDescent="0.25">
      <c r="A245" s="84"/>
      <c r="B245" s="84">
        <v>4</v>
      </c>
      <c r="C245" s="84" t="str">
        <f>IF(OR(Tabella3[[#This Row],[LUN]]="X",Tabella3[[#This Row],[MAR]]="X",Tabella3[[#This Row],[MER]]="X",Tabella3[[#This Row],[GIO]]="X",Tabella3[[#This Row],[VEN]]="X",),"X","")</f>
        <v/>
      </c>
      <c r="D245" s="85" t="s">
        <v>10</v>
      </c>
      <c r="E245" s="81" t="s">
        <v>2142</v>
      </c>
      <c r="F245" s="81" t="s">
        <v>201</v>
      </c>
      <c r="G245" s="81" t="s">
        <v>2143</v>
      </c>
      <c r="H245" s="83"/>
      <c r="I245" s="83"/>
      <c r="J245" s="83"/>
      <c r="K245" s="83"/>
      <c r="L245" s="83"/>
      <c r="M245" s="81" t="s">
        <v>52</v>
      </c>
      <c r="N245" s="85"/>
      <c r="O245" s="85"/>
      <c r="P245" s="81"/>
      <c r="Q245" s="81"/>
      <c r="R245" s="82"/>
      <c r="S245" s="82"/>
      <c r="T245" s="84" t="str">
        <f ca="1">IF(AND('Inserimento dati'!$B$3=$H$2, Tabella3[[#This Row],[LUN]]="X"), "X",IF(AND('Inserimento dati'!$B$3=$I$2, Tabella3[[#This Row],[MAR]]="X"), "X", IF(AND('Inserimento dati'!$B$3=$J$2, Tabella3[[#This Row],[MER]]="X"), "X",IF(AND('Inserimento dati'!$B$3=$K$2, Tabella3[[#This Row],[GIO]]="X"), "X", IF(AND('Inserimento dati'!$B$3=$L$2, Tabella3[[#This Row],[VEN]]="X"), "X","")))))</f>
        <v/>
      </c>
      <c r="U245" s="154" t="str">
        <f t="shared" ca="1" si="10"/>
        <v>10215992</v>
      </c>
    </row>
    <row r="246" spans="1:21" ht="23.25" x14ac:dyDescent="0.25">
      <c r="A246" s="84"/>
      <c r="B246" s="84">
        <v>4</v>
      </c>
      <c r="C246" s="84" t="str">
        <f>IF(OR(Tabella3[[#This Row],[LUN]]="X",Tabella3[[#This Row],[MAR]]="X",Tabella3[[#This Row],[MER]]="X",Tabella3[[#This Row],[GIO]]="X",Tabella3[[#This Row],[VEN]]="X",),"X","")</f>
        <v/>
      </c>
      <c r="D246" s="85" t="s">
        <v>10</v>
      </c>
      <c r="E246" s="81" t="s">
        <v>2144</v>
      </c>
      <c r="F246" s="81">
        <v>1100</v>
      </c>
      <c r="G246" s="81" t="s">
        <v>2145</v>
      </c>
      <c r="H246" s="83"/>
      <c r="I246" s="83"/>
      <c r="J246" s="83"/>
      <c r="K246" s="83"/>
      <c r="L246" s="83"/>
      <c r="M246" s="81" t="s">
        <v>52</v>
      </c>
      <c r="N246" s="85"/>
      <c r="O246" s="85"/>
      <c r="P246" s="81"/>
      <c r="Q246" s="81"/>
      <c r="R246" s="82"/>
      <c r="S246" s="82"/>
      <c r="T246" s="84" t="str">
        <f ca="1">IF(AND('Inserimento dati'!$B$3=$H$2, Tabella3[[#This Row],[LUN]]="X"), "X",IF(AND('Inserimento dati'!$B$3=$I$2, Tabella3[[#This Row],[MAR]]="X"), "X", IF(AND('Inserimento dati'!$B$3=$J$2, Tabella3[[#This Row],[MER]]="X"), "X",IF(AND('Inserimento dati'!$B$3=$K$2, Tabella3[[#This Row],[GIO]]="X"), "X", IF(AND('Inserimento dati'!$B$3=$L$2, Tabella3[[#This Row],[VEN]]="X"), "X","")))))</f>
        <v/>
      </c>
      <c r="U246" s="154" t="str">
        <f t="shared" ca="1" si="10"/>
        <v>10215991</v>
      </c>
    </row>
    <row r="247" spans="1:21" ht="23.25" x14ac:dyDescent="0.25">
      <c r="A247" s="84"/>
      <c r="B247" s="84">
        <v>4</v>
      </c>
      <c r="C247" s="84" t="str">
        <f>IF(OR(Tabella3[[#This Row],[LUN]]="X",Tabella3[[#This Row],[MAR]]="X",Tabella3[[#This Row],[MER]]="X",Tabella3[[#This Row],[GIO]]="X",Tabella3[[#This Row],[VEN]]="X",),"X","")</f>
        <v/>
      </c>
      <c r="D247" s="85" t="s">
        <v>10</v>
      </c>
      <c r="E247" s="81" t="s">
        <v>2146</v>
      </c>
      <c r="F247" s="81">
        <v>1100</v>
      </c>
      <c r="G247" s="81" t="s">
        <v>2147</v>
      </c>
      <c r="H247" s="83"/>
      <c r="I247" s="83"/>
      <c r="J247" s="83"/>
      <c r="K247" s="83"/>
      <c r="L247" s="83"/>
      <c r="M247" s="81" t="s">
        <v>52</v>
      </c>
      <c r="N247" s="85"/>
      <c r="O247" s="85"/>
      <c r="P247" s="81"/>
      <c r="Q247" s="81"/>
      <c r="R247" s="82"/>
      <c r="S247" s="82"/>
      <c r="T247" s="84" t="str">
        <f ca="1">IF(AND('Inserimento dati'!$B$3=$H$2, Tabella3[[#This Row],[LUN]]="X"), "X",IF(AND('Inserimento dati'!$B$3=$I$2, Tabella3[[#This Row],[MAR]]="X"), "X", IF(AND('Inserimento dati'!$B$3=$J$2, Tabella3[[#This Row],[MER]]="X"), "X",IF(AND('Inserimento dati'!$B$3=$K$2, Tabella3[[#This Row],[GIO]]="X"), "X", IF(AND('Inserimento dati'!$B$3=$L$2, Tabella3[[#This Row],[VEN]]="X"), "X","")))))</f>
        <v/>
      </c>
      <c r="U247" s="154" t="str">
        <f t="shared" ca="1" si="10"/>
        <v>10215991</v>
      </c>
    </row>
    <row r="248" spans="1:21" ht="23.25" x14ac:dyDescent="0.25">
      <c r="A248" s="84"/>
      <c r="B248" s="84">
        <v>4</v>
      </c>
      <c r="C248" s="84" t="str">
        <f>IF(OR(Tabella3[[#This Row],[LUN]]="X",Tabella3[[#This Row],[MAR]]="X",Tabella3[[#This Row],[MER]]="X",Tabella3[[#This Row],[GIO]]="X",Tabella3[[#This Row],[VEN]]="X",),"X","")</f>
        <v/>
      </c>
      <c r="D248" s="85" t="s">
        <v>10</v>
      </c>
      <c r="E248" s="81" t="s">
        <v>2148</v>
      </c>
      <c r="F248" s="81" t="s">
        <v>160</v>
      </c>
      <c r="G248" s="81" t="s">
        <v>2149</v>
      </c>
      <c r="H248" s="83"/>
      <c r="I248" s="83"/>
      <c r="J248" s="83"/>
      <c r="K248" s="83"/>
      <c r="L248" s="83"/>
      <c r="M248" s="81" t="s">
        <v>52</v>
      </c>
      <c r="N248" s="85"/>
      <c r="O248" s="85"/>
      <c r="P248" s="81"/>
      <c r="Q248" s="81"/>
      <c r="R248" s="82"/>
      <c r="S248" s="81"/>
      <c r="T248" s="84" t="str">
        <f ca="1">IF(AND('Inserimento dati'!$B$3=$H$2, Tabella3[[#This Row],[LUN]]="X"), "X",IF(AND('Inserimento dati'!$B$3=$I$2, Tabella3[[#This Row],[MAR]]="X"), "X", IF(AND('Inserimento dati'!$B$3=$J$2, Tabella3[[#This Row],[MER]]="X"), "X",IF(AND('Inserimento dati'!$B$3=$K$2, Tabella3[[#This Row],[GIO]]="X"), "X", IF(AND('Inserimento dati'!$B$3=$L$2, Tabella3[[#This Row],[VEN]]="X"), "X","")))))</f>
        <v/>
      </c>
      <c r="U248" s="154" t="str">
        <f t="shared" ca="1" si="10"/>
        <v>10215761</v>
      </c>
    </row>
    <row r="249" spans="1:21" ht="23.25" x14ac:dyDescent="0.25">
      <c r="A249" s="84"/>
      <c r="B249" s="84">
        <v>4</v>
      </c>
      <c r="C249" s="84" t="str">
        <f>IF(OR(Tabella3[[#This Row],[LUN]]="X",Tabella3[[#This Row],[MAR]]="X",Tabella3[[#This Row],[MER]]="X",Tabella3[[#This Row],[GIO]]="X",Tabella3[[#This Row],[VEN]]="X",),"X","")</f>
        <v/>
      </c>
      <c r="D249" s="85" t="s">
        <v>10</v>
      </c>
      <c r="E249" s="81" t="s">
        <v>2150</v>
      </c>
      <c r="F249" s="81">
        <v>700</v>
      </c>
      <c r="G249" s="81" t="s">
        <v>2151</v>
      </c>
      <c r="H249" s="83"/>
      <c r="I249" s="83"/>
      <c r="J249" s="83"/>
      <c r="K249" s="83"/>
      <c r="L249" s="83"/>
      <c r="M249" s="81" t="s">
        <v>52</v>
      </c>
      <c r="N249" s="85"/>
      <c r="O249" s="85"/>
      <c r="P249" s="81"/>
      <c r="Q249" s="81"/>
      <c r="R249" s="82"/>
      <c r="S249" s="81"/>
      <c r="T249" s="138" t="str">
        <f ca="1">IF(AND('Inserimento dati'!$B$3=$H$2, Tabella3[[#This Row],[LUN]]="X"), "X",IF(AND('Inserimento dati'!$B$3=$I$2, Tabella3[[#This Row],[MAR]]="X"), "X", IF(AND('Inserimento dati'!$B$3=$J$2, Tabella3[[#This Row],[MER]]="X"), "X",IF(AND('Inserimento dati'!$B$3=$K$2, Tabella3[[#This Row],[GIO]]="X"), "X", IF(AND('Inserimento dati'!$B$3=$L$2, Tabella3[[#This Row],[VEN]]="X"), "X","")))))</f>
        <v/>
      </c>
      <c r="U249" s="154" t="str">
        <f t="shared" ca="1" si="10"/>
        <v>10209347</v>
      </c>
    </row>
    <row r="250" spans="1:21" ht="23.25" x14ac:dyDescent="0.25">
      <c r="A250" s="84"/>
      <c r="B250" s="84">
        <v>4</v>
      </c>
      <c r="C250" s="84" t="str">
        <f>IF(OR(Tabella3[[#This Row],[LUN]]="X",Tabella3[[#This Row],[MAR]]="X",Tabella3[[#This Row],[MER]]="X",Tabella3[[#This Row],[GIO]]="X",Tabella3[[#This Row],[VEN]]="X",),"X","")</f>
        <v/>
      </c>
      <c r="D250" s="85" t="s">
        <v>10</v>
      </c>
      <c r="E250" s="81" t="s">
        <v>2152</v>
      </c>
      <c r="F250" s="81">
        <v>1100</v>
      </c>
      <c r="G250" s="81" t="s">
        <v>2153</v>
      </c>
      <c r="H250" s="83"/>
      <c r="I250" s="83"/>
      <c r="J250" s="83"/>
      <c r="K250" s="83"/>
      <c r="L250" s="83"/>
      <c r="M250" s="81" t="s">
        <v>52</v>
      </c>
      <c r="N250" s="85"/>
      <c r="O250" s="85"/>
      <c r="P250" s="81"/>
      <c r="Q250" s="81"/>
      <c r="R250" s="82"/>
      <c r="S250" s="81"/>
      <c r="T250" s="138" t="str">
        <f ca="1">IF(AND('Inserimento dati'!$B$3=$H$2, Tabella3[[#This Row],[LUN]]="X"), "X",IF(AND('Inserimento dati'!$B$3=$I$2, Tabella3[[#This Row],[MAR]]="X"), "X", IF(AND('Inserimento dati'!$B$3=$J$2, Tabella3[[#This Row],[MER]]="X"), "X",IF(AND('Inserimento dati'!$B$3=$K$2, Tabella3[[#This Row],[GIO]]="X"), "X", IF(AND('Inserimento dati'!$B$3=$L$2, Tabella3[[#This Row],[VEN]]="X"), "X","")))))</f>
        <v/>
      </c>
      <c r="U250" s="154" t="str">
        <f t="shared" ca="1" si="10"/>
        <v/>
      </c>
    </row>
    <row r="251" spans="1:21" ht="23.25" x14ac:dyDescent="0.25">
      <c r="A251" s="84"/>
      <c r="B251" s="84">
        <v>4</v>
      </c>
      <c r="C251" s="84" t="str">
        <f>IF(OR(Tabella3[[#This Row],[LUN]]="X",Tabella3[[#This Row],[MAR]]="X",Tabella3[[#This Row],[MER]]="X",Tabella3[[#This Row],[GIO]]="X",Tabella3[[#This Row],[VEN]]="X",),"X","")</f>
        <v/>
      </c>
      <c r="D251" s="85" t="s">
        <v>10</v>
      </c>
      <c r="E251" s="81" t="s">
        <v>2154</v>
      </c>
      <c r="F251" s="81">
        <v>1800</v>
      </c>
      <c r="G251" s="81" t="s">
        <v>2155</v>
      </c>
      <c r="H251" s="83"/>
      <c r="I251" s="83"/>
      <c r="J251" s="83"/>
      <c r="K251" s="83"/>
      <c r="L251" s="83"/>
      <c r="M251" s="81" t="s">
        <v>52</v>
      </c>
      <c r="N251" s="85"/>
      <c r="O251" s="85"/>
      <c r="P251" s="81"/>
      <c r="Q251" s="81"/>
      <c r="R251" s="82"/>
      <c r="S251" s="81"/>
      <c r="T251" s="138" t="str">
        <f ca="1">IF(AND('Inserimento dati'!$B$3=$H$2, Tabella3[[#This Row],[LUN]]="X"), "X",IF(AND('Inserimento dati'!$B$3=$I$2, Tabella3[[#This Row],[MAR]]="X"), "X", IF(AND('Inserimento dati'!$B$3=$J$2, Tabella3[[#This Row],[MER]]="X"), "X",IF(AND('Inserimento dati'!$B$3=$K$2, Tabella3[[#This Row],[GIO]]="X"), "X", IF(AND('Inserimento dati'!$B$3=$L$2, Tabella3[[#This Row],[VEN]]="X"), "X","")))))</f>
        <v/>
      </c>
      <c r="U251" s="154" t="str">
        <f t="shared" ca="1" si="10"/>
        <v>10219447</v>
      </c>
    </row>
    <row r="252" spans="1:21" ht="30" x14ac:dyDescent="0.25">
      <c r="A252" s="84"/>
      <c r="B252" s="84">
        <v>4</v>
      </c>
      <c r="C252" s="84" t="str">
        <f>IF(OR(Tabella3[[#This Row],[LUN]]="X",Tabella3[[#This Row],[MAR]]="X",Tabella3[[#This Row],[MER]]="X",Tabella3[[#This Row],[GIO]]="X",Tabella3[[#This Row],[VEN]]="X",),"X","")</f>
        <v/>
      </c>
      <c r="D252" s="85" t="s">
        <v>10</v>
      </c>
      <c r="E252" s="81" t="s">
        <v>2156</v>
      </c>
      <c r="F252" s="81">
        <v>700</v>
      </c>
      <c r="G252" s="81" t="s">
        <v>2157</v>
      </c>
      <c r="H252" s="83"/>
      <c r="I252" s="83"/>
      <c r="J252" s="83"/>
      <c r="K252" s="83"/>
      <c r="L252" s="83"/>
      <c r="M252" s="81" t="s">
        <v>52</v>
      </c>
      <c r="N252" s="85"/>
      <c r="O252" s="85"/>
      <c r="P252" s="81"/>
      <c r="Q252" s="81"/>
      <c r="R252" s="82"/>
      <c r="S252" s="81"/>
      <c r="T252" s="138" t="str">
        <f ca="1">IF(AND('Inserimento dati'!$B$3=$H$2, Tabella3[[#This Row],[LUN]]="X"), "X",IF(AND('Inserimento dati'!$B$3=$I$2, Tabella3[[#This Row],[MAR]]="X"), "X", IF(AND('Inserimento dati'!$B$3=$J$2, Tabella3[[#This Row],[MER]]="X"), "X",IF(AND('Inserimento dati'!$B$3=$K$2, Tabella3[[#This Row],[GIO]]="X"), "X", IF(AND('Inserimento dati'!$B$3=$L$2, Tabella3[[#This Row],[VEN]]="X"), "X","")))))</f>
        <v/>
      </c>
      <c r="U252" s="154" t="str">
        <f t="shared" ca="1" si="10"/>
        <v>10219474</v>
      </c>
    </row>
    <row r="253" spans="1:21" ht="23.25" x14ac:dyDescent="0.25">
      <c r="A253" s="84"/>
      <c r="B253" s="84">
        <v>4</v>
      </c>
      <c r="C253" s="84" t="str">
        <f>IF(OR(Tabella3[[#This Row],[LUN]]="X",Tabella3[[#This Row],[MAR]]="X",Tabella3[[#This Row],[MER]]="X",Tabella3[[#This Row],[GIO]]="X",Tabella3[[#This Row],[VEN]]="X",),"X","")</f>
        <v/>
      </c>
      <c r="D253" s="85" t="s">
        <v>10</v>
      </c>
      <c r="E253" s="81" t="s">
        <v>2158</v>
      </c>
      <c r="F253" s="81">
        <v>700</v>
      </c>
      <c r="G253" s="81" t="s">
        <v>2159</v>
      </c>
      <c r="H253" s="83"/>
      <c r="I253" s="83"/>
      <c r="J253" s="83"/>
      <c r="K253" s="83"/>
      <c r="L253" s="83"/>
      <c r="M253" s="81" t="s">
        <v>52</v>
      </c>
      <c r="N253" s="85"/>
      <c r="O253" s="85"/>
      <c r="P253" s="81"/>
      <c r="Q253" s="81"/>
      <c r="R253" s="82"/>
      <c r="S253" s="81"/>
      <c r="T253" s="138" t="str">
        <f ca="1">IF(AND('Inserimento dati'!$B$3=$H$2, Tabella3[[#This Row],[LUN]]="X"), "X",IF(AND('Inserimento dati'!$B$3=$I$2, Tabella3[[#This Row],[MAR]]="X"), "X", IF(AND('Inserimento dati'!$B$3=$J$2, Tabella3[[#This Row],[MER]]="X"), "X",IF(AND('Inserimento dati'!$B$3=$K$2, Tabella3[[#This Row],[GIO]]="X"), "X", IF(AND('Inserimento dati'!$B$3=$L$2, Tabella3[[#This Row],[VEN]]="X"), "X","")))))</f>
        <v/>
      </c>
      <c r="U253" s="154" t="str">
        <f t="shared" ca="1" si="10"/>
        <v/>
      </c>
    </row>
    <row r="254" spans="1:21" ht="23.25" x14ac:dyDescent="0.25">
      <c r="A254" s="84"/>
      <c r="B254" s="84">
        <v>4</v>
      </c>
      <c r="C254" s="84" t="str">
        <f>IF(OR(Tabella3[[#This Row],[LUN]]="X",Tabella3[[#This Row],[MAR]]="X",Tabella3[[#This Row],[MER]]="X",Tabella3[[#This Row],[GIO]]="X",Tabella3[[#This Row],[VEN]]="X",),"X","")</f>
        <v/>
      </c>
      <c r="D254" s="85" t="s">
        <v>10</v>
      </c>
      <c r="E254" s="81" t="s">
        <v>2160</v>
      </c>
      <c r="F254" s="81">
        <v>2200</v>
      </c>
      <c r="G254" s="81" t="s">
        <v>2161</v>
      </c>
      <c r="H254" s="83"/>
      <c r="I254" s="83"/>
      <c r="J254" s="83"/>
      <c r="K254" s="83"/>
      <c r="L254" s="83"/>
      <c r="M254" s="81" t="s">
        <v>52</v>
      </c>
      <c r="N254" s="85"/>
      <c r="O254" s="85"/>
      <c r="P254" s="81"/>
      <c r="Q254" s="81"/>
      <c r="R254" s="82"/>
      <c r="S254" s="81"/>
      <c r="T254" s="138" t="str">
        <f ca="1">IF(AND('Inserimento dati'!$B$3=$H$2, Tabella3[[#This Row],[LUN]]="X"), "X",IF(AND('Inserimento dati'!$B$3=$I$2, Tabella3[[#This Row],[MAR]]="X"), "X", IF(AND('Inserimento dati'!$B$3=$J$2, Tabella3[[#This Row],[MER]]="X"), "X",IF(AND('Inserimento dati'!$B$3=$K$2, Tabella3[[#This Row],[GIO]]="X"), "X", IF(AND('Inserimento dati'!$B$3=$L$2, Tabella3[[#This Row],[VEN]]="X"), "X","")))))</f>
        <v/>
      </c>
      <c r="U254" s="154" t="str">
        <f t="shared" ca="1" si="10"/>
        <v>10221416</v>
      </c>
    </row>
    <row r="255" spans="1:21" ht="23.25" x14ac:dyDescent="0.25">
      <c r="A255" s="84"/>
      <c r="B255" s="84">
        <v>4</v>
      </c>
      <c r="C255" s="84" t="str">
        <f>IF(OR(Tabella3[[#This Row],[LUN]]="X",Tabella3[[#This Row],[MAR]]="X",Tabella3[[#This Row],[MER]]="X",Tabella3[[#This Row],[GIO]]="X",Tabella3[[#This Row],[VEN]]="X",),"X","")</f>
        <v/>
      </c>
      <c r="D255" s="85" t="s">
        <v>10</v>
      </c>
      <c r="E255" s="81" t="s">
        <v>2162</v>
      </c>
      <c r="F255" s="81">
        <v>1800</v>
      </c>
      <c r="G255" s="81" t="s">
        <v>2163</v>
      </c>
      <c r="H255" s="83"/>
      <c r="I255" s="83"/>
      <c r="J255" s="83"/>
      <c r="K255" s="83"/>
      <c r="L255" s="83"/>
      <c r="M255" s="81" t="s">
        <v>52</v>
      </c>
      <c r="N255" s="85"/>
      <c r="O255" s="85"/>
      <c r="P255" s="81"/>
      <c r="Q255" s="81"/>
      <c r="R255" s="82"/>
      <c r="S255" s="81"/>
      <c r="T255" s="138" t="str">
        <f ca="1">IF(AND('Inserimento dati'!$B$3=$H$2, Tabella3[[#This Row],[LUN]]="X"), "X",IF(AND('Inserimento dati'!$B$3=$I$2, Tabella3[[#This Row],[MAR]]="X"), "X", IF(AND('Inserimento dati'!$B$3=$J$2, Tabella3[[#This Row],[MER]]="X"), "X",IF(AND('Inserimento dati'!$B$3=$K$2, Tabella3[[#This Row],[GIO]]="X"), "X", IF(AND('Inserimento dati'!$B$3=$L$2, Tabella3[[#This Row],[VEN]]="X"), "X","")))))</f>
        <v/>
      </c>
      <c r="U255" s="154" t="str">
        <f t="shared" ca="1" si="10"/>
        <v>10222033</v>
      </c>
    </row>
    <row r="256" spans="1:21" ht="30" x14ac:dyDescent="0.25">
      <c r="A256" s="84"/>
      <c r="B256" s="84">
        <v>4</v>
      </c>
      <c r="C256" s="84" t="str">
        <f>IF(OR(Tabella3[[#This Row],[LUN]]="X",Tabella3[[#This Row],[MAR]]="X",Tabella3[[#This Row],[MER]]="X",Tabella3[[#This Row],[GIO]]="X",Tabella3[[#This Row],[VEN]]="X",),"X","")</f>
        <v/>
      </c>
      <c r="D256" s="85" t="s">
        <v>10</v>
      </c>
      <c r="E256" s="81" t="s">
        <v>2164</v>
      </c>
      <c r="F256" s="81" t="s">
        <v>160</v>
      </c>
      <c r="G256" s="81" t="s">
        <v>2165</v>
      </c>
      <c r="H256" s="83"/>
      <c r="I256" s="83"/>
      <c r="J256" s="83"/>
      <c r="K256" s="83"/>
      <c r="L256" s="83"/>
      <c r="M256" s="81" t="s">
        <v>52</v>
      </c>
      <c r="N256" s="85"/>
      <c r="O256" s="85"/>
      <c r="P256" s="81"/>
      <c r="Q256" s="81"/>
      <c r="R256" s="82"/>
      <c r="S256" s="81"/>
      <c r="T256" s="138" t="str">
        <f ca="1">IF(AND('Inserimento dati'!$B$3=$H$2, Tabella3[[#This Row],[LUN]]="X"), "X",IF(AND('Inserimento dati'!$B$3=$I$2, Tabella3[[#This Row],[MAR]]="X"), "X", IF(AND('Inserimento dati'!$B$3=$J$2, Tabella3[[#This Row],[MER]]="X"), "X",IF(AND('Inserimento dati'!$B$3=$K$2, Tabella3[[#This Row],[GIO]]="X"), "X", IF(AND('Inserimento dati'!$B$3=$L$2, Tabella3[[#This Row],[VEN]]="X"), "X","")))))</f>
        <v/>
      </c>
      <c r="U256" s="154" t="str">
        <f t="shared" ca="1" si="10"/>
        <v/>
      </c>
    </row>
    <row r="257" spans="1:21" ht="23.25" x14ac:dyDescent="0.25">
      <c r="A257" s="84"/>
      <c r="B257" s="84">
        <v>4</v>
      </c>
      <c r="C257" s="84" t="str">
        <f>IF(OR(Tabella3[[#This Row],[LUN]]="X",Tabella3[[#This Row],[MAR]]="X",Tabella3[[#This Row],[MER]]="X",Tabella3[[#This Row],[GIO]]="X",Tabella3[[#This Row],[VEN]]="X",),"X","")</f>
        <v/>
      </c>
      <c r="D257" s="85" t="s">
        <v>10</v>
      </c>
      <c r="E257" s="81" t="s">
        <v>2166</v>
      </c>
      <c r="F257" s="81" t="s">
        <v>160</v>
      </c>
      <c r="G257" s="81" t="s">
        <v>2167</v>
      </c>
      <c r="H257" s="83"/>
      <c r="I257" s="83"/>
      <c r="J257" s="83"/>
      <c r="K257" s="83"/>
      <c r="L257" s="83"/>
      <c r="M257" s="81" t="s">
        <v>52</v>
      </c>
      <c r="N257" s="103" t="s">
        <v>8</v>
      </c>
      <c r="O257" s="103"/>
      <c r="P257" s="82"/>
      <c r="Q257" s="82" t="s">
        <v>2168</v>
      </c>
      <c r="R257" s="82"/>
      <c r="S257" s="82"/>
      <c r="T257" s="138" t="str">
        <f ca="1">IF(AND('Inserimento dati'!$B$3=$H$2, Tabella3[[#This Row],[LUN]]="X"), "X",IF(AND('Inserimento dati'!$B$3=$I$2, Tabella3[[#This Row],[MAR]]="X"), "X", IF(AND('Inserimento dati'!$B$3=$J$2, Tabella3[[#This Row],[MER]]="X"), "X",IF(AND('Inserimento dati'!$B$3=$K$2, Tabella3[[#This Row],[GIO]]="X"), "X", IF(AND('Inserimento dati'!$B$3=$L$2, Tabella3[[#This Row],[VEN]]="X"), "X","")))))</f>
        <v/>
      </c>
      <c r="U257" s="154" t="str">
        <f t="shared" ca="1" si="10"/>
        <v>10215887</v>
      </c>
    </row>
    <row r="258" spans="1:21" ht="23.25" x14ac:dyDescent="0.25">
      <c r="A258" s="84"/>
      <c r="B258" s="84">
        <v>4</v>
      </c>
      <c r="C258" s="84" t="str">
        <f>IF(OR(Tabella3[[#This Row],[LUN]]="X",Tabella3[[#This Row],[MAR]]="X",Tabella3[[#This Row],[MER]]="X",Tabella3[[#This Row],[GIO]]="X",Tabella3[[#This Row],[VEN]]="X",),"X","")</f>
        <v/>
      </c>
      <c r="D258" s="85" t="s">
        <v>10</v>
      </c>
      <c r="E258" s="81" t="s">
        <v>2169</v>
      </c>
      <c r="F258" s="81">
        <v>1100</v>
      </c>
      <c r="G258" s="81" t="s">
        <v>2170</v>
      </c>
      <c r="H258" s="83"/>
      <c r="I258" s="83"/>
      <c r="J258" s="83"/>
      <c r="K258" s="83"/>
      <c r="L258" s="83"/>
      <c r="M258" s="81" t="s">
        <v>52</v>
      </c>
      <c r="N258" s="85"/>
      <c r="O258" s="85"/>
      <c r="P258" s="81"/>
      <c r="Q258" s="81"/>
      <c r="R258" s="82"/>
      <c r="S258" s="82"/>
      <c r="T258" s="84" t="str">
        <f ca="1">IF(AND('Inserimento dati'!$B$3=$H$2, Tabella3[[#This Row],[LUN]]="X"), "X",IF(AND('Inserimento dati'!$B$3=$I$2, Tabella3[[#This Row],[MAR]]="X"), "X", IF(AND('Inserimento dati'!$B$3=$J$2, Tabella3[[#This Row],[MER]]="X"), "X",IF(AND('Inserimento dati'!$B$3=$K$2, Tabella3[[#This Row],[GIO]]="X"), "X", IF(AND('Inserimento dati'!$B$3=$L$2, Tabella3[[#This Row],[VEN]]="X"), "X","")))))</f>
        <v/>
      </c>
      <c r="U258" s="154" t="str">
        <f t="shared" ca="1" si="10"/>
        <v>10215991</v>
      </c>
    </row>
    <row r="259" spans="1:21" ht="45" x14ac:dyDescent="0.25">
      <c r="A259" s="84"/>
      <c r="B259" s="84">
        <v>4</v>
      </c>
      <c r="C259" s="84" t="str">
        <f>IF(OR(Tabella3[[#This Row],[LUN]]="X",Tabella3[[#This Row],[MAR]]="X",Tabella3[[#This Row],[MER]]="X",Tabella3[[#This Row],[GIO]]="X",Tabella3[[#This Row],[VEN]]="X",),"X","")</f>
        <v/>
      </c>
      <c r="D259" s="85" t="s">
        <v>10</v>
      </c>
      <c r="E259" s="81" t="s">
        <v>2171</v>
      </c>
      <c r="F259" s="81" t="s">
        <v>203</v>
      </c>
      <c r="G259" s="81" t="s">
        <v>2172</v>
      </c>
      <c r="H259" s="83"/>
      <c r="I259" s="83"/>
      <c r="J259" s="83"/>
      <c r="K259" s="83"/>
      <c r="L259" s="83"/>
      <c r="M259" s="81" t="s">
        <v>52</v>
      </c>
      <c r="N259" s="85"/>
      <c r="O259" s="85"/>
      <c r="P259" s="81"/>
      <c r="Q259" s="81" t="s">
        <v>2173</v>
      </c>
      <c r="R259" s="82">
        <v>45641</v>
      </c>
      <c r="S259" s="82" t="s">
        <v>813</v>
      </c>
      <c r="T259" s="84" t="str">
        <f ca="1">IF(AND('Inserimento dati'!$B$3=$H$2, Tabella3[[#This Row],[LUN]]="X"), "X",IF(AND('Inserimento dati'!$B$3=$I$2, Tabella3[[#This Row],[MAR]]="X"), "X", IF(AND('Inserimento dati'!$B$3=$J$2, Tabella3[[#This Row],[MER]]="X"), "X",IF(AND('Inserimento dati'!$B$3=$K$2, Tabella3[[#This Row],[GIO]]="X"), "X", IF(AND('Inserimento dati'!$B$3=$L$2, Tabella3[[#This Row],[VEN]]="X"), "X","")))))</f>
        <v/>
      </c>
      <c r="U259" s="154" t="str">
        <f t="shared" ca="1" si="10"/>
        <v>10215992</v>
      </c>
    </row>
    <row r="260" spans="1:21" ht="23.25" x14ac:dyDescent="0.25">
      <c r="A260" s="84"/>
      <c r="B260" s="84">
        <v>4</v>
      </c>
      <c r="C260" s="84" t="str">
        <f>IF(OR(Tabella3[[#This Row],[LUN]]="X",Tabella3[[#This Row],[MAR]]="X",Tabella3[[#This Row],[MER]]="X",Tabella3[[#This Row],[GIO]]="X",Tabella3[[#This Row],[VEN]]="X",),"X","")</f>
        <v/>
      </c>
      <c r="D260" s="85" t="s">
        <v>10</v>
      </c>
      <c r="E260" s="81" t="s">
        <v>2174</v>
      </c>
      <c r="F260" s="81" t="s">
        <v>160</v>
      </c>
      <c r="G260" s="81" t="s">
        <v>2175</v>
      </c>
      <c r="H260" s="83"/>
      <c r="I260" s="83"/>
      <c r="J260" s="83"/>
      <c r="K260" s="83"/>
      <c r="L260" s="83"/>
      <c r="M260" s="81" t="s">
        <v>52</v>
      </c>
      <c r="N260" s="85"/>
      <c r="O260" s="85"/>
      <c r="P260" s="81"/>
      <c r="Q260" s="81"/>
      <c r="R260" s="82"/>
      <c r="S260" s="81"/>
      <c r="T260" s="150" t="str">
        <f ca="1">IF(AND('Inserimento dati'!$B$3=$H$2, Tabella3[[#This Row],[LUN]]="X"), "X",IF(AND('Inserimento dati'!$B$3=$I$2, Tabella3[[#This Row],[MAR]]="X"), "X", IF(AND('Inserimento dati'!$B$3=$J$2, Tabella3[[#This Row],[MER]]="X"), "X",IF(AND('Inserimento dati'!$B$3=$K$2, Tabella3[[#This Row],[GIO]]="X"), "X", IF(AND('Inserimento dati'!$B$3=$L$2, Tabella3[[#This Row],[VEN]]="X"), "X","")))))</f>
        <v/>
      </c>
      <c r="U260" s="155" t="str">
        <f t="shared" ref="U260:U323" ca="1" si="12">IFERROR(MID(G260,_xlfn.AGGREGATE(15,6,(ROW(INDIRECT("1:"&amp;LEN(G260)-7)))/(ISNUMBER(--MID(G260,ROW(INDIRECT("1:"&amp;LEN(G260)-7)),8))),1),8),"")</f>
        <v/>
      </c>
    </row>
    <row r="261" spans="1:21" ht="30" x14ac:dyDescent="0.25">
      <c r="A261" s="84"/>
      <c r="B261" s="84">
        <v>1</v>
      </c>
      <c r="C261" s="84" t="str">
        <f>IF(OR(Tabella3[[#This Row],[LUN]]="X",Tabella3[[#This Row],[MAR]]="X",Tabella3[[#This Row],[MER]]="X",Tabella3[[#This Row],[GIO]]="X",Tabella3[[#This Row],[VEN]]="X",),"X","")</f>
        <v/>
      </c>
      <c r="D261" s="85" t="s">
        <v>10</v>
      </c>
      <c r="E261" s="81" t="s">
        <v>2176</v>
      </c>
      <c r="F261" s="81" t="s">
        <v>198</v>
      </c>
      <c r="G261" s="81" t="s">
        <v>2177</v>
      </c>
      <c r="H261" s="83"/>
      <c r="I261" s="83"/>
      <c r="J261" s="83"/>
      <c r="K261" s="83"/>
      <c r="L261" s="83"/>
      <c r="M261" s="81" t="s">
        <v>52</v>
      </c>
      <c r="N261" s="85"/>
      <c r="O261" s="85"/>
      <c r="P261" s="81"/>
      <c r="Q261" s="81" t="s">
        <v>2178</v>
      </c>
      <c r="R261" s="82">
        <v>45826</v>
      </c>
      <c r="S261" s="81" t="s">
        <v>238</v>
      </c>
      <c r="T261" s="138" t="str">
        <f ca="1">IF(AND('Inserimento dati'!$B$3=$H$2, Tabella3[[#This Row],[LUN]]="X"), "X",IF(AND('Inserimento dati'!$B$3=$I$2, Tabella3[[#This Row],[MAR]]="X"), "X", IF(AND('Inserimento dati'!$B$3=$J$2, Tabella3[[#This Row],[MER]]="X"), "X",IF(AND('Inserimento dati'!$B$3=$K$2, Tabella3[[#This Row],[GIO]]="X"), "X", IF(AND('Inserimento dati'!$B$3=$L$2, Tabella3[[#This Row],[VEN]]="X"), "X","")))))</f>
        <v/>
      </c>
      <c r="U261" s="154" t="str">
        <f t="shared" ca="1" si="12"/>
        <v>10225931</v>
      </c>
    </row>
    <row r="262" spans="1:21" ht="23.25" x14ac:dyDescent="0.25">
      <c r="A262" s="84"/>
      <c r="B262" s="84">
        <v>3</v>
      </c>
      <c r="C262" s="84" t="str">
        <f>IF(OR(Tabella3[[#This Row],[LUN]]="X",Tabella3[[#This Row],[MAR]]="X",Tabella3[[#This Row],[MER]]="X",Tabella3[[#This Row],[GIO]]="X",Tabella3[[#This Row],[VEN]]="X",),"X","")</f>
        <v/>
      </c>
      <c r="D262" s="85" t="s">
        <v>10</v>
      </c>
      <c r="E262" s="81" t="s">
        <v>2179</v>
      </c>
      <c r="F262" s="81">
        <v>1200</v>
      </c>
      <c r="G262" s="81" t="s">
        <v>2180</v>
      </c>
      <c r="H262" s="83"/>
      <c r="I262" s="83"/>
      <c r="J262" s="83"/>
      <c r="K262" s="83"/>
      <c r="L262" s="83"/>
      <c r="M262" s="81" t="s">
        <v>52</v>
      </c>
      <c r="N262" s="85"/>
      <c r="O262" s="85"/>
      <c r="P262" s="81"/>
      <c r="Q262" s="81"/>
      <c r="R262" s="82"/>
      <c r="S262" s="81"/>
      <c r="T262" s="132" t="str">
        <f ca="1">IF(AND('Inserimento dati'!$B$3=$H$2, Tabella3[[#This Row],[LUN]]="X"), "X",IF(AND('Inserimento dati'!$B$3=$I$2, Tabella3[[#This Row],[MAR]]="X"), "X", IF(AND('Inserimento dati'!$B$3=$J$2, Tabella3[[#This Row],[MER]]="X"), "X",IF(AND('Inserimento dati'!$B$3=$K$2, Tabella3[[#This Row],[GIO]]="X"), "X", IF(AND('Inserimento dati'!$B$3=$L$2, Tabella3[[#This Row],[VEN]]="X"), "X","")))))</f>
        <v/>
      </c>
      <c r="U262" s="149" t="str">
        <f t="shared" ca="1" si="12"/>
        <v/>
      </c>
    </row>
    <row r="263" spans="1:21" ht="23.25" x14ac:dyDescent="0.25">
      <c r="A263" s="84"/>
      <c r="B263" s="84">
        <v>3</v>
      </c>
      <c r="C263" s="84" t="str">
        <f>IF(OR(Tabella3[[#This Row],[LUN]]="X",Tabella3[[#This Row],[MAR]]="X",Tabella3[[#This Row],[MER]]="X",Tabella3[[#This Row],[GIO]]="X",Tabella3[[#This Row],[VEN]]="X",),"X","")</f>
        <v/>
      </c>
      <c r="D263" s="85" t="s">
        <v>10</v>
      </c>
      <c r="E263" s="81" t="s">
        <v>2181</v>
      </c>
      <c r="F263" s="81">
        <v>1200</v>
      </c>
      <c r="G263" s="81" t="s">
        <v>2182</v>
      </c>
      <c r="H263" s="83"/>
      <c r="I263" s="83"/>
      <c r="J263" s="83"/>
      <c r="K263" s="83"/>
      <c r="L263" s="83"/>
      <c r="M263" s="81" t="s">
        <v>52</v>
      </c>
      <c r="N263" s="85"/>
      <c r="O263" s="85"/>
      <c r="P263" s="81"/>
      <c r="Q263" s="81"/>
      <c r="R263" s="82"/>
      <c r="S263" s="81"/>
      <c r="T263" s="132" t="str">
        <f ca="1">IF(AND('Inserimento dati'!$B$3=$H$2, Tabella3[[#This Row],[LUN]]="X"), "X",IF(AND('Inserimento dati'!$B$3=$I$2, Tabella3[[#This Row],[MAR]]="X"), "X", IF(AND('Inserimento dati'!$B$3=$J$2, Tabella3[[#This Row],[MER]]="X"), "X",IF(AND('Inserimento dati'!$B$3=$K$2, Tabella3[[#This Row],[GIO]]="X"), "X", IF(AND('Inserimento dati'!$B$3=$L$2, Tabella3[[#This Row],[VEN]]="X"), "X","")))))</f>
        <v/>
      </c>
      <c r="U263" s="149" t="str">
        <f t="shared" ca="1" si="12"/>
        <v/>
      </c>
    </row>
    <row r="264" spans="1:21" ht="23.25" x14ac:dyDescent="0.25">
      <c r="A264" s="84"/>
      <c r="B264" s="84"/>
      <c r="C264" s="84" t="str">
        <f>IF(OR(Tabella3[[#This Row],[LUN]]="X",Tabella3[[#This Row],[MAR]]="X",Tabella3[[#This Row],[MER]]="X",Tabella3[[#This Row],[GIO]]="X",Tabella3[[#This Row],[VEN]]="X",),"X","")</f>
        <v/>
      </c>
      <c r="D264" s="85" t="s">
        <v>10</v>
      </c>
      <c r="E264" s="81" t="s">
        <v>2183</v>
      </c>
      <c r="F264" s="81">
        <v>1200</v>
      </c>
      <c r="G264" s="81" t="s">
        <v>2184</v>
      </c>
      <c r="H264" s="83"/>
      <c r="I264" s="83"/>
      <c r="J264" s="83"/>
      <c r="K264" s="83"/>
      <c r="L264" s="83"/>
      <c r="M264" s="81" t="s">
        <v>52</v>
      </c>
      <c r="N264" s="85"/>
      <c r="O264" s="85"/>
      <c r="P264" s="81"/>
      <c r="Q264" s="81"/>
      <c r="R264" s="82"/>
      <c r="S264" s="81"/>
      <c r="T264" s="132" t="str">
        <f ca="1">IF(AND('Inserimento dati'!$B$3=$H$2, Tabella3[[#This Row],[LUN]]="X"), "X",IF(AND('Inserimento dati'!$B$3=$I$2, Tabella3[[#This Row],[MAR]]="X"), "X", IF(AND('Inserimento dati'!$B$3=$J$2, Tabella3[[#This Row],[MER]]="X"), "X",IF(AND('Inserimento dati'!$B$3=$K$2, Tabella3[[#This Row],[GIO]]="X"), "X", IF(AND('Inserimento dati'!$B$3=$L$2, Tabella3[[#This Row],[VEN]]="X"), "X","")))))</f>
        <v/>
      </c>
      <c r="U264" s="149" t="str">
        <f t="shared" ca="1" si="12"/>
        <v>10226491</v>
      </c>
    </row>
    <row r="265" spans="1:21" ht="23.25" x14ac:dyDescent="0.25">
      <c r="A265" s="84"/>
      <c r="B265" s="84" t="str">
        <f>IF(OR(A265="x",A265="X"),"",IF(ISBLANK(A265),"X",""))</f>
        <v>X</v>
      </c>
      <c r="C265" s="84" t="str">
        <f>IF(OR(Tabella3[[#This Row],[LUN]]="X",Tabella3[[#This Row],[MAR]]="X",Tabella3[[#This Row],[MER]]="X",Tabella3[[#This Row],[GIO]]="X",Tabella3[[#This Row],[VEN]]="X",),"X","")</f>
        <v/>
      </c>
      <c r="D265" s="85" t="s">
        <v>10</v>
      </c>
      <c r="E265" s="81" t="s">
        <v>2185</v>
      </c>
      <c r="F265" s="81">
        <v>1400</v>
      </c>
      <c r="G265" s="81" t="s">
        <v>2186</v>
      </c>
      <c r="H265" s="83"/>
      <c r="I265" s="83"/>
      <c r="J265" s="83"/>
      <c r="K265" s="83"/>
      <c r="L265" s="83"/>
      <c r="M265" s="81" t="s">
        <v>52</v>
      </c>
      <c r="N265" s="85"/>
      <c r="O265" s="85"/>
      <c r="P265" s="81"/>
      <c r="Q265" s="81" t="s">
        <v>1555</v>
      </c>
      <c r="R265" s="82">
        <v>45835</v>
      </c>
      <c r="S265" s="81" t="s">
        <v>238</v>
      </c>
      <c r="T265" s="132" t="str">
        <f ca="1">IF(AND('Inserimento dati'!$B$3=$H$2, Tabella3[[#This Row],[LUN]]="X"), "X",IF(AND('Inserimento dati'!$B$3=$I$2, Tabella3[[#This Row],[MAR]]="X"), "X", IF(AND('Inserimento dati'!$B$3=$J$2, Tabella3[[#This Row],[MER]]="X"), "X",IF(AND('Inserimento dati'!$B$3=$K$2, Tabella3[[#This Row],[GIO]]="X"), "X", IF(AND('Inserimento dati'!$B$3=$L$2, Tabella3[[#This Row],[VEN]]="X"), "X","")))))</f>
        <v/>
      </c>
      <c r="U265" s="145" t="str">
        <f t="shared" ca="1" si="12"/>
        <v>10225475</v>
      </c>
    </row>
    <row r="266" spans="1:21" ht="30" x14ac:dyDescent="0.25">
      <c r="A266" s="84"/>
      <c r="B266" s="84" t="str">
        <f>IF(OR(A266="x",A266="X"),"",IF(ISBLANK(A266),"X",""))</f>
        <v>X</v>
      </c>
      <c r="C266" s="84" t="str">
        <f>IF(OR(Tabella3[[#This Row],[LUN]]="X",Tabella3[[#This Row],[MAR]]="X",Tabella3[[#This Row],[MER]]="X",Tabella3[[#This Row],[GIO]]="X",Tabella3[[#This Row],[VEN]]="X",),"X","")</f>
        <v/>
      </c>
      <c r="D266" s="85" t="s">
        <v>10</v>
      </c>
      <c r="E266" s="81" t="s">
        <v>2187</v>
      </c>
      <c r="F266" s="81">
        <v>1200</v>
      </c>
      <c r="G266" s="81" t="s">
        <v>2188</v>
      </c>
      <c r="H266" s="83"/>
      <c r="I266" s="83"/>
      <c r="J266" s="83"/>
      <c r="K266" s="83"/>
      <c r="L266" s="83"/>
      <c r="M266" s="81" t="s">
        <v>52</v>
      </c>
      <c r="N266" s="85"/>
      <c r="O266" s="85"/>
      <c r="P266" s="81"/>
      <c r="Q266" s="81" t="s">
        <v>2189</v>
      </c>
      <c r="R266" s="82">
        <v>45838</v>
      </c>
      <c r="S266" s="81" t="s">
        <v>9</v>
      </c>
      <c r="T266" s="132" t="str">
        <f ca="1">IF(AND('Inserimento dati'!$B$3=$H$2, Tabella3[[#This Row],[LUN]]="X"), "X",IF(AND('Inserimento dati'!$B$3=$I$2, Tabella3[[#This Row],[MAR]]="X"), "X", IF(AND('Inserimento dati'!$B$3=$J$2, Tabella3[[#This Row],[MER]]="X"), "X",IF(AND('Inserimento dati'!$B$3=$K$2, Tabella3[[#This Row],[GIO]]="X"), "X", IF(AND('Inserimento dati'!$B$3=$L$2, Tabella3[[#This Row],[VEN]]="X"), "X","")))))</f>
        <v/>
      </c>
      <c r="U266" s="145" t="str">
        <f t="shared" ca="1" si="12"/>
        <v>10222966</v>
      </c>
    </row>
    <row r="267" spans="1:21" ht="30" x14ac:dyDescent="0.25">
      <c r="A267" s="84"/>
      <c r="B267" s="84">
        <v>3</v>
      </c>
      <c r="C267" s="84" t="str">
        <f>IF(OR(Tabella3[[#This Row],[LUN]]="X",Tabella3[[#This Row],[MAR]]="X",Tabella3[[#This Row],[MER]]="X",Tabella3[[#This Row],[GIO]]="X",Tabella3[[#This Row],[VEN]]="X",),"X","")</f>
        <v/>
      </c>
      <c r="D267" s="85" t="s">
        <v>10</v>
      </c>
      <c r="E267" s="81" t="s">
        <v>2190</v>
      </c>
      <c r="F267" s="81">
        <v>1100</v>
      </c>
      <c r="G267" s="81" t="s">
        <v>2191</v>
      </c>
      <c r="H267" s="83"/>
      <c r="I267" s="83"/>
      <c r="J267" s="83"/>
      <c r="K267" s="83"/>
      <c r="L267" s="83"/>
      <c r="M267" s="81" t="s">
        <v>52</v>
      </c>
      <c r="N267" s="85"/>
      <c r="O267" s="85"/>
      <c r="P267" s="81"/>
      <c r="Q267" s="81" t="s">
        <v>2192</v>
      </c>
      <c r="R267" s="82">
        <v>45838</v>
      </c>
      <c r="S267" s="81" t="s">
        <v>1822</v>
      </c>
      <c r="T267" s="132" t="str">
        <f ca="1">IF(AND('Inserimento dati'!$B$3=$H$2, Tabella3[[#This Row],[LUN]]="X"), "X",IF(AND('Inserimento dati'!$B$3=$I$2, Tabella3[[#This Row],[MAR]]="X"), "X", IF(AND('Inserimento dati'!$B$3=$J$2, Tabella3[[#This Row],[MER]]="X"), "X",IF(AND('Inserimento dati'!$B$3=$K$2, Tabella3[[#This Row],[GIO]]="X"), "X", IF(AND('Inserimento dati'!$B$3=$L$2, Tabella3[[#This Row],[VEN]]="X"), "X","")))))</f>
        <v/>
      </c>
      <c r="U267" s="145" t="str">
        <f t="shared" ca="1" si="12"/>
        <v>10224034</v>
      </c>
    </row>
    <row r="268" spans="1:21" ht="30" x14ac:dyDescent="0.25">
      <c r="A268" s="84"/>
      <c r="B268" s="84">
        <v>3</v>
      </c>
      <c r="C268" s="84" t="str">
        <f>IF(OR(Tabella3[[#This Row],[LUN]]="X",Tabella3[[#This Row],[MAR]]="X",Tabella3[[#This Row],[MER]]="X",Tabella3[[#This Row],[GIO]]="X",Tabella3[[#This Row],[VEN]]="X",),"X","")</f>
        <v/>
      </c>
      <c r="D268" s="85" t="s">
        <v>10</v>
      </c>
      <c r="E268" s="81" t="s">
        <v>2193</v>
      </c>
      <c r="F268" s="81" t="s">
        <v>202</v>
      </c>
      <c r="G268" s="81" t="s">
        <v>2194</v>
      </c>
      <c r="H268" s="83"/>
      <c r="I268" s="83"/>
      <c r="J268" s="83"/>
      <c r="K268" s="83"/>
      <c r="L268" s="83"/>
      <c r="M268" s="81" t="s">
        <v>52</v>
      </c>
      <c r="N268" s="85"/>
      <c r="O268" s="85"/>
      <c r="P268" s="81"/>
      <c r="Q268" s="81" t="s">
        <v>2195</v>
      </c>
      <c r="R268" s="82">
        <v>45840</v>
      </c>
      <c r="S268" s="81" t="s">
        <v>2196</v>
      </c>
      <c r="T268" s="132" t="str">
        <f ca="1">IF(AND('Inserimento dati'!$B$3=$H$2, Tabella3[[#This Row],[LUN]]="X"), "X",IF(AND('Inserimento dati'!$B$3=$I$2, Tabella3[[#This Row],[MAR]]="X"), "X", IF(AND('Inserimento dati'!$B$3=$J$2, Tabella3[[#This Row],[MER]]="X"), "X",IF(AND('Inserimento dati'!$B$3=$K$2, Tabella3[[#This Row],[GIO]]="X"), "X", IF(AND('Inserimento dati'!$B$3=$L$2, Tabella3[[#This Row],[VEN]]="X"), "X","")))))</f>
        <v/>
      </c>
      <c r="U268" s="149" t="str">
        <f t="shared" ca="1" si="12"/>
        <v>10225850</v>
      </c>
    </row>
    <row r="269" spans="1:21" ht="30" x14ac:dyDescent="0.25">
      <c r="A269" s="84"/>
      <c r="B269" s="84">
        <v>3</v>
      </c>
      <c r="C269" s="84" t="str">
        <f>IF(OR(Tabella3[[#This Row],[LUN]]="X",Tabella3[[#This Row],[MAR]]="X",Tabella3[[#This Row],[MER]]="X",Tabella3[[#This Row],[GIO]]="X",Tabella3[[#This Row],[VEN]]="X",),"X","")</f>
        <v/>
      </c>
      <c r="D269" s="85" t="s">
        <v>10</v>
      </c>
      <c r="E269" s="81" t="s">
        <v>2197</v>
      </c>
      <c r="F269" s="81" t="s">
        <v>199</v>
      </c>
      <c r="G269" s="81" t="s">
        <v>2198</v>
      </c>
      <c r="H269" s="83"/>
      <c r="I269" s="83"/>
      <c r="J269" s="83"/>
      <c r="K269" s="83"/>
      <c r="L269" s="83"/>
      <c r="M269" s="81" t="s">
        <v>52</v>
      </c>
      <c r="N269" s="85"/>
      <c r="O269" s="85"/>
      <c r="P269" s="81"/>
      <c r="Q269" s="81" t="s">
        <v>2199</v>
      </c>
      <c r="R269" s="82">
        <v>45840</v>
      </c>
      <c r="S269" s="81" t="s">
        <v>2196</v>
      </c>
      <c r="T269" s="132" t="str">
        <f ca="1">IF(AND('Inserimento dati'!$B$3=$H$2, Tabella3[[#This Row],[LUN]]="X"), "X",IF(AND('Inserimento dati'!$B$3=$I$2, Tabella3[[#This Row],[MAR]]="X"), "X", IF(AND('Inserimento dati'!$B$3=$J$2, Tabella3[[#This Row],[MER]]="X"), "X",IF(AND('Inserimento dati'!$B$3=$K$2, Tabella3[[#This Row],[GIO]]="X"), "X", IF(AND('Inserimento dati'!$B$3=$L$2, Tabella3[[#This Row],[VEN]]="X"), "X","")))))</f>
        <v/>
      </c>
      <c r="U269" s="149" t="str">
        <f t="shared" ca="1" si="12"/>
        <v>10225816</v>
      </c>
    </row>
    <row r="270" spans="1:21" ht="30" x14ac:dyDescent="0.25">
      <c r="A270" s="84"/>
      <c r="B270" s="84"/>
      <c r="C270" s="84" t="str">
        <f>IF(OR(Tabella3[[#This Row],[LUN]]="X",Tabella3[[#This Row],[MAR]]="X",Tabella3[[#This Row],[MER]]="X",Tabella3[[#This Row],[GIO]]="X",Tabella3[[#This Row],[VEN]]="X",),"X","")</f>
        <v/>
      </c>
      <c r="D270" s="85" t="s">
        <v>10</v>
      </c>
      <c r="E270" s="81" t="s">
        <v>2200</v>
      </c>
      <c r="F270" s="81" t="s">
        <v>200</v>
      </c>
      <c r="G270" s="81" t="s">
        <v>2201</v>
      </c>
      <c r="H270" s="83"/>
      <c r="I270" s="83"/>
      <c r="J270" s="83"/>
      <c r="K270" s="83"/>
      <c r="L270" s="83"/>
      <c r="M270" s="81" t="s">
        <v>52</v>
      </c>
      <c r="N270" s="85"/>
      <c r="O270" s="85"/>
      <c r="P270" s="81"/>
      <c r="Q270" s="81" t="s">
        <v>2202</v>
      </c>
      <c r="R270" s="82">
        <v>45840</v>
      </c>
      <c r="S270" s="81" t="s">
        <v>1211</v>
      </c>
      <c r="T270" s="132" t="str">
        <f ca="1">IF(AND('Inserimento dati'!$B$3=$H$2, Tabella3[[#This Row],[LUN]]="X"), "X",IF(AND('Inserimento dati'!$B$3=$I$2, Tabella3[[#This Row],[MAR]]="X"), "X", IF(AND('Inserimento dati'!$B$3=$J$2, Tabella3[[#This Row],[MER]]="X"), "X",IF(AND('Inserimento dati'!$B$3=$K$2, Tabella3[[#This Row],[GIO]]="X"), "X", IF(AND('Inserimento dati'!$B$3=$L$2, Tabella3[[#This Row],[VEN]]="X"), "X","")))))</f>
        <v/>
      </c>
      <c r="U270" s="149" t="str">
        <f t="shared" ca="1" si="12"/>
        <v>10226540</v>
      </c>
    </row>
    <row r="271" spans="1:21" ht="30" x14ac:dyDescent="0.25">
      <c r="A271" s="84"/>
      <c r="B271" s="84"/>
      <c r="C271" s="84" t="str">
        <f>IF(OR(Tabella3[[#This Row],[LUN]]="X",Tabella3[[#This Row],[MAR]]="X",Tabella3[[#This Row],[MER]]="X",Tabella3[[#This Row],[GIO]]="X",Tabella3[[#This Row],[VEN]]="X",),"X","")</f>
        <v/>
      </c>
      <c r="D271" s="85" t="s">
        <v>10</v>
      </c>
      <c r="E271" s="81" t="s">
        <v>2203</v>
      </c>
      <c r="F271" s="81" t="s">
        <v>200</v>
      </c>
      <c r="G271" s="81" t="s">
        <v>2204</v>
      </c>
      <c r="H271" s="83"/>
      <c r="I271" s="83"/>
      <c r="J271" s="83"/>
      <c r="K271" s="83"/>
      <c r="L271" s="83"/>
      <c r="M271" s="81" t="s">
        <v>52</v>
      </c>
      <c r="N271" s="85"/>
      <c r="O271" s="85"/>
      <c r="P271" s="81"/>
      <c r="Q271" s="81" t="s">
        <v>2202</v>
      </c>
      <c r="R271" s="82">
        <v>45840</v>
      </c>
      <c r="S271" s="81" t="s">
        <v>1211</v>
      </c>
      <c r="T271" s="132" t="str">
        <f ca="1">IF(AND('Inserimento dati'!$B$3=$H$2, Tabella3[[#This Row],[LUN]]="X"), "X",IF(AND('Inserimento dati'!$B$3=$I$2, Tabella3[[#This Row],[MAR]]="X"), "X", IF(AND('Inserimento dati'!$B$3=$J$2, Tabella3[[#This Row],[MER]]="X"), "X",IF(AND('Inserimento dati'!$B$3=$K$2, Tabella3[[#This Row],[GIO]]="X"), "X", IF(AND('Inserimento dati'!$B$3=$L$2, Tabella3[[#This Row],[VEN]]="X"), "X","")))))</f>
        <v/>
      </c>
      <c r="U271" s="149" t="str">
        <f t="shared" ca="1" si="12"/>
        <v>10226539</v>
      </c>
    </row>
    <row r="272" spans="1:21" ht="30" x14ac:dyDescent="0.25">
      <c r="A272" s="84"/>
      <c r="B272" s="84"/>
      <c r="C272" s="84" t="str">
        <f>IF(OR(Tabella3[[#This Row],[LUN]]="X",Tabella3[[#This Row],[MAR]]="X",Tabella3[[#This Row],[MER]]="X",Tabella3[[#This Row],[GIO]]="X",Tabella3[[#This Row],[VEN]]="X",),"X","")</f>
        <v/>
      </c>
      <c r="D272" s="85" t="s">
        <v>10</v>
      </c>
      <c r="E272" s="81" t="s">
        <v>2205</v>
      </c>
      <c r="F272" s="81">
        <v>1200</v>
      </c>
      <c r="G272" s="81" t="s">
        <v>2206</v>
      </c>
      <c r="H272" s="83"/>
      <c r="I272" s="83"/>
      <c r="J272" s="83"/>
      <c r="K272" s="83"/>
      <c r="L272" s="83"/>
      <c r="M272" s="81" t="s">
        <v>52</v>
      </c>
      <c r="N272" s="85"/>
      <c r="O272" s="85"/>
      <c r="P272" s="81"/>
      <c r="Q272" s="81" t="s">
        <v>2207</v>
      </c>
      <c r="R272" s="82">
        <v>45841</v>
      </c>
      <c r="S272" s="81" t="s">
        <v>674</v>
      </c>
      <c r="T272" s="132" t="str">
        <f ca="1">IF(AND('Inserimento dati'!$B$3=$H$2, Tabella3[[#This Row],[LUN]]="X"), "X",IF(AND('Inserimento dati'!$B$3=$I$2, Tabella3[[#This Row],[MAR]]="X"), "X", IF(AND('Inserimento dati'!$B$3=$J$2, Tabella3[[#This Row],[MER]]="X"), "X",IF(AND('Inserimento dati'!$B$3=$K$2, Tabella3[[#This Row],[GIO]]="X"), "X", IF(AND('Inserimento dati'!$B$3=$L$2, Tabella3[[#This Row],[VEN]]="X"), "X","")))))</f>
        <v/>
      </c>
      <c r="U272" s="149" t="str">
        <f t="shared" ca="1" si="12"/>
        <v>10226371</v>
      </c>
    </row>
    <row r="273" spans="1:21" ht="23.25" x14ac:dyDescent="0.25">
      <c r="A273" s="84"/>
      <c r="B273" s="84"/>
      <c r="C273" s="84" t="str">
        <f>IF(OR(Tabella3[[#This Row],[LUN]]="X",Tabella3[[#This Row],[MAR]]="X",Tabella3[[#This Row],[MER]]="X",Tabella3[[#This Row],[GIO]]="X",Tabella3[[#This Row],[VEN]]="X",),"X","")</f>
        <v/>
      </c>
      <c r="D273" s="85" t="s">
        <v>10</v>
      </c>
      <c r="E273" s="81" t="s">
        <v>2208</v>
      </c>
      <c r="F273" s="81">
        <v>1200</v>
      </c>
      <c r="G273" s="81" t="s">
        <v>2209</v>
      </c>
      <c r="H273" s="83"/>
      <c r="I273" s="83"/>
      <c r="J273" s="83"/>
      <c r="K273" s="83"/>
      <c r="L273" s="83"/>
      <c r="M273" s="81" t="s">
        <v>52</v>
      </c>
      <c r="N273" s="85"/>
      <c r="O273" s="85"/>
      <c r="P273" s="81"/>
      <c r="Q273" s="81" t="s">
        <v>2210</v>
      </c>
      <c r="R273" s="82">
        <v>45845</v>
      </c>
      <c r="S273" s="81" t="s">
        <v>238</v>
      </c>
      <c r="T273" s="132" t="str">
        <f ca="1">IF(AND('Inserimento dati'!$B$3=$H$2, Tabella3[[#This Row],[LUN]]="X"), "X",IF(AND('Inserimento dati'!$B$3=$I$2, Tabella3[[#This Row],[MAR]]="X"), "X", IF(AND('Inserimento dati'!$B$3=$J$2, Tabella3[[#This Row],[MER]]="X"), "X",IF(AND('Inserimento dati'!$B$3=$K$2, Tabella3[[#This Row],[GIO]]="X"), "X", IF(AND('Inserimento dati'!$B$3=$L$2, Tabella3[[#This Row],[VEN]]="X"), "X","")))))</f>
        <v/>
      </c>
      <c r="U273" s="149" t="str">
        <f t="shared" ca="1" si="12"/>
        <v>10226804</v>
      </c>
    </row>
    <row r="274" spans="1:21" ht="23.25" x14ac:dyDescent="0.25">
      <c r="A274" s="84"/>
      <c r="B274" s="84"/>
      <c r="C274" s="84" t="str">
        <f>IF(OR(Tabella3[[#This Row],[LUN]]="X",Tabella3[[#This Row],[MAR]]="X",Tabella3[[#This Row],[MER]]="X",Tabella3[[#This Row],[GIO]]="X",Tabella3[[#This Row],[VEN]]="X",),"X","")</f>
        <v/>
      </c>
      <c r="D274" s="85" t="s">
        <v>10</v>
      </c>
      <c r="E274" s="81" t="s">
        <v>2211</v>
      </c>
      <c r="F274" s="81" t="s">
        <v>106</v>
      </c>
      <c r="G274" s="81" t="s">
        <v>2212</v>
      </c>
      <c r="H274" s="83"/>
      <c r="I274" s="83"/>
      <c r="J274" s="83"/>
      <c r="K274" s="83"/>
      <c r="L274" s="83"/>
      <c r="M274" s="81" t="s">
        <v>52</v>
      </c>
      <c r="N274" s="85"/>
      <c r="O274" s="85"/>
      <c r="P274" s="81"/>
      <c r="Q274" s="81" t="s">
        <v>2213</v>
      </c>
      <c r="R274" s="82"/>
      <c r="S274" s="81"/>
      <c r="T274" s="132" t="str">
        <f ca="1">IF(AND('Inserimento dati'!$B$3=$H$2, Tabella3[[#This Row],[LUN]]="X"), "X",IF(AND('Inserimento dati'!$B$3=$I$2, Tabella3[[#This Row],[MAR]]="X"), "X", IF(AND('Inserimento dati'!$B$3=$J$2, Tabella3[[#This Row],[MER]]="X"), "X",IF(AND('Inserimento dati'!$B$3=$K$2, Tabella3[[#This Row],[GIO]]="X"), "X", IF(AND('Inserimento dati'!$B$3=$L$2, Tabella3[[#This Row],[VEN]]="X"), "X","")))))</f>
        <v/>
      </c>
      <c r="U274" s="149" t="str">
        <f t="shared" ca="1" si="12"/>
        <v>10227021</v>
      </c>
    </row>
    <row r="275" spans="1:21" ht="45" x14ac:dyDescent="0.25">
      <c r="A275" s="84"/>
      <c r="B275" s="84"/>
      <c r="C275" s="84" t="str">
        <f>IF(OR(Tabella3[[#This Row],[LUN]]="X",Tabella3[[#This Row],[MAR]]="X",Tabella3[[#This Row],[MER]]="X",Tabella3[[#This Row],[GIO]]="X",Tabella3[[#This Row],[VEN]]="X",),"X","")</f>
        <v/>
      </c>
      <c r="D275" s="85" t="s">
        <v>10</v>
      </c>
      <c r="E275" s="81" t="s">
        <v>2214</v>
      </c>
      <c r="F275" s="81" t="s">
        <v>106</v>
      </c>
      <c r="G275" s="81" t="s">
        <v>2215</v>
      </c>
      <c r="H275" s="83"/>
      <c r="I275" s="83"/>
      <c r="J275" s="83"/>
      <c r="K275" s="83"/>
      <c r="L275" s="83"/>
      <c r="M275" s="81" t="s">
        <v>52</v>
      </c>
      <c r="N275" s="85"/>
      <c r="O275" s="85"/>
      <c r="P275" s="81"/>
      <c r="Q275" s="81" t="s">
        <v>2216</v>
      </c>
      <c r="R275" s="82">
        <v>45847</v>
      </c>
      <c r="S275" s="81" t="s">
        <v>2217</v>
      </c>
      <c r="T275" s="132" t="str">
        <f ca="1">IF(AND('Inserimento dati'!$B$3=$H$2, Tabella3[[#This Row],[LUN]]="X"), "X",IF(AND('Inserimento dati'!$B$3=$I$2, Tabella3[[#This Row],[MAR]]="X"), "X", IF(AND('Inserimento dati'!$B$3=$J$2, Tabella3[[#This Row],[MER]]="X"), "X",IF(AND('Inserimento dati'!$B$3=$K$2, Tabella3[[#This Row],[GIO]]="X"), "X", IF(AND('Inserimento dati'!$B$3=$L$2, Tabella3[[#This Row],[VEN]]="X"), "X","")))))</f>
        <v/>
      </c>
      <c r="U275" s="149" t="str">
        <f t="shared" ca="1" si="12"/>
        <v>10226981</v>
      </c>
    </row>
    <row r="276" spans="1:21" ht="30" x14ac:dyDescent="0.25">
      <c r="A276" s="84"/>
      <c r="B276" s="84"/>
      <c r="C276" s="84" t="str">
        <f>IF(OR(Tabella3[[#This Row],[LUN]]="X",Tabella3[[#This Row],[MAR]]="X",Tabella3[[#This Row],[MER]]="X",Tabella3[[#This Row],[GIO]]="X",Tabella3[[#This Row],[VEN]]="X",),"X","")</f>
        <v/>
      </c>
      <c r="D276" s="85" t="s">
        <v>10</v>
      </c>
      <c r="E276" s="81" t="s">
        <v>2218</v>
      </c>
      <c r="F276" s="81">
        <v>700</v>
      </c>
      <c r="G276" s="81" t="s">
        <v>2219</v>
      </c>
      <c r="H276" s="83"/>
      <c r="I276" s="83"/>
      <c r="J276" s="83"/>
      <c r="K276" s="83"/>
      <c r="L276" s="83"/>
      <c r="M276" s="81" t="s">
        <v>52</v>
      </c>
      <c r="N276" s="85"/>
      <c r="O276" s="85"/>
      <c r="P276" s="81"/>
      <c r="Q276" s="81" t="s">
        <v>2220</v>
      </c>
      <c r="R276" s="82">
        <v>45847</v>
      </c>
      <c r="S276" s="81" t="s">
        <v>9</v>
      </c>
      <c r="T276" s="132" t="str">
        <f ca="1">IF(AND('Inserimento dati'!$B$3=$H$2, Tabella3[[#This Row],[LUN]]="X"), "X",IF(AND('Inserimento dati'!$B$3=$I$2, Tabella3[[#This Row],[MAR]]="X"), "X", IF(AND('Inserimento dati'!$B$3=$J$2, Tabella3[[#This Row],[MER]]="X"), "X",IF(AND('Inserimento dati'!$B$3=$K$2, Tabella3[[#This Row],[GIO]]="X"), "X", IF(AND('Inserimento dati'!$B$3=$L$2, Tabella3[[#This Row],[VEN]]="X"), "X","")))))</f>
        <v/>
      </c>
      <c r="U276" s="149" t="str">
        <f t="shared" ca="1" si="12"/>
        <v>10226805</v>
      </c>
    </row>
    <row r="277" spans="1:21" ht="30" x14ac:dyDescent="0.25">
      <c r="A277" s="84"/>
      <c r="B277" s="84"/>
      <c r="C277" s="84" t="str">
        <f>IF(OR(Tabella3[[#This Row],[LUN]]="X",Tabella3[[#This Row],[MAR]]="X",Tabella3[[#This Row],[MER]]="X",Tabella3[[#This Row],[GIO]]="X",Tabella3[[#This Row],[VEN]]="X",),"X","")</f>
        <v/>
      </c>
      <c r="D277" s="85" t="s">
        <v>10</v>
      </c>
      <c r="E277" s="81" t="s">
        <v>2221</v>
      </c>
      <c r="F277" s="81">
        <v>700</v>
      </c>
      <c r="G277" s="81" t="s">
        <v>2222</v>
      </c>
      <c r="H277" s="83"/>
      <c r="I277" s="83"/>
      <c r="J277" s="83"/>
      <c r="K277" s="83"/>
      <c r="L277" s="83"/>
      <c r="M277" s="81" t="s">
        <v>52</v>
      </c>
      <c r="N277" s="85"/>
      <c r="O277" s="85"/>
      <c r="P277" s="81"/>
      <c r="Q277" s="81" t="s">
        <v>2220</v>
      </c>
      <c r="R277" s="82">
        <v>45847</v>
      </c>
      <c r="S277" s="81" t="s">
        <v>9</v>
      </c>
      <c r="T277" s="132" t="str">
        <f ca="1">IF(AND('Inserimento dati'!$B$3=$H$2, Tabella3[[#This Row],[LUN]]="X"), "X",IF(AND('Inserimento dati'!$B$3=$I$2, Tabella3[[#This Row],[MAR]]="X"), "X", IF(AND('Inserimento dati'!$B$3=$J$2, Tabella3[[#This Row],[MER]]="X"), "X",IF(AND('Inserimento dati'!$B$3=$K$2, Tabella3[[#This Row],[GIO]]="X"), "X", IF(AND('Inserimento dati'!$B$3=$L$2, Tabella3[[#This Row],[VEN]]="X"), "X","")))))</f>
        <v/>
      </c>
      <c r="U277" s="149" t="str">
        <f t="shared" ca="1" si="12"/>
        <v>10226806</v>
      </c>
    </row>
    <row r="278" spans="1:21" ht="30" x14ac:dyDescent="0.25">
      <c r="A278" s="84"/>
      <c r="B278" s="84">
        <v>2</v>
      </c>
      <c r="C278" s="84" t="str">
        <f>IF(OR(Tabella3[[#This Row],[LUN]]="X",Tabella3[[#This Row],[MAR]]="X",Tabella3[[#This Row],[MER]]="X",Tabella3[[#This Row],[GIO]]="X",Tabella3[[#This Row],[VEN]]="X",),"X","")</f>
        <v/>
      </c>
      <c r="D278" s="85" t="s">
        <v>10</v>
      </c>
      <c r="E278" s="81" t="s">
        <v>123</v>
      </c>
      <c r="F278" s="81" t="s">
        <v>160</v>
      </c>
      <c r="G278" s="81" t="s">
        <v>2223</v>
      </c>
      <c r="H278" s="83"/>
      <c r="I278" s="83"/>
      <c r="J278" s="83"/>
      <c r="K278" s="83"/>
      <c r="L278" s="83"/>
      <c r="M278" s="81" t="s">
        <v>52</v>
      </c>
      <c r="N278" s="85"/>
      <c r="O278" s="85"/>
      <c r="P278" s="81"/>
      <c r="Q278" s="81" t="s">
        <v>125</v>
      </c>
      <c r="R278" s="82">
        <v>45852</v>
      </c>
      <c r="S278" s="81" t="s">
        <v>38</v>
      </c>
      <c r="T278" s="150" t="str">
        <f ca="1">IF(AND('Inserimento dati'!$B$3=$H$2, Tabella3[[#This Row],[LUN]]="X"), "X",IF(AND('Inserimento dati'!$B$3=$I$2, Tabella3[[#This Row],[MAR]]="X"), "X", IF(AND('Inserimento dati'!$B$3=$J$2, Tabella3[[#This Row],[MER]]="X"), "X",IF(AND('Inserimento dati'!$B$3=$K$2, Tabella3[[#This Row],[GIO]]="X"), "X", IF(AND('Inserimento dati'!$B$3=$L$2, Tabella3[[#This Row],[VEN]]="X"), "X","")))))</f>
        <v/>
      </c>
      <c r="U278" s="154" t="str">
        <f t="shared" ca="1" si="12"/>
        <v>10222849</v>
      </c>
    </row>
    <row r="279" spans="1:21" ht="30" x14ac:dyDescent="0.25">
      <c r="A279" s="84"/>
      <c r="B279" s="84">
        <v>2</v>
      </c>
      <c r="C279" s="84" t="str">
        <f>IF(OR(Tabella3[[#This Row],[LUN]]="X",Tabella3[[#This Row],[MAR]]="X",Tabella3[[#This Row],[MER]]="X",Tabella3[[#This Row],[GIO]]="X",Tabella3[[#This Row],[VEN]]="X",),"X","")</f>
        <v/>
      </c>
      <c r="D279" s="85" t="s">
        <v>10</v>
      </c>
      <c r="E279" s="81" t="s">
        <v>122</v>
      </c>
      <c r="F279" s="81">
        <v>2200</v>
      </c>
      <c r="G279" s="81" t="s">
        <v>2224</v>
      </c>
      <c r="H279" s="83"/>
      <c r="I279" s="83"/>
      <c r="J279" s="83"/>
      <c r="K279" s="83"/>
      <c r="L279" s="83"/>
      <c r="M279" s="81" t="s">
        <v>52</v>
      </c>
      <c r="N279" s="85"/>
      <c r="O279" s="85"/>
      <c r="P279" s="81"/>
      <c r="Q279" s="81" t="s">
        <v>129</v>
      </c>
      <c r="R279" s="82">
        <v>45853</v>
      </c>
      <c r="S279" s="81" t="s">
        <v>11</v>
      </c>
      <c r="T279" s="150" t="str">
        <f ca="1">IF(AND('Inserimento dati'!$B$3=$H$2, Tabella3[[#This Row],[LUN]]="X"), "X",IF(AND('Inserimento dati'!$B$3=$I$2, Tabella3[[#This Row],[MAR]]="X"), "X", IF(AND('Inserimento dati'!$B$3=$J$2, Tabella3[[#This Row],[MER]]="X"), "X",IF(AND('Inserimento dati'!$B$3=$K$2, Tabella3[[#This Row],[GIO]]="X"), "X", IF(AND('Inserimento dati'!$B$3=$L$2, Tabella3[[#This Row],[VEN]]="X"), "X","")))))</f>
        <v/>
      </c>
      <c r="U279" s="154" t="str">
        <f t="shared" ca="1" si="12"/>
        <v>10211871</v>
      </c>
    </row>
    <row r="280" spans="1:21" ht="30" x14ac:dyDescent="0.25">
      <c r="A280" s="84"/>
      <c r="B280" s="84"/>
      <c r="C280" s="84" t="str">
        <f>IF(OR(Tabella3[[#This Row],[LUN]]="X",Tabella3[[#This Row],[MAR]]="X",Tabella3[[#This Row],[MER]]="X",Tabella3[[#This Row],[GIO]]="X",Tabella3[[#This Row],[VEN]]="X",),"X","")</f>
        <v/>
      </c>
      <c r="D280" s="85" t="s">
        <v>10</v>
      </c>
      <c r="E280" s="81" t="s">
        <v>2225</v>
      </c>
      <c r="F280" s="81">
        <v>1400</v>
      </c>
      <c r="G280" s="81" t="s">
        <v>2226</v>
      </c>
      <c r="H280" s="83"/>
      <c r="I280" s="83"/>
      <c r="J280" s="83"/>
      <c r="K280" s="83"/>
      <c r="L280" s="83"/>
      <c r="M280" s="81" t="s">
        <v>52</v>
      </c>
      <c r="N280" s="85"/>
      <c r="O280" s="85" t="s">
        <v>8</v>
      </c>
      <c r="P280" s="81"/>
      <c r="Q280" s="81" t="s">
        <v>2227</v>
      </c>
      <c r="R280" s="82">
        <v>45840</v>
      </c>
      <c r="S280" s="81" t="s">
        <v>11</v>
      </c>
      <c r="T280" s="132" t="str">
        <f ca="1">IF(AND('Inserimento dati'!$B$3=$H$2, Tabella3[[#This Row],[LUN]]="X"), "X",IF(AND('Inserimento dati'!$B$3=$I$2, Tabella3[[#This Row],[MAR]]="X"), "X", IF(AND('Inserimento dati'!$B$3=$J$2, Tabella3[[#This Row],[MER]]="X"), "X",IF(AND('Inserimento dati'!$B$3=$K$2, Tabella3[[#This Row],[GIO]]="X"), "X", IF(AND('Inserimento dati'!$B$3=$L$2, Tabella3[[#This Row],[VEN]]="X"), "X","")))))</f>
        <v/>
      </c>
      <c r="U280" s="149" t="str">
        <f t="shared" ca="1" si="12"/>
        <v>00000001</v>
      </c>
    </row>
    <row r="281" spans="1:21" ht="30" x14ac:dyDescent="0.25">
      <c r="A281" s="84"/>
      <c r="B281" s="84"/>
      <c r="C281" s="84" t="str">
        <f>IF(OR(Tabella3[[#This Row],[LUN]]="X",Tabella3[[#This Row],[MAR]]="X",Tabella3[[#This Row],[MER]]="X",Tabella3[[#This Row],[GIO]]="X",Tabella3[[#This Row],[VEN]]="X",),"X","")</f>
        <v/>
      </c>
      <c r="D281" s="85" t="s">
        <v>10</v>
      </c>
      <c r="E281" s="81" t="s">
        <v>2228</v>
      </c>
      <c r="F281" s="81">
        <v>1400</v>
      </c>
      <c r="G281" s="81" t="s">
        <v>2229</v>
      </c>
      <c r="H281" s="83"/>
      <c r="I281" s="83"/>
      <c r="J281" s="83"/>
      <c r="K281" s="83"/>
      <c r="L281" s="83"/>
      <c r="M281" s="81" t="s">
        <v>52</v>
      </c>
      <c r="N281" s="85"/>
      <c r="O281" s="85"/>
      <c r="P281" s="81"/>
      <c r="Q281" s="81" t="s">
        <v>2230</v>
      </c>
      <c r="R281" s="82">
        <v>45855</v>
      </c>
      <c r="S281" s="81" t="s">
        <v>11</v>
      </c>
      <c r="T281" s="132" t="str">
        <f ca="1">IF(AND('Inserimento dati'!$B$3=$H$2, Tabella3[[#This Row],[LUN]]="X"), "X",IF(AND('Inserimento dati'!$B$3=$I$2, Tabella3[[#This Row],[MAR]]="X"), "X", IF(AND('Inserimento dati'!$B$3=$J$2, Tabella3[[#This Row],[MER]]="X"), "X",IF(AND('Inserimento dati'!$B$3=$K$2, Tabella3[[#This Row],[GIO]]="X"), "X", IF(AND('Inserimento dati'!$B$3=$L$2, Tabella3[[#This Row],[VEN]]="X"), "X","")))))</f>
        <v/>
      </c>
      <c r="U281" s="66" t="str">
        <f t="shared" ca="1" si="12"/>
        <v/>
      </c>
    </row>
    <row r="282" spans="1:21" ht="30" x14ac:dyDescent="0.25">
      <c r="A282" s="84"/>
      <c r="B282" s="84"/>
      <c r="C282" s="84" t="str">
        <f>IF(OR(Tabella3[[#This Row],[LUN]]="X",Tabella3[[#This Row],[MAR]]="X",Tabella3[[#This Row],[MER]]="X",Tabella3[[#This Row],[GIO]]="X",Tabella3[[#This Row],[VEN]]="X",),"X","")</f>
        <v/>
      </c>
      <c r="D282" s="85" t="s">
        <v>10</v>
      </c>
      <c r="E282" s="81" t="s">
        <v>2231</v>
      </c>
      <c r="F282" s="81">
        <v>700</v>
      </c>
      <c r="G282" s="81" t="s">
        <v>2232</v>
      </c>
      <c r="H282" s="83"/>
      <c r="I282" s="83"/>
      <c r="J282" s="83"/>
      <c r="K282" s="83"/>
      <c r="L282" s="83"/>
      <c r="M282" s="81" t="s">
        <v>52</v>
      </c>
      <c r="N282" s="85"/>
      <c r="O282" s="85"/>
      <c r="P282" s="81"/>
      <c r="Q282" s="81" t="s">
        <v>1621</v>
      </c>
      <c r="R282" s="82">
        <v>45855</v>
      </c>
      <c r="S282" s="81" t="s">
        <v>20</v>
      </c>
      <c r="T282" s="132" t="str">
        <f ca="1">IF(AND('Inserimento dati'!$B$3=$H$2, Tabella3[[#This Row],[LUN]]="X"), "X",IF(AND('Inserimento dati'!$B$3=$I$2, Tabella3[[#This Row],[MAR]]="X"), "X", IF(AND('Inserimento dati'!$B$3=$J$2, Tabella3[[#This Row],[MER]]="X"), "X",IF(AND('Inserimento dati'!$B$3=$K$2, Tabella3[[#This Row],[GIO]]="X"), "X", IF(AND('Inserimento dati'!$B$3=$L$2, Tabella3[[#This Row],[VEN]]="X"), "X","")))))</f>
        <v/>
      </c>
      <c r="U282" s="66" t="str">
        <f t="shared" ca="1" si="12"/>
        <v/>
      </c>
    </row>
    <row r="283" spans="1:21" ht="45" x14ac:dyDescent="0.25">
      <c r="A283" s="84"/>
      <c r="B283" s="84"/>
      <c r="C283" s="84" t="str">
        <f>IF(OR(Tabella3[[#This Row],[LUN]]="X",Tabella3[[#This Row],[MAR]]="X",Tabella3[[#This Row],[MER]]="X",Tabella3[[#This Row],[GIO]]="X",Tabella3[[#This Row],[VEN]]="X",),"X","")</f>
        <v/>
      </c>
      <c r="D283" s="85" t="s">
        <v>10</v>
      </c>
      <c r="E283" s="81" t="s">
        <v>2233</v>
      </c>
      <c r="F283" s="81">
        <v>2400</v>
      </c>
      <c r="G283" s="81" t="s">
        <v>2234</v>
      </c>
      <c r="H283" s="83"/>
      <c r="I283" s="83"/>
      <c r="J283" s="83"/>
      <c r="K283" s="83"/>
      <c r="L283" s="83"/>
      <c r="M283" s="81" t="s">
        <v>52</v>
      </c>
      <c r="N283" s="85"/>
      <c r="O283" s="85"/>
      <c r="P283" s="81"/>
      <c r="Q283" s="81" t="s">
        <v>2235</v>
      </c>
      <c r="R283" s="82">
        <v>45859</v>
      </c>
      <c r="S283" s="81" t="s">
        <v>23</v>
      </c>
      <c r="T283" s="132" t="str">
        <f ca="1">IF(AND('Inserimento dati'!$B$3=$H$2, Tabella3[[#This Row],[LUN]]="X"), "X",IF(AND('Inserimento dati'!$B$3=$I$2, Tabella3[[#This Row],[MAR]]="X"), "X", IF(AND('Inserimento dati'!$B$3=$J$2, Tabella3[[#This Row],[MER]]="X"), "X",IF(AND('Inserimento dati'!$B$3=$K$2, Tabella3[[#This Row],[GIO]]="X"), "X", IF(AND('Inserimento dati'!$B$3=$L$2, Tabella3[[#This Row],[VEN]]="X"), "X","")))))</f>
        <v/>
      </c>
      <c r="U283" s="66" t="str">
        <f t="shared" ca="1" si="12"/>
        <v>10227611</v>
      </c>
    </row>
    <row r="284" spans="1:21" ht="45" x14ac:dyDescent="0.25">
      <c r="A284" s="84" t="s">
        <v>8</v>
      </c>
      <c r="B284" s="84"/>
      <c r="C284" s="84" t="str">
        <f>IF(OR(Tabella3[[#This Row],[LUN]]="X",Tabella3[[#This Row],[MAR]]="X",Tabella3[[#This Row],[MER]]="X",Tabella3[[#This Row],[GIO]]="X",Tabella3[[#This Row],[VEN]]="X",),"X","")</f>
        <v/>
      </c>
      <c r="D284" s="85" t="s">
        <v>10</v>
      </c>
      <c r="E284" s="81" t="s">
        <v>2236</v>
      </c>
      <c r="F284" s="81">
        <v>1200</v>
      </c>
      <c r="G284" s="81" t="s">
        <v>2237</v>
      </c>
      <c r="H284" s="83"/>
      <c r="I284" s="83"/>
      <c r="J284" s="83"/>
      <c r="K284" s="83"/>
      <c r="L284" s="83"/>
      <c r="M284" s="81" t="s">
        <v>52</v>
      </c>
      <c r="N284" s="85"/>
      <c r="O284" s="85"/>
      <c r="P284" s="81"/>
      <c r="Q284" s="81"/>
      <c r="R284" s="82"/>
      <c r="S284" s="81"/>
      <c r="T284" s="132" t="str">
        <f ca="1">IF(AND('Inserimento dati'!$B$3=$H$2, Tabella3[[#This Row],[LUN]]="X"), "X",IF(AND('Inserimento dati'!$B$3=$I$2, Tabella3[[#This Row],[MAR]]="X"), "X", IF(AND('Inserimento dati'!$B$3=$J$2, Tabella3[[#This Row],[MER]]="X"), "X",IF(AND('Inserimento dati'!$B$3=$K$2, Tabella3[[#This Row],[GIO]]="X"), "X", IF(AND('Inserimento dati'!$B$3=$L$2, Tabella3[[#This Row],[VEN]]="X"), "X","")))))</f>
        <v/>
      </c>
      <c r="U284" s="66" t="str">
        <f t="shared" ca="1" si="12"/>
        <v/>
      </c>
    </row>
    <row r="285" spans="1:21" ht="45" x14ac:dyDescent="0.25">
      <c r="A285" s="84"/>
      <c r="B285" s="84"/>
      <c r="C285" s="84" t="str">
        <f>IF(OR(Tabella3[[#This Row],[LUN]]="X",Tabella3[[#This Row],[MAR]]="X",Tabella3[[#This Row],[MER]]="X",Tabella3[[#This Row],[GIO]]="X",Tabella3[[#This Row],[VEN]]="X",),"X","")</f>
        <v/>
      </c>
      <c r="D285" s="85" t="s">
        <v>10</v>
      </c>
      <c r="E285" s="81" t="s">
        <v>2238</v>
      </c>
      <c r="F285" s="81">
        <v>1800</v>
      </c>
      <c r="G285" s="81" t="s">
        <v>2239</v>
      </c>
      <c r="H285" s="83"/>
      <c r="I285" s="83"/>
      <c r="J285" s="83"/>
      <c r="K285" s="83"/>
      <c r="L285" s="83"/>
      <c r="M285" s="81" t="s">
        <v>52</v>
      </c>
      <c r="N285" s="85"/>
      <c r="O285" s="85"/>
      <c r="P285" s="81"/>
      <c r="Q285" s="81" t="s">
        <v>2240</v>
      </c>
      <c r="R285" s="82">
        <v>45861</v>
      </c>
      <c r="S285" s="81" t="s">
        <v>23</v>
      </c>
      <c r="T285" s="132" t="str">
        <f ca="1">IF(AND('Inserimento dati'!$B$3=$H$2, Tabella3[[#This Row],[LUN]]="X"), "X",IF(AND('Inserimento dati'!$B$3=$I$2, Tabella3[[#This Row],[MAR]]="X"), "X", IF(AND('Inserimento dati'!$B$3=$J$2, Tabella3[[#This Row],[MER]]="X"), "X",IF(AND('Inserimento dati'!$B$3=$K$2, Tabella3[[#This Row],[GIO]]="X"), "X", IF(AND('Inserimento dati'!$B$3=$L$2, Tabella3[[#This Row],[VEN]]="X"), "X","")))))</f>
        <v/>
      </c>
      <c r="U285" s="66" t="str">
        <f t="shared" ca="1" si="12"/>
        <v>10227342</v>
      </c>
    </row>
    <row r="286" spans="1:21" ht="23.25" x14ac:dyDescent="0.25">
      <c r="A286" s="84"/>
      <c r="B286" s="84"/>
      <c r="C286" s="84" t="str">
        <f>IF(OR(Tabella3[[#This Row],[LUN]]="X",Tabella3[[#This Row],[MAR]]="X",Tabella3[[#This Row],[MER]]="X",Tabella3[[#This Row],[GIO]]="X",Tabella3[[#This Row],[VEN]]="X",),"X","")</f>
        <v/>
      </c>
      <c r="D286" s="85" t="s">
        <v>10</v>
      </c>
      <c r="E286" s="81" t="s">
        <v>118</v>
      </c>
      <c r="F286" s="81">
        <v>2400</v>
      </c>
      <c r="G286" s="81" t="s">
        <v>2241</v>
      </c>
      <c r="H286" s="83"/>
      <c r="I286" s="83"/>
      <c r="J286" s="83"/>
      <c r="K286" s="83"/>
      <c r="L286" s="83"/>
      <c r="M286" s="81" t="s">
        <v>52</v>
      </c>
      <c r="N286" s="85"/>
      <c r="O286" s="85"/>
      <c r="P286" s="81"/>
      <c r="Q286" s="81" t="s">
        <v>47</v>
      </c>
      <c r="R286" s="82">
        <v>45855</v>
      </c>
      <c r="S286" s="81" t="s">
        <v>23</v>
      </c>
      <c r="T286" s="132" t="str">
        <f ca="1">IF(AND('Inserimento dati'!$B$3=$H$2, Tabella3[[#This Row],[LUN]]="X"), "X",IF(AND('Inserimento dati'!$B$3=$I$2, Tabella3[[#This Row],[MAR]]="X"), "X", IF(AND('Inserimento dati'!$B$3=$J$2, Tabella3[[#This Row],[MER]]="X"), "X",IF(AND('Inserimento dati'!$B$3=$K$2, Tabella3[[#This Row],[GIO]]="X"), "X", IF(AND('Inserimento dati'!$B$3=$L$2, Tabella3[[#This Row],[VEN]]="X"), "X","")))))</f>
        <v/>
      </c>
      <c r="U286" s="149" t="str">
        <f t="shared" ca="1" si="12"/>
        <v>10226982</v>
      </c>
    </row>
    <row r="287" spans="1:21" ht="30" x14ac:dyDescent="0.25">
      <c r="A287" s="84"/>
      <c r="B287" s="84"/>
      <c r="C287" s="84" t="str">
        <f>IF(OR(Tabella3[[#This Row],[LUN]]="X",Tabella3[[#This Row],[MAR]]="X",Tabella3[[#This Row],[MER]]="X",Tabella3[[#This Row],[GIO]]="X",Tabella3[[#This Row],[VEN]]="X",),"X","")</f>
        <v/>
      </c>
      <c r="D287" s="85" t="s">
        <v>10</v>
      </c>
      <c r="E287" s="81" t="s">
        <v>2242</v>
      </c>
      <c r="F287" s="81">
        <v>1800</v>
      </c>
      <c r="G287" s="81" t="s">
        <v>2243</v>
      </c>
      <c r="H287" s="83"/>
      <c r="I287" s="83"/>
      <c r="J287" s="83"/>
      <c r="K287" s="83"/>
      <c r="L287" s="83"/>
      <c r="M287" s="81" t="s">
        <v>52</v>
      </c>
      <c r="N287" s="85"/>
      <c r="O287" s="85"/>
      <c r="P287" s="81"/>
      <c r="Q287" s="81" t="s">
        <v>2244</v>
      </c>
      <c r="R287" s="82">
        <v>45867</v>
      </c>
      <c r="S287" s="81" t="s">
        <v>2245</v>
      </c>
      <c r="T287" s="132" t="str">
        <f ca="1">IF(AND('Inserimento dati'!$B$3=$H$2, Tabella3[[#This Row],[LUN]]="X"), "X",IF(AND('Inserimento dati'!$B$3=$I$2, Tabella3[[#This Row],[MAR]]="X"), "X", IF(AND('Inserimento dati'!$B$3=$J$2, Tabella3[[#This Row],[MER]]="X"), "X",IF(AND('Inserimento dati'!$B$3=$K$2, Tabella3[[#This Row],[GIO]]="X"), "X", IF(AND('Inserimento dati'!$B$3=$L$2, Tabella3[[#This Row],[VEN]]="X"), "X","")))))</f>
        <v/>
      </c>
      <c r="U287" s="66" t="str">
        <f t="shared" ca="1" si="12"/>
        <v>10227903</v>
      </c>
    </row>
    <row r="288" spans="1:21" ht="30" x14ac:dyDescent="0.25">
      <c r="A288" s="84"/>
      <c r="B288" s="84"/>
      <c r="C288" s="84" t="str">
        <f>IF(OR(Tabella3[[#This Row],[LUN]]="X",Tabella3[[#This Row],[MAR]]="X",Tabella3[[#This Row],[MER]]="X",Tabella3[[#This Row],[GIO]]="X",Tabella3[[#This Row],[VEN]]="X",),"X","")</f>
        <v/>
      </c>
      <c r="D288" s="85" t="s">
        <v>10</v>
      </c>
      <c r="E288" s="81" t="s">
        <v>2246</v>
      </c>
      <c r="F288" s="81">
        <v>1800</v>
      </c>
      <c r="G288" s="81" t="s">
        <v>2247</v>
      </c>
      <c r="H288" s="83"/>
      <c r="I288" s="83"/>
      <c r="J288" s="83"/>
      <c r="K288" s="83"/>
      <c r="L288" s="83"/>
      <c r="M288" s="81" t="s">
        <v>52</v>
      </c>
      <c r="N288" s="85"/>
      <c r="O288" s="85"/>
      <c r="P288" s="81"/>
      <c r="Q288" s="81" t="s">
        <v>2248</v>
      </c>
      <c r="R288" s="82">
        <v>45868</v>
      </c>
      <c r="S288" s="81" t="s">
        <v>23</v>
      </c>
      <c r="T288" s="132" t="str">
        <f ca="1">IF(AND('Inserimento dati'!$B$3=$H$2, Tabella3[[#This Row],[LUN]]="X"), "X",IF(AND('Inserimento dati'!$B$3=$I$2, Tabella3[[#This Row],[MAR]]="X"), "X", IF(AND('Inserimento dati'!$B$3=$J$2, Tabella3[[#This Row],[MER]]="X"), "X",IF(AND('Inserimento dati'!$B$3=$K$2, Tabella3[[#This Row],[GIO]]="X"), "X", IF(AND('Inserimento dati'!$B$3=$L$2, Tabella3[[#This Row],[VEN]]="X"), "X","")))))</f>
        <v/>
      </c>
      <c r="U288" s="66" t="str">
        <f t="shared" ca="1" si="12"/>
        <v>18000155</v>
      </c>
    </row>
    <row r="289" spans="1:21" ht="45" x14ac:dyDescent="0.25">
      <c r="A289" s="84"/>
      <c r="B289" s="84"/>
      <c r="C289" s="84" t="str">
        <f>IF(OR(Tabella3[[#This Row],[LUN]]="X",Tabella3[[#This Row],[MAR]]="X",Tabella3[[#This Row],[MER]]="X",Tabella3[[#This Row],[GIO]]="X",Tabella3[[#This Row],[VEN]]="X",),"X","")</f>
        <v/>
      </c>
      <c r="D289" s="85" t="s">
        <v>10</v>
      </c>
      <c r="E289" s="81" t="s">
        <v>132</v>
      </c>
      <c r="F289" s="81" t="s">
        <v>106</v>
      </c>
      <c r="G289" s="81" t="s">
        <v>133</v>
      </c>
      <c r="H289" s="83"/>
      <c r="I289" s="83"/>
      <c r="J289" s="83"/>
      <c r="K289" s="83"/>
      <c r="L289" s="83"/>
      <c r="M289" s="81" t="s">
        <v>52</v>
      </c>
      <c r="N289" s="85"/>
      <c r="O289" s="85"/>
      <c r="P289" s="81"/>
      <c r="Q289" s="81" t="s">
        <v>2249</v>
      </c>
      <c r="R289" s="82">
        <v>45868</v>
      </c>
      <c r="S289" s="81" t="s">
        <v>23</v>
      </c>
      <c r="T289" s="132" t="str">
        <f ca="1">IF(AND('Inserimento dati'!$B$3=$H$2, Tabella3[[#This Row],[LUN]]="X"), "X",IF(AND('Inserimento dati'!$B$3=$I$2, Tabella3[[#This Row],[MAR]]="X"), "X", IF(AND('Inserimento dati'!$B$3=$J$2, Tabella3[[#This Row],[MER]]="X"), "X",IF(AND('Inserimento dati'!$B$3=$K$2, Tabella3[[#This Row],[GIO]]="X"), "X", IF(AND('Inserimento dati'!$B$3=$L$2, Tabella3[[#This Row],[VEN]]="X"), "X","")))))</f>
        <v/>
      </c>
      <c r="U289" s="66" t="str">
        <f t="shared" ca="1" si="12"/>
        <v>10227999</v>
      </c>
    </row>
    <row r="290" spans="1:21" ht="30" x14ac:dyDescent="0.25">
      <c r="A290" s="84"/>
      <c r="B290" s="84"/>
      <c r="C290" s="84" t="str">
        <f>IF(OR(Tabella3[[#This Row],[LUN]]="X",Tabella3[[#This Row],[MAR]]="X",Tabella3[[#This Row],[MER]]="X",Tabella3[[#This Row],[GIO]]="X",Tabella3[[#This Row],[VEN]]="X",),"X","")</f>
        <v/>
      </c>
      <c r="D290" s="85" t="s">
        <v>10</v>
      </c>
      <c r="E290" s="81" t="s">
        <v>126</v>
      </c>
      <c r="F290" s="81">
        <v>1100</v>
      </c>
      <c r="G290" s="81" t="s">
        <v>2250</v>
      </c>
      <c r="H290" s="83"/>
      <c r="I290" s="83"/>
      <c r="J290" s="83"/>
      <c r="K290" s="83"/>
      <c r="L290" s="83"/>
      <c r="M290" s="81" t="s">
        <v>52</v>
      </c>
      <c r="N290" s="85"/>
      <c r="O290" s="85"/>
      <c r="P290" s="81"/>
      <c r="Q290" s="81" t="s">
        <v>138</v>
      </c>
      <c r="R290" s="82"/>
      <c r="S290" s="81"/>
      <c r="T290" s="132" t="str">
        <f ca="1">IF(AND('Inserimento dati'!$B$3=$H$2, Tabella3[[#This Row],[LUN]]="X"), "X",IF(AND('Inserimento dati'!$B$3=$I$2, Tabella3[[#This Row],[MAR]]="X"), "X", IF(AND('Inserimento dati'!$B$3=$J$2, Tabella3[[#This Row],[MER]]="X"), "X",IF(AND('Inserimento dati'!$B$3=$K$2, Tabella3[[#This Row],[GIO]]="X"), "X", IF(AND('Inserimento dati'!$B$3=$L$2, Tabella3[[#This Row],[VEN]]="X"), "X","")))))</f>
        <v/>
      </c>
      <c r="U290" s="145" t="str">
        <f t="shared" ca="1" si="12"/>
        <v>10227311</v>
      </c>
    </row>
    <row r="291" spans="1:21" ht="23.25" x14ac:dyDescent="0.25">
      <c r="A291" s="84"/>
      <c r="B291" s="84"/>
      <c r="C291" s="84" t="str">
        <f>IF(OR(Tabella3[[#This Row],[LUN]]="X",Tabella3[[#This Row],[MAR]]="X",Tabella3[[#This Row],[MER]]="X",Tabella3[[#This Row],[GIO]]="X",Tabella3[[#This Row],[VEN]]="X",),"X","")</f>
        <v/>
      </c>
      <c r="D291" s="85" t="s">
        <v>10</v>
      </c>
      <c r="E291" s="81" t="s">
        <v>130</v>
      </c>
      <c r="F291" s="81">
        <v>700</v>
      </c>
      <c r="G291" s="81" t="s">
        <v>131</v>
      </c>
      <c r="H291" s="83"/>
      <c r="I291" s="83"/>
      <c r="J291" s="83"/>
      <c r="K291" s="83"/>
      <c r="L291" s="83"/>
      <c r="M291" s="81" t="s">
        <v>52</v>
      </c>
      <c r="N291" s="85"/>
      <c r="O291" s="85"/>
      <c r="P291" s="81"/>
      <c r="Q291" s="81" t="s">
        <v>139</v>
      </c>
      <c r="R291" s="82"/>
      <c r="S291" s="81"/>
      <c r="T291" s="132" t="str">
        <f ca="1">IF(AND('Inserimento dati'!$B$3=$H$2, Tabella3[[#This Row],[LUN]]="X"), "X",IF(AND('Inserimento dati'!$B$3=$I$2, Tabella3[[#This Row],[MAR]]="X"), "X", IF(AND('Inserimento dati'!$B$3=$J$2, Tabella3[[#This Row],[MER]]="X"), "X",IF(AND('Inserimento dati'!$B$3=$K$2, Tabella3[[#This Row],[GIO]]="X"), "X", IF(AND('Inserimento dati'!$B$3=$L$2, Tabella3[[#This Row],[VEN]]="X"), "X","")))))</f>
        <v/>
      </c>
      <c r="U291" s="66" t="str">
        <f t="shared" ca="1" si="12"/>
        <v>10227790</v>
      </c>
    </row>
    <row r="292" spans="1:21" ht="30" x14ac:dyDescent="0.25">
      <c r="A292" s="84"/>
      <c r="B292" s="84"/>
      <c r="C292" s="84" t="str">
        <f>IF(OR(Tabella3[[#This Row],[LUN]]="X",Tabella3[[#This Row],[MAR]]="X",Tabella3[[#This Row],[MER]]="X",Tabella3[[#This Row],[GIO]]="X",Tabella3[[#This Row],[VEN]]="X",),"X","")</f>
        <v/>
      </c>
      <c r="D292" s="85" t="s">
        <v>10</v>
      </c>
      <c r="E292" s="81" t="s">
        <v>2251</v>
      </c>
      <c r="F292" s="81">
        <v>700</v>
      </c>
      <c r="G292" s="81" t="s">
        <v>2252</v>
      </c>
      <c r="H292" s="83"/>
      <c r="I292" s="83"/>
      <c r="J292" s="83"/>
      <c r="K292" s="83"/>
      <c r="L292" s="83"/>
      <c r="M292" s="81" t="s">
        <v>52</v>
      </c>
      <c r="N292" s="85"/>
      <c r="O292" s="85"/>
      <c r="P292" s="81"/>
      <c r="Q292" s="81" t="s">
        <v>2253</v>
      </c>
      <c r="R292" s="82">
        <v>45754</v>
      </c>
      <c r="S292" s="81" t="s">
        <v>238</v>
      </c>
      <c r="T292" s="132" t="str">
        <f ca="1">IF(AND('Inserimento dati'!$B$3=$H$2, Tabella3[[#This Row],[LUN]]="X"), "X",IF(AND('Inserimento dati'!$B$3=$I$2, Tabella3[[#This Row],[MAR]]="X"), "X", IF(AND('Inserimento dati'!$B$3=$J$2, Tabella3[[#This Row],[MER]]="X"), "X",IF(AND('Inserimento dati'!$B$3=$K$2, Tabella3[[#This Row],[GIO]]="X"), "X", IF(AND('Inserimento dati'!$B$3=$L$2, Tabella3[[#This Row],[VEN]]="X"), "X","")))))</f>
        <v/>
      </c>
      <c r="U292" s="149" t="str">
        <f t="shared" ca="1" si="12"/>
        <v>10226908</v>
      </c>
    </row>
    <row r="293" spans="1:21" ht="23.25" x14ac:dyDescent="0.25">
      <c r="A293" s="84"/>
      <c r="B293" s="84"/>
      <c r="C293" s="84" t="str">
        <f>IF(OR(Tabella3[[#This Row],[LUN]]="X",Tabella3[[#This Row],[MAR]]="X",Tabella3[[#This Row],[MER]]="X",Tabella3[[#This Row],[GIO]]="X",Tabella3[[#This Row],[VEN]]="X",),"X","")</f>
        <v/>
      </c>
      <c r="D293" s="85" t="s">
        <v>10</v>
      </c>
      <c r="E293" s="81" t="s">
        <v>2254</v>
      </c>
      <c r="F293" s="81">
        <v>800</v>
      </c>
      <c r="G293" s="81" t="s">
        <v>2255</v>
      </c>
      <c r="H293" s="83"/>
      <c r="I293" s="83"/>
      <c r="J293" s="83"/>
      <c r="K293" s="83"/>
      <c r="L293" s="83"/>
      <c r="M293" s="81" t="s">
        <v>52</v>
      </c>
      <c r="N293" s="85"/>
      <c r="O293" s="85"/>
      <c r="P293" s="81"/>
      <c r="Q293" s="81" t="s">
        <v>427</v>
      </c>
      <c r="R293" s="82">
        <v>45833</v>
      </c>
      <c r="S293" s="81" t="s">
        <v>238</v>
      </c>
      <c r="T293" s="132" t="str">
        <f ca="1">IF(AND('Inserimento dati'!$B$3=$H$2, Tabella3[[#This Row],[LUN]]="X"), "X",IF(AND('Inserimento dati'!$B$3=$I$2, Tabella3[[#This Row],[MAR]]="X"), "X", IF(AND('Inserimento dati'!$B$3=$J$2, Tabella3[[#This Row],[MER]]="X"), "X",IF(AND('Inserimento dati'!$B$3=$K$2, Tabella3[[#This Row],[GIO]]="X"), "X", IF(AND('Inserimento dati'!$B$3=$L$2, Tabella3[[#This Row],[VEN]]="X"), "X","")))))</f>
        <v/>
      </c>
      <c r="U293" s="149" t="str">
        <f t="shared" ca="1" si="12"/>
        <v/>
      </c>
    </row>
    <row r="294" spans="1:21" ht="30" x14ac:dyDescent="0.25">
      <c r="A294" s="84"/>
      <c r="B294" s="84"/>
      <c r="C294" s="84" t="str">
        <f>IF(OR(Tabella3[[#This Row],[LUN]]="X",Tabella3[[#This Row],[MAR]]="X",Tabella3[[#This Row],[MER]]="X",Tabella3[[#This Row],[GIO]]="X",Tabella3[[#This Row],[VEN]]="X",),"X","")</f>
        <v/>
      </c>
      <c r="D294" s="85" t="s">
        <v>10</v>
      </c>
      <c r="E294" s="81" t="s">
        <v>2256</v>
      </c>
      <c r="F294" s="81" t="s">
        <v>106</v>
      </c>
      <c r="G294" s="81" t="s">
        <v>2257</v>
      </c>
      <c r="H294" s="83"/>
      <c r="I294" s="83"/>
      <c r="J294" s="83"/>
      <c r="K294" s="83"/>
      <c r="L294" s="83"/>
      <c r="M294" s="81" t="s">
        <v>52</v>
      </c>
      <c r="N294" s="85"/>
      <c r="O294" s="85"/>
      <c r="P294" s="81"/>
      <c r="Q294" s="81" t="s">
        <v>2258</v>
      </c>
      <c r="R294" s="82">
        <v>45881</v>
      </c>
      <c r="S294" s="81" t="s">
        <v>20</v>
      </c>
      <c r="T294" s="132" t="str">
        <f ca="1">IF(AND('Inserimento dati'!$B$3=$H$2, Tabella3[[#This Row],[LUN]]="X"), "X",IF(AND('Inserimento dati'!$B$3=$I$2, Tabella3[[#This Row],[MAR]]="X"), "X", IF(AND('Inserimento dati'!$B$3=$J$2, Tabella3[[#This Row],[MER]]="X"), "X",IF(AND('Inserimento dati'!$B$3=$K$2, Tabella3[[#This Row],[GIO]]="X"), "X", IF(AND('Inserimento dati'!$B$3=$L$2, Tabella3[[#This Row],[VEN]]="X"), "X","")))))</f>
        <v/>
      </c>
      <c r="U294" s="66" t="str">
        <f t="shared" ca="1" si="12"/>
        <v>10228612</v>
      </c>
    </row>
    <row r="295" spans="1:21" ht="30" x14ac:dyDescent="0.25">
      <c r="A295" s="84"/>
      <c r="B295" s="84"/>
      <c r="C295" s="84" t="str">
        <f>IF(OR(Tabella3[[#This Row],[LUN]]="X",Tabella3[[#This Row],[MAR]]="X",Tabella3[[#This Row],[MER]]="X",Tabella3[[#This Row],[GIO]]="X",Tabella3[[#This Row],[VEN]]="X",),"X","")</f>
        <v/>
      </c>
      <c r="D295" s="85" t="s">
        <v>10</v>
      </c>
      <c r="E295" s="81" t="s">
        <v>2259</v>
      </c>
      <c r="F295" s="81">
        <v>1400</v>
      </c>
      <c r="G295" s="81" t="s">
        <v>2260</v>
      </c>
      <c r="H295" s="83"/>
      <c r="I295" s="83"/>
      <c r="J295" s="83"/>
      <c r="K295" s="83"/>
      <c r="L295" s="83"/>
      <c r="M295" s="81" t="s">
        <v>52</v>
      </c>
      <c r="N295" s="85"/>
      <c r="O295" s="85"/>
      <c r="P295" s="81"/>
      <c r="Q295" s="81" t="s">
        <v>2261</v>
      </c>
      <c r="R295" s="82">
        <v>45882</v>
      </c>
      <c r="S295" s="81" t="s">
        <v>23</v>
      </c>
      <c r="T295" s="132" t="str">
        <f ca="1">IF(AND('Inserimento dati'!$B$3=$H$2, Tabella3[[#This Row],[LUN]]="X"), "X",IF(AND('Inserimento dati'!$B$3=$I$2, Tabella3[[#This Row],[MAR]]="X"), "X", IF(AND('Inserimento dati'!$B$3=$J$2, Tabella3[[#This Row],[MER]]="X"), "X",IF(AND('Inserimento dati'!$B$3=$K$2, Tabella3[[#This Row],[GIO]]="X"), "X", IF(AND('Inserimento dati'!$B$3=$L$2, Tabella3[[#This Row],[VEN]]="X"), "X","")))))</f>
        <v/>
      </c>
      <c r="U295" s="66" t="str">
        <f t="shared" ca="1" si="12"/>
        <v>10228613</v>
      </c>
    </row>
    <row r="296" spans="1:21" ht="23.25" x14ac:dyDescent="0.25">
      <c r="A296" s="84"/>
      <c r="B296" s="84"/>
      <c r="C296" s="84" t="str">
        <f>IF(OR(Tabella3[[#This Row],[LUN]]="X",Tabella3[[#This Row],[MAR]]="X",Tabella3[[#This Row],[MER]]="X",Tabella3[[#This Row],[GIO]]="X",Tabella3[[#This Row],[VEN]]="X",),"X","")</f>
        <v/>
      </c>
      <c r="D296" s="85" t="s">
        <v>10</v>
      </c>
      <c r="E296" s="81" t="s">
        <v>2262</v>
      </c>
      <c r="F296" s="81">
        <v>1200</v>
      </c>
      <c r="G296" s="81" t="s">
        <v>2263</v>
      </c>
      <c r="H296" s="83"/>
      <c r="I296" s="83"/>
      <c r="J296" s="83"/>
      <c r="K296" s="83"/>
      <c r="L296" s="83"/>
      <c r="M296" s="81" t="s">
        <v>52</v>
      </c>
      <c r="N296" s="85"/>
      <c r="O296" s="85"/>
      <c r="P296" s="81"/>
      <c r="Q296" s="81" t="s">
        <v>2264</v>
      </c>
      <c r="R296" s="82">
        <v>45882</v>
      </c>
      <c r="S296" s="81" t="s">
        <v>1600</v>
      </c>
      <c r="T296" s="132" t="str">
        <f ca="1">IF(AND('Inserimento dati'!$B$3=$H$2, Tabella3[[#This Row],[LUN]]="X"), "X",IF(AND('Inserimento dati'!$B$3=$I$2, Tabella3[[#This Row],[MAR]]="X"), "X", IF(AND('Inserimento dati'!$B$3=$J$2, Tabella3[[#This Row],[MER]]="X"), "X",IF(AND('Inserimento dati'!$B$3=$K$2, Tabella3[[#This Row],[GIO]]="X"), "X", IF(AND('Inserimento dati'!$B$3=$L$2, Tabella3[[#This Row],[VEN]]="X"), "X","")))))</f>
        <v/>
      </c>
      <c r="U296" s="66" t="str">
        <f t="shared" ca="1" si="12"/>
        <v/>
      </c>
    </row>
    <row r="297" spans="1:21" ht="23.25" x14ac:dyDescent="0.25">
      <c r="A297" s="84"/>
      <c r="B297" s="84"/>
      <c r="C297" s="84" t="str">
        <f>IF(OR(Tabella3[[#This Row],[LUN]]="X",Tabella3[[#This Row],[MAR]]="X",Tabella3[[#This Row],[MER]]="X",Tabella3[[#This Row],[GIO]]="X",Tabella3[[#This Row],[VEN]]="X",),"X","")</f>
        <v/>
      </c>
      <c r="D297" s="85" t="s">
        <v>10</v>
      </c>
      <c r="E297" s="81" t="s">
        <v>2265</v>
      </c>
      <c r="F297" s="81">
        <v>700</v>
      </c>
      <c r="G297" s="81" t="s">
        <v>2266</v>
      </c>
      <c r="H297" s="83"/>
      <c r="I297" s="83"/>
      <c r="J297" s="83"/>
      <c r="K297" s="83"/>
      <c r="L297" s="83"/>
      <c r="M297" s="81" t="s">
        <v>52</v>
      </c>
      <c r="N297" s="85"/>
      <c r="O297" s="85"/>
      <c r="P297" s="81"/>
      <c r="Q297" s="81"/>
      <c r="R297" s="82">
        <v>45891</v>
      </c>
      <c r="S297" s="81" t="s">
        <v>535</v>
      </c>
      <c r="T297" s="132" t="str">
        <f ca="1">IF(AND('Inserimento dati'!$B$3=$H$2, Tabella3[[#This Row],[LUN]]="X"), "X",IF(AND('Inserimento dati'!$B$3=$I$2, Tabella3[[#This Row],[MAR]]="X"), "X", IF(AND('Inserimento dati'!$B$3=$J$2, Tabella3[[#This Row],[MER]]="X"), "X",IF(AND('Inserimento dati'!$B$3=$K$2, Tabella3[[#This Row],[GIO]]="X"), "X", IF(AND('Inserimento dati'!$B$3=$L$2, Tabella3[[#This Row],[VEN]]="X"), "X","")))))</f>
        <v/>
      </c>
      <c r="U297" s="66" t="str">
        <f t="shared" ca="1" si="12"/>
        <v/>
      </c>
    </row>
    <row r="298" spans="1:21" ht="23.25" x14ac:dyDescent="0.25">
      <c r="A298" s="84"/>
      <c r="B298" s="84"/>
      <c r="C298" s="84" t="str">
        <f>IF(OR(Tabella3[[#This Row],[LUN]]="X",Tabella3[[#This Row],[MAR]]="X",Tabella3[[#This Row],[MER]]="X",Tabella3[[#This Row],[GIO]]="X",Tabella3[[#This Row],[VEN]]="X",),"X","")</f>
        <v/>
      </c>
      <c r="D298" s="85" t="s">
        <v>10</v>
      </c>
      <c r="E298" s="81" t="s">
        <v>2267</v>
      </c>
      <c r="F298" s="81">
        <v>1800</v>
      </c>
      <c r="G298" s="81" t="s">
        <v>2268</v>
      </c>
      <c r="H298" s="83"/>
      <c r="I298" s="83"/>
      <c r="J298" s="83"/>
      <c r="K298" s="83"/>
      <c r="L298" s="83"/>
      <c r="M298" s="81" t="s">
        <v>52</v>
      </c>
      <c r="N298" s="85"/>
      <c r="O298" s="85"/>
      <c r="P298" s="81"/>
      <c r="Q298" s="81"/>
      <c r="R298" s="82">
        <v>45891</v>
      </c>
      <c r="S298" s="81" t="s">
        <v>674</v>
      </c>
      <c r="T298" s="132" t="str">
        <f ca="1">IF(AND('Inserimento dati'!$B$3=$H$2, Tabella3[[#This Row],[LUN]]="X"), "X",IF(AND('Inserimento dati'!$B$3=$I$2, Tabella3[[#This Row],[MAR]]="X"), "X", IF(AND('Inserimento dati'!$B$3=$J$2, Tabella3[[#This Row],[MER]]="X"), "X",IF(AND('Inserimento dati'!$B$3=$K$2, Tabella3[[#This Row],[GIO]]="X"), "X", IF(AND('Inserimento dati'!$B$3=$L$2, Tabella3[[#This Row],[VEN]]="X"), "X","")))))</f>
        <v/>
      </c>
      <c r="U298" s="66" t="str">
        <f t="shared" ca="1" si="12"/>
        <v/>
      </c>
    </row>
    <row r="299" spans="1:21" ht="23.25" x14ac:dyDescent="0.25">
      <c r="A299" s="84"/>
      <c r="B299" s="84"/>
      <c r="C299" s="84" t="str">
        <f>IF(OR(Tabella3[[#This Row],[LUN]]="X",Tabella3[[#This Row],[MAR]]="X",Tabella3[[#This Row],[MER]]="X",Tabella3[[#This Row],[GIO]]="X",Tabella3[[#This Row],[VEN]]="X",),"X","")</f>
        <v/>
      </c>
      <c r="D299" s="85" t="s">
        <v>10</v>
      </c>
      <c r="E299" s="156" t="s">
        <v>2269</v>
      </c>
      <c r="F299" s="81">
        <v>1400</v>
      </c>
      <c r="G299" s="81" t="s">
        <v>2270</v>
      </c>
      <c r="H299" s="83"/>
      <c r="I299" s="83"/>
      <c r="J299" s="83"/>
      <c r="K299" s="83"/>
      <c r="L299" s="83"/>
      <c r="M299" s="81" t="s">
        <v>52</v>
      </c>
      <c r="N299" s="85"/>
      <c r="O299" s="85"/>
      <c r="P299" s="81"/>
      <c r="Q299" s="81"/>
      <c r="R299" s="82"/>
      <c r="S299" s="81"/>
      <c r="T299" s="132" t="str">
        <f ca="1">IF(AND('Inserimento dati'!$B$3=$H$2, Tabella3[[#This Row],[LUN]]="X"), "X",IF(AND('Inserimento dati'!$B$3=$I$2, Tabella3[[#This Row],[MAR]]="X"), "X", IF(AND('Inserimento dati'!$B$3=$J$2, Tabella3[[#This Row],[MER]]="X"), "X",IF(AND('Inserimento dati'!$B$3=$K$2, Tabella3[[#This Row],[GIO]]="X"), "X", IF(AND('Inserimento dati'!$B$3=$L$2, Tabella3[[#This Row],[VEN]]="X"), "X","")))))</f>
        <v/>
      </c>
      <c r="U299" s="66" t="str">
        <f t="shared" ca="1" si="12"/>
        <v/>
      </c>
    </row>
    <row r="300" spans="1:21" ht="23.25" x14ac:dyDescent="0.25">
      <c r="A300" s="84"/>
      <c r="B300" s="84"/>
      <c r="C300" s="84" t="str">
        <f>IF(OR(Tabella3[[#This Row],[LUN]]="X",Tabella3[[#This Row],[MAR]]="X",Tabella3[[#This Row],[MER]]="X",Tabella3[[#This Row],[GIO]]="X",Tabella3[[#This Row],[VEN]]="X",),"X","")</f>
        <v/>
      </c>
      <c r="D300" s="85" t="s">
        <v>10</v>
      </c>
      <c r="E300" s="81" t="s">
        <v>2271</v>
      </c>
      <c r="F300" s="81">
        <v>800</v>
      </c>
      <c r="G300" s="81" t="s">
        <v>2272</v>
      </c>
      <c r="H300" s="83"/>
      <c r="I300" s="83"/>
      <c r="J300" s="83"/>
      <c r="K300" s="83"/>
      <c r="L300" s="83"/>
      <c r="M300" s="81" t="s">
        <v>52</v>
      </c>
      <c r="N300" s="85"/>
      <c r="O300" s="85"/>
      <c r="P300" s="81"/>
      <c r="Q300" s="81"/>
      <c r="R300" s="82">
        <v>45896</v>
      </c>
      <c r="S300" s="81" t="s">
        <v>674</v>
      </c>
      <c r="T300" s="132" t="str">
        <f ca="1">IF(AND('Inserimento dati'!$B$3=$H$2, Tabella3[[#This Row],[LUN]]="X"), "X",IF(AND('Inserimento dati'!$B$3=$I$2, Tabella3[[#This Row],[MAR]]="X"), "X", IF(AND('Inserimento dati'!$B$3=$J$2, Tabella3[[#This Row],[MER]]="X"), "X",IF(AND('Inserimento dati'!$B$3=$K$2, Tabella3[[#This Row],[GIO]]="X"), "X", IF(AND('Inserimento dati'!$B$3=$L$2, Tabella3[[#This Row],[VEN]]="X"), "X","")))))</f>
        <v/>
      </c>
      <c r="U300" s="66" t="str">
        <f t="shared" ca="1" si="12"/>
        <v/>
      </c>
    </row>
    <row r="301" spans="1:21" ht="23.25" x14ac:dyDescent="0.25">
      <c r="A301" s="84"/>
      <c r="B301" s="84"/>
      <c r="C301" s="84" t="str">
        <f>IF(OR(Tabella3[[#This Row],[LUN]]="X",Tabella3[[#This Row],[MAR]]="X",Tabella3[[#This Row],[MER]]="X",Tabella3[[#This Row],[GIO]]="X",Tabella3[[#This Row],[VEN]]="X",),"X","")</f>
        <v/>
      </c>
      <c r="D301" s="85" t="s">
        <v>10</v>
      </c>
      <c r="E301" s="81" t="s">
        <v>2273</v>
      </c>
      <c r="F301" s="81">
        <v>700</v>
      </c>
      <c r="G301" s="81" t="s">
        <v>2274</v>
      </c>
      <c r="H301" s="83"/>
      <c r="I301" s="83"/>
      <c r="J301" s="83"/>
      <c r="K301" s="83"/>
      <c r="L301" s="83"/>
      <c r="M301" s="81" t="s">
        <v>52</v>
      </c>
      <c r="N301" s="85"/>
      <c r="O301" s="85"/>
      <c r="P301" s="81"/>
      <c r="Q301" s="81"/>
      <c r="R301" s="82"/>
      <c r="S301" s="81"/>
      <c r="T301" s="132" t="str">
        <f ca="1">IF(AND('Inserimento dati'!$B$3=$H$2, Tabella3[[#This Row],[LUN]]="X"), "X",IF(AND('Inserimento dati'!$B$3=$I$2, Tabella3[[#This Row],[MAR]]="X"), "X", IF(AND('Inserimento dati'!$B$3=$J$2, Tabella3[[#This Row],[MER]]="X"), "X",IF(AND('Inserimento dati'!$B$3=$K$2, Tabella3[[#This Row],[GIO]]="X"), "X", IF(AND('Inserimento dati'!$B$3=$L$2, Tabella3[[#This Row],[VEN]]="X"), "X","")))))</f>
        <v/>
      </c>
      <c r="U301" s="66" t="str">
        <f t="shared" ca="1" si="12"/>
        <v>10229700</v>
      </c>
    </row>
    <row r="302" spans="1:21" ht="23.25" x14ac:dyDescent="0.25">
      <c r="A302" s="84"/>
      <c r="B302" s="84"/>
      <c r="C302" s="84" t="str">
        <f>IF(OR(Tabella3[[#This Row],[LUN]]="X",Tabella3[[#This Row],[MAR]]="X",Tabella3[[#This Row],[MER]]="X",Tabella3[[#This Row],[GIO]]="X",Tabella3[[#This Row],[VEN]]="X",),"X","")</f>
        <v/>
      </c>
      <c r="D302" s="85" t="s">
        <v>10</v>
      </c>
      <c r="E302" s="81" t="s">
        <v>2275</v>
      </c>
      <c r="F302" s="81">
        <v>1200</v>
      </c>
      <c r="G302" s="81" t="s">
        <v>2276</v>
      </c>
      <c r="H302" s="83"/>
      <c r="I302" s="83"/>
      <c r="J302" s="83"/>
      <c r="K302" s="83"/>
      <c r="L302" s="83"/>
      <c r="M302" s="81" t="s">
        <v>52</v>
      </c>
      <c r="N302" s="85"/>
      <c r="O302" s="85"/>
      <c r="P302" s="81"/>
      <c r="Q302" s="81"/>
      <c r="R302" s="82">
        <v>45903</v>
      </c>
      <c r="S302" s="81" t="s">
        <v>238</v>
      </c>
      <c r="T302" s="132" t="str">
        <f ca="1">IF(AND('Inserimento dati'!$B$3=$H$2, Tabella3[[#This Row],[LUN]]="X"), "X",IF(AND('Inserimento dati'!$B$3=$I$2, Tabella3[[#This Row],[MAR]]="X"), "X", IF(AND('Inserimento dati'!$B$3=$J$2, Tabella3[[#This Row],[MER]]="X"), "X",IF(AND('Inserimento dati'!$B$3=$K$2, Tabella3[[#This Row],[GIO]]="X"), "X", IF(AND('Inserimento dati'!$B$3=$L$2, Tabella3[[#This Row],[VEN]]="X"), "X","")))))</f>
        <v/>
      </c>
      <c r="U302" s="66" t="str">
        <f t="shared" ca="1" si="12"/>
        <v>10229300</v>
      </c>
    </row>
    <row r="303" spans="1:21" ht="23.25" x14ac:dyDescent="0.25">
      <c r="A303" s="84"/>
      <c r="B303" s="84"/>
      <c r="C303" s="84" t="str">
        <f>IF(OR(Tabella3[[#This Row],[LUN]]="X",Tabella3[[#This Row],[MAR]]="X",Tabella3[[#This Row],[MER]]="X",Tabella3[[#This Row],[GIO]]="X",Tabella3[[#This Row],[VEN]]="X",),"X","")</f>
        <v/>
      </c>
      <c r="D303" s="85" t="s">
        <v>10</v>
      </c>
      <c r="E303" s="81" t="s">
        <v>2277</v>
      </c>
      <c r="F303" s="81">
        <v>1200</v>
      </c>
      <c r="G303" s="81" t="s">
        <v>2278</v>
      </c>
      <c r="H303" s="83"/>
      <c r="I303" s="83"/>
      <c r="J303" s="83"/>
      <c r="K303" s="83"/>
      <c r="L303" s="83"/>
      <c r="M303" s="81" t="s">
        <v>52</v>
      </c>
      <c r="N303" s="85"/>
      <c r="O303" s="85"/>
      <c r="P303" s="81"/>
      <c r="Q303" s="81"/>
      <c r="R303" s="82">
        <v>45903</v>
      </c>
      <c r="S303" s="81" t="s">
        <v>238</v>
      </c>
      <c r="T303" s="132" t="str">
        <f ca="1">IF(AND('Inserimento dati'!$B$3=$H$2, Tabella3[[#This Row],[LUN]]="X"), "X",IF(AND('Inserimento dati'!$B$3=$I$2, Tabella3[[#This Row],[MAR]]="X"), "X", IF(AND('Inserimento dati'!$B$3=$J$2, Tabella3[[#This Row],[MER]]="X"), "X",IF(AND('Inserimento dati'!$B$3=$K$2, Tabella3[[#This Row],[GIO]]="X"), "X", IF(AND('Inserimento dati'!$B$3=$L$2, Tabella3[[#This Row],[VEN]]="X"), "X","")))))</f>
        <v/>
      </c>
      <c r="U303" s="66" t="str">
        <f t="shared" ca="1" si="12"/>
        <v>10229301</v>
      </c>
    </row>
    <row r="304" spans="1:21" ht="23.25" x14ac:dyDescent="0.25">
      <c r="A304" s="84"/>
      <c r="B304" s="84"/>
      <c r="C304" s="84" t="str">
        <f>IF(OR(Tabella3[[#This Row],[LUN]]="X",Tabella3[[#This Row],[MAR]]="X",Tabella3[[#This Row],[MER]]="X",Tabella3[[#This Row],[GIO]]="X",Tabella3[[#This Row],[VEN]]="X",),"X","")</f>
        <v/>
      </c>
      <c r="D304" s="85" t="s">
        <v>10</v>
      </c>
      <c r="E304" s="81" t="s">
        <v>2279</v>
      </c>
      <c r="F304" s="81">
        <v>1100</v>
      </c>
      <c r="G304" s="81" t="s">
        <v>2280</v>
      </c>
      <c r="H304" s="83"/>
      <c r="I304" s="83"/>
      <c r="J304" s="83"/>
      <c r="K304" s="83"/>
      <c r="L304" s="83"/>
      <c r="M304" s="81" t="s">
        <v>52</v>
      </c>
      <c r="N304" s="85"/>
      <c r="O304" s="85"/>
      <c r="P304" s="81"/>
      <c r="Q304" s="81"/>
      <c r="R304" s="82"/>
      <c r="S304" s="81"/>
      <c r="T304" s="132" t="str">
        <f ca="1">IF(AND('Inserimento dati'!$B$3=$H$2, Tabella3[[#This Row],[LUN]]="X"), "X",IF(AND('Inserimento dati'!$B$3=$I$2, Tabella3[[#This Row],[MAR]]="X"), "X", IF(AND('Inserimento dati'!$B$3=$J$2, Tabella3[[#This Row],[MER]]="X"), "X",IF(AND('Inserimento dati'!$B$3=$K$2, Tabella3[[#This Row],[GIO]]="X"), "X", IF(AND('Inserimento dati'!$B$3=$L$2, Tabella3[[#This Row],[VEN]]="X"), "X","")))))</f>
        <v/>
      </c>
      <c r="U304" s="66" t="str">
        <f t="shared" ca="1" si="12"/>
        <v>10229710</v>
      </c>
    </row>
    <row r="305" spans="1:21" ht="30" x14ac:dyDescent="0.25">
      <c r="A305" s="84"/>
      <c r="B305" s="84"/>
      <c r="C305" s="84" t="str">
        <f>IF(OR(Tabella3[[#This Row],[LUN]]="X",Tabella3[[#This Row],[MAR]]="X",Tabella3[[#This Row],[MER]]="X",Tabella3[[#This Row],[GIO]]="X",Tabella3[[#This Row],[VEN]]="X",),"X","")</f>
        <v/>
      </c>
      <c r="D305" s="85" t="s">
        <v>10</v>
      </c>
      <c r="E305" s="81" t="s">
        <v>2281</v>
      </c>
      <c r="F305" s="81">
        <v>800</v>
      </c>
      <c r="G305" s="81" t="s">
        <v>2282</v>
      </c>
      <c r="H305" s="83"/>
      <c r="I305" s="83"/>
      <c r="J305" s="83"/>
      <c r="K305" s="83"/>
      <c r="L305" s="83"/>
      <c r="M305" s="81" t="s">
        <v>52</v>
      </c>
      <c r="N305" s="85"/>
      <c r="O305" s="85"/>
      <c r="P305" s="81"/>
      <c r="Q305" s="81"/>
      <c r="R305" s="82"/>
      <c r="S305" s="81"/>
      <c r="T305" s="132" t="str">
        <f ca="1">IF(AND('Inserimento dati'!$B$3=$H$2, Tabella3[[#This Row],[LUN]]="X"), "X",IF(AND('Inserimento dati'!$B$3=$I$2, Tabella3[[#This Row],[MAR]]="X"), "X", IF(AND('Inserimento dati'!$B$3=$J$2, Tabella3[[#This Row],[MER]]="X"), "X",IF(AND('Inserimento dati'!$B$3=$K$2, Tabella3[[#This Row],[GIO]]="X"), "X", IF(AND('Inserimento dati'!$B$3=$L$2, Tabella3[[#This Row],[VEN]]="X"), "X","")))))</f>
        <v/>
      </c>
      <c r="U305" s="66" t="str">
        <f t="shared" ca="1" si="12"/>
        <v/>
      </c>
    </row>
    <row r="306" spans="1:21" ht="23.25" x14ac:dyDescent="0.25">
      <c r="A306" s="84"/>
      <c r="B306" s="84"/>
      <c r="C306" s="84" t="str">
        <f>IF(OR(Tabella3[[#This Row],[LUN]]="X",Tabella3[[#This Row],[MAR]]="X",Tabella3[[#This Row],[MER]]="X",Tabella3[[#This Row],[GIO]]="X",Tabella3[[#This Row],[VEN]]="X",),"X","")</f>
        <v/>
      </c>
      <c r="D306" s="85" t="s">
        <v>10</v>
      </c>
      <c r="E306" s="81" t="s">
        <v>2283</v>
      </c>
      <c r="F306" s="81">
        <v>1200</v>
      </c>
      <c r="G306" s="81" t="s">
        <v>2284</v>
      </c>
      <c r="H306" s="83"/>
      <c r="I306" s="83"/>
      <c r="J306" s="83"/>
      <c r="K306" s="83"/>
      <c r="L306" s="83"/>
      <c r="M306" s="81" t="s">
        <v>52</v>
      </c>
      <c r="N306" s="85"/>
      <c r="O306" s="85"/>
      <c r="P306" s="81"/>
      <c r="Q306" s="81"/>
      <c r="R306" s="82">
        <v>45908</v>
      </c>
      <c r="S306" s="81" t="s">
        <v>238</v>
      </c>
      <c r="T306" s="132" t="str">
        <f ca="1">IF(AND('Inserimento dati'!$B$3=$H$2, Tabella3[[#This Row],[LUN]]="X"), "X",IF(AND('Inserimento dati'!$B$3=$I$2, Tabella3[[#This Row],[MAR]]="X"), "X", IF(AND('Inserimento dati'!$B$3=$J$2, Tabella3[[#This Row],[MER]]="X"), "X",IF(AND('Inserimento dati'!$B$3=$K$2, Tabella3[[#This Row],[GIO]]="X"), "X", IF(AND('Inserimento dati'!$B$3=$L$2, Tabella3[[#This Row],[VEN]]="X"), "X","")))))</f>
        <v/>
      </c>
      <c r="U306" s="66" t="str">
        <f t="shared" ca="1" si="12"/>
        <v/>
      </c>
    </row>
    <row r="307" spans="1:21" ht="23.25" x14ac:dyDescent="0.25">
      <c r="A307" s="84"/>
      <c r="B307" s="84"/>
      <c r="C307" s="84" t="str">
        <f>IF(OR(Tabella3[[#This Row],[LUN]]="X",Tabella3[[#This Row],[MAR]]="X",Tabella3[[#This Row],[MER]]="X",Tabella3[[#This Row],[GIO]]="X",Tabella3[[#This Row],[VEN]]="X",),"X","")</f>
        <v/>
      </c>
      <c r="D307" s="85" t="s">
        <v>10</v>
      </c>
      <c r="E307" s="81" t="s">
        <v>2285</v>
      </c>
      <c r="F307" s="81">
        <v>1200</v>
      </c>
      <c r="G307" s="81" t="s">
        <v>2286</v>
      </c>
      <c r="H307" s="83"/>
      <c r="I307" s="83"/>
      <c r="J307" s="83"/>
      <c r="K307" s="83"/>
      <c r="L307" s="83"/>
      <c r="M307" s="81" t="s">
        <v>52</v>
      </c>
      <c r="N307" s="85"/>
      <c r="O307" s="85"/>
      <c r="P307" s="81"/>
      <c r="Q307" s="81"/>
      <c r="R307" s="82"/>
      <c r="S307" s="81"/>
      <c r="T307" s="132" t="str">
        <f ca="1">IF(AND('Inserimento dati'!$B$3=$H$2, Tabella3[[#This Row],[LUN]]="X"), "X",IF(AND('Inserimento dati'!$B$3=$I$2, Tabella3[[#This Row],[MAR]]="X"), "X", IF(AND('Inserimento dati'!$B$3=$J$2, Tabella3[[#This Row],[MER]]="X"), "X",IF(AND('Inserimento dati'!$B$3=$K$2, Tabella3[[#This Row],[GIO]]="X"), "X", IF(AND('Inserimento dati'!$B$3=$L$2, Tabella3[[#This Row],[VEN]]="X"), "X","")))))</f>
        <v/>
      </c>
      <c r="U307" s="66" t="str">
        <f t="shared" ca="1" si="12"/>
        <v/>
      </c>
    </row>
    <row r="308" spans="1:21" ht="30" x14ac:dyDescent="0.25">
      <c r="A308" s="84"/>
      <c r="B308" s="84"/>
      <c r="C308" s="84" t="str">
        <f>IF(OR(Tabella3[[#This Row],[LUN]]="X",Tabella3[[#This Row],[MAR]]="X",Tabella3[[#This Row],[MER]]="X",Tabella3[[#This Row],[GIO]]="X",Tabella3[[#This Row],[VEN]]="X",),"X","")</f>
        <v/>
      </c>
      <c r="D308" s="85" t="s">
        <v>10</v>
      </c>
      <c r="E308" s="81" t="s">
        <v>2287</v>
      </c>
      <c r="F308" s="81">
        <v>1800</v>
      </c>
      <c r="G308" s="81" t="s">
        <v>2288</v>
      </c>
      <c r="H308" s="83"/>
      <c r="I308" s="83"/>
      <c r="J308" s="83"/>
      <c r="K308" s="83"/>
      <c r="L308" s="83"/>
      <c r="M308" s="81" t="s">
        <v>52</v>
      </c>
      <c r="N308" s="85"/>
      <c r="O308" s="85"/>
      <c r="P308" s="81"/>
      <c r="Q308" s="81"/>
      <c r="R308" s="82">
        <v>45911</v>
      </c>
      <c r="S308" s="81" t="s">
        <v>11</v>
      </c>
      <c r="T308" s="132" t="str">
        <f ca="1">IF(AND('Inserimento dati'!$B$3=$H$2, Tabella3[[#This Row],[LUN]]="X"), "X",IF(AND('Inserimento dati'!$B$3=$I$2, Tabella3[[#This Row],[MAR]]="X"), "X", IF(AND('Inserimento dati'!$B$3=$J$2, Tabella3[[#This Row],[MER]]="X"), "X",IF(AND('Inserimento dati'!$B$3=$K$2, Tabella3[[#This Row],[GIO]]="X"), "X", IF(AND('Inserimento dati'!$B$3=$L$2, Tabella3[[#This Row],[VEN]]="X"), "X","")))))</f>
        <v/>
      </c>
      <c r="U308" s="66" t="str">
        <f t="shared" ca="1" si="12"/>
        <v>10230147</v>
      </c>
    </row>
    <row r="309" spans="1:21" ht="30" x14ac:dyDescent="0.25">
      <c r="A309" s="84"/>
      <c r="B309" s="84"/>
      <c r="C309" s="84" t="str">
        <f>IF(OR(Tabella3[[#This Row],[LUN]]="X",Tabella3[[#This Row],[MAR]]="X",Tabella3[[#This Row],[MER]]="X",Tabella3[[#This Row],[GIO]]="X",Tabella3[[#This Row],[VEN]]="X",),"X","")</f>
        <v/>
      </c>
      <c r="D309" s="85" t="s">
        <v>10</v>
      </c>
      <c r="E309" s="81" t="s">
        <v>2289</v>
      </c>
      <c r="F309" s="81">
        <v>700</v>
      </c>
      <c r="G309" s="81" t="s">
        <v>2290</v>
      </c>
      <c r="H309" s="83"/>
      <c r="I309" s="83"/>
      <c r="J309" s="83"/>
      <c r="K309" s="83"/>
      <c r="L309" s="83"/>
      <c r="M309" s="81" t="s">
        <v>52</v>
      </c>
      <c r="N309" s="85"/>
      <c r="O309" s="85"/>
      <c r="P309" s="81"/>
      <c r="Q309" s="81" t="s">
        <v>2291</v>
      </c>
      <c r="R309" s="82">
        <v>45912</v>
      </c>
      <c r="S309" s="81" t="s">
        <v>238</v>
      </c>
      <c r="T309" s="132" t="str">
        <f ca="1">IF(AND('Inserimento dati'!$B$3=$H$2, Tabella3[[#This Row],[LUN]]="X"), "X",IF(AND('Inserimento dati'!$B$3=$I$2, Tabella3[[#This Row],[MAR]]="X"), "X", IF(AND('Inserimento dati'!$B$3=$J$2, Tabella3[[#This Row],[MER]]="X"), "X",IF(AND('Inserimento dati'!$B$3=$K$2, Tabella3[[#This Row],[GIO]]="X"), "X", IF(AND('Inserimento dati'!$B$3=$L$2, Tabella3[[#This Row],[VEN]]="X"), "X","")))))</f>
        <v/>
      </c>
      <c r="U309" s="66" t="str">
        <f t="shared" ca="1" si="12"/>
        <v/>
      </c>
    </row>
    <row r="310" spans="1:21" ht="105" x14ac:dyDescent="0.25">
      <c r="A310" s="84"/>
      <c r="B310" s="84"/>
      <c r="C310" s="84" t="str">
        <f>IF(OR(Tabella3[[#This Row],[LUN]]="X",Tabella3[[#This Row],[MAR]]="X",Tabella3[[#This Row],[MER]]="X",Tabella3[[#This Row],[GIO]]="X",Tabella3[[#This Row],[VEN]]="X",),"X","")</f>
        <v/>
      </c>
      <c r="D310" s="85" t="s">
        <v>10</v>
      </c>
      <c r="E310" s="81" t="s">
        <v>2292</v>
      </c>
      <c r="F310" s="81">
        <v>700</v>
      </c>
      <c r="G310" s="81" t="s">
        <v>2293</v>
      </c>
      <c r="H310" s="83"/>
      <c r="I310" s="83"/>
      <c r="J310" s="83"/>
      <c r="K310" s="83"/>
      <c r="L310" s="83"/>
      <c r="M310" s="81" t="s">
        <v>52</v>
      </c>
      <c r="N310" s="85"/>
      <c r="O310" s="85"/>
      <c r="P310" s="81"/>
      <c r="Q310" s="81" t="s">
        <v>2294</v>
      </c>
      <c r="R310" s="82">
        <v>45912</v>
      </c>
      <c r="S310" s="81" t="s">
        <v>227</v>
      </c>
      <c r="T310" s="132" t="str">
        <f ca="1">IF(AND('Inserimento dati'!$B$3=$H$2, Tabella3[[#This Row],[LUN]]="X"), "X",IF(AND('Inserimento dati'!$B$3=$I$2, Tabella3[[#This Row],[MAR]]="X"), "X", IF(AND('Inserimento dati'!$B$3=$J$2, Tabella3[[#This Row],[MER]]="X"), "X",IF(AND('Inserimento dati'!$B$3=$K$2, Tabella3[[#This Row],[GIO]]="X"), "X", IF(AND('Inserimento dati'!$B$3=$L$2, Tabella3[[#This Row],[VEN]]="X"), "X","")))))</f>
        <v/>
      </c>
      <c r="U310" s="66" t="str">
        <f t="shared" ca="1" si="12"/>
        <v>10230089</v>
      </c>
    </row>
    <row r="311" spans="1:21" ht="45" x14ac:dyDescent="0.25">
      <c r="A311" s="84"/>
      <c r="B311" s="84"/>
      <c r="C311" s="84" t="str">
        <f>IF(OR(Tabella3[[#This Row],[LUN]]="X",Tabella3[[#This Row],[MAR]]="X",Tabella3[[#This Row],[MER]]="X",Tabella3[[#This Row],[GIO]]="X",Tabella3[[#This Row],[VEN]]="X",),"X","")</f>
        <v/>
      </c>
      <c r="D311" s="85" t="s">
        <v>10</v>
      </c>
      <c r="E311" s="81" t="s">
        <v>2295</v>
      </c>
      <c r="F311" s="81">
        <v>2400</v>
      </c>
      <c r="G311" s="81" t="s">
        <v>2296</v>
      </c>
      <c r="H311" s="83"/>
      <c r="I311" s="83"/>
      <c r="J311" s="83"/>
      <c r="K311" s="83"/>
      <c r="L311" s="83"/>
      <c r="M311" s="81" t="s">
        <v>52</v>
      </c>
      <c r="N311" s="85"/>
      <c r="O311" s="85"/>
      <c r="P311" s="81"/>
      <c r="Q311" s="81" t="s">
        <v>2297</v>
      </c>
      <c r="R311" s="82">
        <v>45917</v>
      </c>
      <c r="S311" s="81" t="s">
        <v>45</v>
      </c>
      <c r="T311" s="132" t="str">
        <f ca="1">IF(AND('Inserimento dati'!$B$3=$H$2, Tabella3[[#This Row],[LUN]]="X"), "X",IF(AND('Inserimento dati'!$B$3=$I$2, Tabella3[[#This Row],[MAR]]="X"), "X", IF(AND('Inserimento dati'!$B$3=$J$2, Tabella3[[#This Row],[MER]]="X"), "X",IF(AND('Inserimento dati'!$B$3=$K$2, Tabella3[[#This Row],[GIO]]="X"), "X", IF(AND('Inserimento dati'!$B$3=$L$2, Tabella3[[#This Row],[VEN]]="X"), "X","")))))</f>
        <v/>
      </c>
      <c r="U311" s="66" t="str">
        <f t="shared" ca="1" si="12"/>
        <v xml:space="preserve"> 1023022</v>
      </c>
    </row>
    <row r="312" spans="1:21" ht="45" x14ac:dyDescent="0.25">
      <c r="A312" s="84"/>
      <c r="B312" s="84"/>
      <c r="C312" s="84" t="str">
        <f>IF(OR(Tabella3[[#This Row],[LUN]]="X",Tabella3[[#This Row],[MAR]]="X",Tabella3[[#This Row],[MER]]="X",Tabella3[[#This Row],[GIO]]="X",Tabella3[[#This Row],[VEN]]="X",),"X","")</f>
        <v/>
      </c>
      <c r="D312" s="85" t="s">
        <v>10</v>
      </c>
      <c r="E312" s="81" t="s">
        <v>2298</v>
      </c>
      <c r="F312" s="81">
        <v>800</v>
      </c>
      <c r="G312" s="81" t="s">
        <v>2299</v>
      </c>
      <c r="H312" s="83"/>
      <c r="I312" s="83"/>
      <c r="J312" s="83"/>
      <c r="K312" s="83"/>
      <c r="L312" s="83"/>
      <c r="M312" s="81" t="s">
        <v>52</v>
      </c>
      <c r="N312" s="85"/>
      <c r="O312" s="85"/>
      <c r="P312" s="81"/>
      <c r="Q312" s="81" t="s">
        <v>2300</v>
      </c>
      <c r="R312" s="82">
        <v>45918</v>
      </c>
      <c r="S312" s="81" t="s">
        <v>238</v>
      </c>
      <c r="T312" s="132" t="str">
        <f ca="1">IF(AND('Inserimento dati'!$B$3=$H$2, Tabella3[[#This Row],[LUN]]="X"), "X",IF(AND('Inserimento dati'!$B$3=$I$2, Tabella3[[#This Row],[MAR]]="X"), "X", IF(AND('Inserimento dati'!$B$3=$J$2, Tabella3[[#This Row],[MER]]="X"), "X",IF(AND('Inserimento dati'!$B$3=$K$2, Tabella3[[#This Row],[GIO]]="X"), "X", IF(AND('Inserimento dati'!$B$3=$L$2, Tabella3[[#This Row],[VEN]]="X"), "X","")))))</f>
        <v/>
      </c>
      <c r="U312" s="66" t="str">
        <f t="shared" ca="1" si="12"/>
        <v>10230467</v>
      </c>
    </row>
    <row r="313" spans="1:21" ht="30" x14ac:dyDescent="0.25">
      <c r="A313" s="84"/>
      <c r="B313" s="84"/>
      <c r="C313" s="84" t="str">
        <f>IF(OR(Tabella3[[#This Row],[LUN]]="X",Tabella3[[#This Row],[MAR]]="X",Tabella3[[#This Row],[MER]]="X",Tabella3[[#This Row],[GIO]]="X",Tabella3[[#This Row],[VEN]]="X",),"X","")</f>
        <v/>
      </c>
      <c r="D313" s="85" t="s">
        <v>10</v>
      </c>
      <c r="E313" s="81" t="s">
        <v>2301</v>
      </c>
      <c r="F313" s="81">
        <v>4200</v>
      </c>
      <c r="G313" s="81" t="s">
        <v>2302</v>
      </c>
      <c r="H313" s="83"/>
      <c r="I313" s="83"/>
      <c r="J313" s="83"/>
      <c r="K313" s="83"/>
      <c r="L313" s="83"/>
      <c r="M313" s="81" t="s">
        <v>52</v>
      </c>
      <c r="N313" s="85"/>
      <c r="O313" s="85"/>
      <c r="P313" s="81"/>
      <c r="Q313" s="81" t="s">
        <v>2303</v>
      </c>
      <c r="R313" s="82">
        <v>45925</v>
      </c>
      <c r="S313" s="81" t="s">
        <v>2304</v>
      </c>
      <c r="T313" s="132" t="str">
        <f ca="1">IF(AND('Inserimento dati'!$B$3=$H$2, Tabella3[[#This Row],[LUN]]="X"), "X",IF(AND('Inserimento dati'!$B$3=$I$2, Tabella3[[#This Row],[MAR]]="X"), "X", IF(AND('Inserimento dati'!$B$3=$J$2, Tabella3[[#This Row],[MER]]="X"), "X",IF(AND('Inserimento dati'!$B$3=$K$2, Tabella3[[#This Row],[GIO]]="X"), "X", IF(AND('Inserimento dati'!$B$3=$L$2, Tabella3[[#This Row],[VEN]]="X"), "X","")))))</f>
        <v/>
      </c>
      <c r="U313" s="66" t="str">
        <f t="shared" ca="1" si="12"/>
        <v/>
      </c>
    </row>
    <row r="314" spans="1:21" ht="45" x14ac:dyDescent="0.25">
      <c r="A314" s="84"/>
      <c r="B314" s="84"/>
      <c r="C314" s="84" t="str">
        <f>IF(OR(Tabella3[[#This Row],[LUN]]="X",Tabella3[[#This Row],[MAR]]="X",Tabella3[[#This Row],[MER]]="X",Tabella3[[#This Row],[GIO]]="X",Tabella3[[#This Row],[VEN]]="X",),"X","")</f>
        <v/>
      </c>
      <c r="D314" s="85" t="s">
        <v>10</v>
      </c>
      <c r="E314" s="81" t="s">
        <v>2305</v>
      </c>
      <c r="F314" s="81" t="s">
        <v>106</v>
      </c>
      <c r="G314" s="81" t="s">
        <v>2306</v>
      </c>
      <c r="H314" s="83"/>
      <c r="I314" s="83"/>
      <c r="J314" s="83"/>
      <c r="K314" s="83"/>
      <c r="L314" s="83"/>
      <c r="M314" s="81" t="s">
        <v>52</v>
      </c>
      <c r="N314" s="85"/>
      <c r="O314" s="85"/>
      <c r="P314" s="81"/>
      <c r="Q314" s="81" t="s">
        <v>2307</v>
      </c>
      <c r="R314" s="82">
        <v>45929</v>
      </c>
      <c r="S314" s="81" t="s">
        <v>23</v>
      </c>
      <c r="T314" s="132" t="str">
        <f ca="1">IF(AND('Inserimento dati'!$B$3=$H$2, Tabella3[[#This Row],[LUN]]="X"), "X",IF(AND('Inserimento dati'!$B$3=$I$2, Tabella3[[#This Row],[MAR]]="X"), "X", IF(AND('Inserimento dati'!$B$3=$J$2, Tabella3[[#This Row],[MER]]="X"), "X",IF(AND('Inserimento dati'!$B$3=$K$2, Tabella3[[#This Row],[GIO]]="X"), "X", IF(AND('Inserimento dati'!$B$3=$L$2, Tabella3[[#This Row],[VEN]]="X"), "X","")))))</f>
        <v/>
      </c>
      <c r="U314" s="66" t="str">
        <f t="shared" ca="1" si="12"/>
        <v>10231166</v>
      </c>
    </row>
    <row r="315" spans="1:21" ht="23.25" x14ac:dyDescent="0.25">
      <c r="A315" s="84"/>
      <c r="B315" s="84"/>
      <c r="C315" s="84" t="str">
        <f>IF(OR(Tabella3[[#This Row],[LUN]]="X",Tabella3[[#This Row],[MAR]]="X",Tabella3[[#This Row],[MER]]="X",Tabella3[[#This Row],[GIO]]="X",Tabella3[[#This Row],[VEN]]="X",),"X","")</f>
        <v/>
      </c>
      <c r="D315" s="85" t="s">
        <v>10</v>
      </c>
      <c r="E315" s="81" t="s">
        <v>2308</v>
      </c>
      <c r="F315" s="81">
        <v>1200</v>
      </c>
      <c r="G315" s="81" t="s">
        <v>2309</v>
      </c>
      <c r="H315" s="83"/>
      <c r="I315" s="83"/>
      <c r="J315" s="83"/>
      <c r="K315" s="83"/>
      <c r="L315" s="83"/>
      <c r="M315" s="81" t="s">
        <v>52</v>
      </c>
      <c r="N315" s="85"/>
      <c r="O315" s="85"/>
      <c r="P315" s="81"/>
      <c r="Q315" s="81" t="s">
        <v>2310</v>
      </c>
      <c r="R315" s="82">
        <v>45931</v>
      </c>
      <c r="S315" s="81" t="s">
        <v>45</v>
      </c>
      <c r="T315" s="132" t="str">
        <f ca="1">IF(AND('Inserimento dati'!$B$3=$H$2, Tabella3[[#This Row],[LUN]]="X"), "X",IF(AND('Inserimento dati'!$B$3=$I$2, Tabella3[[#This Row],[MAR]]="X"), "X", IF(AND('Inserimento dati'!$B$3=$J$2, Tabella3[[#This Row],[MER]]="X"), "X",IF(AND('Inserimento dati'!$B$3=$K$2, Tabella3[[#This Row],[GIO]]="X"), "X", IF(AND('Inserimento dati'!$B$3=$L$2, Tabella3[[#This Row],[VEN]]="X"), "X","")))))</f>
        <v/>
      </c>
      <c r="U315" s="66" t="str">
        <f t="shared" ca="1" si="12"/>
        <v/>
      </c>
    </row>
    <row r="316" spans="1:21" ht="23.25" x14ac:dyDescent="0.25">
      <c r="A316" s="84"/>
      <c r="B316" s="84"/>
      <c r="C316" s="84" t="str">
        <f>IF(OR(Tabella3[[#This Row],[LUN]]="X",Tabella3[[#This Row],[MAR]]="X",Tabella3[[#This Row],[MER]]="X",Tabella3[[#This Row],[GIO]]="X",Tabella3[[#This Row],[VEN]]="X",),"X","")</f>
        <v/>
      </c>
      <c r="D316" s="85" t="s">
        <v>10</v>
      </c>
      <c r="E316" s="81" t="s">
        <v>2311</v>
      </c>
      <c r="F316" s="81">
        <v>700</v>
      </c>
      <c r="G316" s="81" t="s">
        <v>2312</v>
      </c>
      <c r="H316" s="83"/>
      <c r="I316" s="83"/>
      <c r="J316" s="83"/>
      <c r="K316" s="83"/>
      <c r="L316" s="83"/>
      <c r="M316" s="81" t="s">
        <v>52</v>
      </c>
      <c r="N316" s="85"/>
      <c r="O316" s="85"/>
      <c r="P316" s="81"/>
      <c r="Q316" s="81" t="s">
        <v>2313</v>
      </c>
      <c r="R316" s="82">
        <v>45932</v>
      </c>
      <c r="S316" s="81" t="s">
        <v>674</v>
      </c>
      <c r="T316" s="132" t="str">
        <f ca="1">IF(AND('Inserimento dati'!$B$3=$H$2, Tabella3[[#This Row],[LUN]]="X"), "X",IF(AND('Inserimento dati'!$B$3=$I$2, Tabella3[[#This Row],[MAR]]="X"), "X", IF(AND('Inserimento dati'!$B$3=$J$2, Tabella3[[#This Row],[MER]]="X"), "X",IF(AND('Inserimento dati'!$B$3=$K$2, Tabella3[[#This Row],[GIO]]="X"), "X", IF(AND('Inserimento dati'!$B$3=$L$2, Tabella3[[#This Row],[VEN]]="X"), "X","")))))</f>
        <v/>
      </c>
      <c r="U316" s="66" t="str">
        <f t="shared" ca="1" si="12"/>
        <v>10231088</v>
      </c>
    </row>
    <row r="317" spans="1:21" ht="30" x14ac:dyDescent="0.25">
      <c r="A317" s="84"/>
      <c r="B317" s="84"/>
      <c r="C317" s="84" t="str">
        <f>IF(OR(Tabella3[[#This Row],[LUN]]="X",Tabella3[[#This Row],[MAR]]="X",Tabella3[[#This Row],[MER]]="X",Tabella3[[#This Row],[GIO]]="X",Tabella3[[#This Row],[VEN]]="X",),"X","")</f>
        <v/>
      </c>
      <c r="D317" s="85" t="s">
        <v>10</v>
      </c>
      <c r="E317" s="81" t="s">
        <v>2314</v>
      </c>
      <c r="F317" s="81">
        <v>700</v>
      </c>
      <c r="G317" s="81" t="s">
        <v>2315</v>
      </c>
      <c r="H317" s="83"/>
      <c r="I317" s="83"/>
      <c r="J317" s="83"/>
      <c r="K317" s="83"/>
      <c r="L317" s="83"/>
      <c r="M317" s="81" t="s">
        <v>52</v>
      </c>
      <c r="N317" s="85"/>
      <c r="O317" s="85"/>
      <c r="P317" s="81"/>
      <c r="Q317" s="81" t="s">
        <v>2316</v>
      </c>
      <c r="R317" s="82">
        <v>45930</v>
      </c>
      <c r="S317" s="81" t="s">
        <v>238</v>
      </c>
      <c r="T317" s="132" t="str">
        <f ca="1">IF(AND('Inserimento dati'!$B$3=$H$2, Tabella3[[#This Row],[LUN]]="X"), "X",IF(AND('Inserimento dati'!$B$3=$I$2, Tabella3[[#This Row],[MAR]]="X"), "X", IF(AND('Inserimento dati'!$B$3=$J$2, Tabella3[[#This Row],[MER]]="X"), "X",IF(AND('Inserimento dati'!$B$3=$K$2, Tabella3[[#This Row],[GIO]]="X"), "X", IF(AND('Inserimento dati'!$B$3=$L$2, Tabella3[[#This Row],[VEN]]="X"), "X","")))))</f>
        <v/>
      </c>
      <c r="U317" s="66" t="str">
        <f t="shared" ca="1" si="12"/>
        <v>10230879</v>
      </c>
    </row>
    <row r="318" spans="1:21" ht="23.25" x14ac:dyDescent="0.25">
      <c r="A318" s="84"/>
      <c r="B318" s="84"/>
      <c r="C318" s="84" t="str">
        <f>IF(OR(Tabella3[[#This Row],[LUN]]="X",Tabella3[[#This Row],[MAR]]="X",Tabella3[[#This Row],[MER]]="X",Tabella3[[#This Row],[GIO]]="X",Tabella3[[#This Row],[VEN]]="X",),"X","")</f>
        <v/>
      </c>
      <c r="D318" s="85" t="s">
        <v>10</v>
      </c>
      <c r="E318" s="81" t="s">
        <v>2317</v>
      </c>
      <c r="F318" s="81">
        <v>1200</v>
      </c>
      <c r="G318" s="81" t="s">
        <v>2318</v>
      </c>
      <c r="H318" s="83"/>
      <c r="I318" s="83"/>
      <c r="J318" s="83"/>
      <c r="K318" s="83"/>
      <c r="L318" s="83"/>
      <c r="M318" s="81" t="s">
        <v>52</v>
      </c>
      <c r="N318" s="85"/>
      <c r="O318" s="85"/>
      <c r="P318" s="81"/>
      <c r="Q318" s="81" t="s">
        <v>2319</v>
      </c>
      <c r="R318" s="82">
        <v>45937</v>
      </c>
      <c r="S318" s="81"/>
      <c r="T318" s="132" t="str">
        <f ca="1">IF(AND('Inserimento dati'!$B$3=$H$2, Tabella3[[#This Row],[LUN]]="X"), "X",IF(AND('Inserimento dati'!$B$3=$I$2, Tabella3[[#This Row],[MAR]]="X"), "X", IF(AND('Inserimento dati'!$B$3=$J$2, Tabella3[[#This Row],[MER]]="X"), "X",IF(AND('Inserimento dati'!$B$3=$K$2, Tabella3[[#This Row],[GIO]]="X"), "X", IF(AND('Inserimento dati'!$B$3=$L$2, Tabella3[[#This Row],[VEN]]="X"), "X","")))))</f>
        <v/>
      </c>
      <c r="U318" s="66" t="str">
        <f t="shared" ca="1" si="12"/>
        <v>10229855</v>
      </c>
    </row>
    <row r="319" spans="1:21" ht="45" x14ac:dyDescent="0.25">
      <c r="A319" s="84"/>
      <c r="B319" s="84"/>
      <c r="C319" s="84" t="str">
        <f>IF(OR(Tabella3[[#This Row],[LUN]]="X",Tabella3[[#This Row],[MAR]]="X",Tabella3[[#This Row],[MER]]="X",Tabella3[[#This Row],[GIO]]="X",Tabella3[[#This Row],[VEN]]="X",),"X","")</f>
        <v/>
      </c>
      <c r="D319" s="85" t="s">
        <v>10</v>
      </c>
      <c r="E319" s="81" t="s">
        <v>2320</v>
      </c>
      <c r="F319" s="81">
        <v>700</v>
      </c>
      <c r="G319" s="81" t="s">
        <v>2321</v>
      </c>
      <c r="H319" s="83"/>
      <c r="I319" s="83"/>
      <c r="J319" s="83"/>
      <c r="K319" s="83"/>
      <c r="L319" s="83"/>
      <c r="M319" s="81" t="s">
        <v>52</v>
      </c>
      <c r="N319" s="85"/>
      <c r="O319" s="85"/>
      <c r="P319" s="81"/>
      <c r="Q319" s="81" t="s">
        <v>2322</v>
      </c>
      <c r="R319" s="82">
        <v>45946</v>
      </c>
      <c r="S319" s="81" t="s">
        <v>238</v>
      </c>
      <c r="T319" s="132" t="str">
        <f ca="1">IF(AND('Inserimento dati'!$B$3=$H$2, Tabella3[[#This Row],[LUN]]="X"), "X",IF(AND('Inserimento dati'!$B$3=$I$2, Tabella3[[#This Row],[MAR]]="X"), "X", IF(AND('Inserimento dati'!$B$3=$J$2, Tabella3[[#This Row],[MER]]="X"), "X",IF(AND('Inserimento dati'!$B$3=$K$2, Tabella3[[#This Row],[GIO]]="X"), "X", IF(AND('Inserimento dati'!$B$3=$L$2, Tabella3[[#This Row],[VEN]]="X"), "X","")))))</f>
        <v/>
      </c>
      <c r="U319" s="125" t="str">
        <f t="shared" ca="1" si="12"/>
        <v>10232241</v>
      </c>
    </row>
    <row r="320" spans="1:21" ht="30" x14ac:dyDescent="0.25">
      <c r="A320" s="84"/>
      <c r="B320" s="84"/>
      <c r="C320" s="84" t="str">
        <f>IF(OR(Tabella3[[#This Row],[LUN]]="X",Tabella3[[#This Row],[MAR]]="X",Tabella3[[#This Row],[MER]]="X",Tabella3[[#This Row],[GIO]]="X",Tabella3[[#This Row],[VEN]]="X",),"X","")</f>
        <v/>
      </c>
      <c r="D320" s="85" t="s">
        <v>10</v>
      </c>
      <c r="E320" s="81" t="s">
        <v>2481</v>
      </c>
      <c r="F320" s="81">
        <v>1800</v>
      </c>
      <c r="G320" s="81" t="s">
        <v>2482</v>
      </c>
      <c r="H320" s="83"/>
      <c r="I320" s="83"/>
      <c r="J320" s="83"/>
      <c r="K320" s="83"/>
      <c r="L320" s="83"/>
      <c r="M320" s="81" t="s">
        <v>52</v>
      </c>
      <c r="N320" s="85"/>
      <c r="O320" s="85"/>
      <c r="P320" s="81"/>
      <c r="Q320" s="81" t="s">
        <v>3474</v>
      </c>
      <c r="R320" s="82"/>
      <c r="S320" s="81"/>
      <c r="T320" s="132" t="str">
        <f ca="1">IF(AND('Inserimento dati'!$B$3=$H$2, Tabella3[[#This Row],[LUN]]="X"), "X",IF(AND('Inserimento dati'!$B$3=$I$2, Tabella3[[#This Row],[MAR]]="X"), "X", IF(AND('Inserimento dati'!$B$3=$J$2, Tabella3[[#This Row],[MER]]="X"), "X",IF(AND('Inserimento dati'!$B$3=$K$2, Tabella3[[#This Row],[GIO]]="X"), "X", IF(AND('Inserimento dati'!$B$3=$L$2, Tabella3[[#This Row],[VEN]]="X"), "X","")))))</f>
        <v/>
      </c>
      <c r="U320" s="125" t="str">
        <f t="shared" ca="1" si="12"/>
        <v>10227342</v>
      </c>
    </row>
    <row r="321" spans="1:22" ht="23.25" x14ac:dyDescent="0.25">
      <c r="A321" s="84"/>
      <c r="B321" s="84"/>
      <c r="C321" s="84" t="str">
        <f>IF(OR(Tabella3[[#This Row],[LUN]]="X",Tabella3[[#This Row],[MAR]]="X",Tabella3[[#This Row],[MER]]="X",Tabella3[[#This Row],[GIO]]="X",Tabella3[[#This Row],[VEN]]="X",),"X","")</f>
        <v/>
      </c>
      <c r="D321" s="85" t="s">
        <v>10</v>
      </c>
      <c r="E321" s="81" t="s">
        <v>2705</v>
      </c>
      <c r="F321" s="81">
        <v>1400</v>
      </c>
      <c r="G321" s="81" t="s">
        <v>2270</v>
      </c>
      <c r="H321" s="83"/>
      <c r="I321" s="83"/>
      <c r="J321" s="83"/>
      <c r="K321" s="83"/>
      <c r="L321" s="83"/>
      <c r="M321" s="81" t="s">
        <v>52</v>
      </c>
      <c r="N321" s="85"/>
      <c r="O321" s="85"/>
      <c r="P321" s="81"/>
      <c r="Q321" s="81" t="s">
        <v>2706</v>
      </c>
      <c r="R321" s="82"/>
      <c r="S321" s="81" t="s">
        <v>238</v>
      </c>
      <c r="T321" s="132" t="str">
        <f ca="1">IF(AND('Inserimento dati'!$B$3=$H$2, Tabella3[[#This Row],[LUN]]="X"), "X",IF(AND('Inserimento dati'!$B$3=$I$2, Tabella3[[#This Row],[MAR]]="X"), "X", IF(AND('Inserimento dati'!$B$3=$J$2, Tabella3[[#This Row],[MER]]="X"), "X",IF(AND('Inserimento dati'!$B$3=$K$2, Tabella3[[#This Row],[GIO]]="X"), "X", IF(AND('Inserimento dati'!$B$3=$L$2, Tabella3[[#This Row],[VEN]]="X"), "X","")))))</f>
        <v/>
      </c>
      <c r="U321" s="66" t="str">
        <f t="shared" ca="1" si="12"/>
        <v/>
      </c>
    </row>
    <row r="322" spans="1:22" ht="23.25" x14ac:dyDescent="0.25">
      <c r="A322" s="84"/>
      <c r="B322" s="84"/>
      <c r="C322" s="84" t="str">
        <f>IF(OR(Tabella3[[#This Row],[LUN]]="X",Tabella3[[#This Row],[MAR]]="X",Tabella3[[#This Row],[MER]]="X",Tabella3[[#This Row],[GIO]]="X",Tabella3[[#This Row],[VEN]]="X",),"X","")</f>
        <v/>
      </c>
      <c r="D322" s="85" t="s">
        <v>10</v>
      </c>
      <c r="E322" s="81" t="s">
        <v>2480</v>
      </c>
      <c r="F322" s="81">
        <v>700</v>
      </c>
      <c r="G322" s="81" t="s">
        <v>3548</v>
      </c>
      <c r="H322" s="83"/>
      <c r="I322" s="83"/>
      <c r="J322" s="83"/>
      <c r="K322" s="83"/>
      <c r="L322" s="83"/>
      <c r="M322" s="81" t="s">
        <v>43</v>
      </c>
      <c r="N322" s="85"/>
      <c r="O322" s="85"/>
      <c r="P322" s="81"/>
      <c r="Q322" s="81"/>
      <c r="R322" s="82"/>
      <c r="S322" s="81"/>
      <c r="T322" s="132" t="str">
        <f ca="1">IF(AND('Inserimento dati'!$B$3=$H$2, Tabella3[[#This Row],[LUN]]="X"), "X",IF(AND('Inserimento dati'!$B$3=$I$2, Tabella3[[#This Row],[MAR]]="X"), "X", IF(AND('Inserimento dati'!$B$3=$J$2, Tabella3[[#This Row],[MER]]="X"), "X",IF(AND('Inserimento dati'!$B$3=$K$2, Tabella3[[#This Row],[GIO]]="X"), "X", IF(AND('Inserimento dati'!$B$3=$L$2, Tabella3[[#This Row],[VEN]]="X"), "X","")))))</f>
        <v/>
      </c>
      <c r="U322" s="66" t="str">
        <f t="shared" ca="1" si="12"/>
        <v>00000005</v>
      </c>
    </row>
    <row r="323" spans="1:22" ht="23.25" x14ac:dyDescent="0.25">
      <c r="A323" s="84"/>
      <c r="B323" s="84"/>
      <c r="C323" s="84" t="str">
        <f>IF(OR(Tabella3[[#This Row],[LUN]]="X",Tabella3[[#This Row],[MAR]]="X",Tabella3[[#This Row],[MER]]="X",Tabella3[[#This Row],[GIO]]="X",Tabella3[[#This Row],[VEN]]="X",),"X","")</f>
        <v/>
      </c>
      <c r="D323" s="85" t="s">
        <v>10</v>
      </c>
      <c r="E323" s="81" t="s">
        <v>2323</v>
      </c>
      <c r="F323" s="81">
        <v>700</v>
      </c>
      <c r="G323" s="81" t="s">
        <v>2324</v>
      </c>
      <c r="H323" s="83"/>
      <c r="I323" s="83"/>
      <c r="J323" s="83"/>
      <c r="K323" s="83"/>
      <c r="L323" s="83"/>
      <c r="M323" s="81" t="s">
        <v>43</v>
      </c>
      <c r="N323" s="85"/>
      <c r="O323" s="85"/>
      <c r="P323" s="81"/>
      <c r="Q323" s="81"/>
      <c r="R323" s="82"/>
      <c r="S323" s="81"/>
      <c r="T323" s="132" t="str">
        <f ca="1">IF(AND('Inserimento dati'!$B$3=$H$2, Tabella3[[#This Row],[LUN]]="X"), "X",IF(AND('Inserimento dati'!$B$3=$I$2, Tabella3[[#This Row],[MAR]]="X"), "X", IF(AND('Inserimento dati'!$B$3=$J$2, Tabella3[[#This Row],[MER]]="X"), "X",IF(AND('Inserimento dati'!$B$3=$K$2, Tabella3[[#This Row],[GIO]]="X"), "X", IF(AND('Inserimento dati'!$B$3=$L$2, Tabella3[[#This Row],[VEN]]="X"), "X","")))))</f>
        <v/>
      </c>
      <c r="U323" s="125" t="str">
        <f t="shared" ca="1" si="12"/>
        <v>10226805</v>
      </c>
    </row>
    <row r="324" spans="1:22" ht="23.25" x14ac:dyDescent="0.25">
      <c r="A324" s="84"/>
      <c r="B324" s="84"/>
      <c r="C324" s="84" t="str">
        <f>IF(OR(Tabella3[[#This Row],[LUN]]="X",Tabella3[[#This Row],[MAR]]="X",Tabella3[[#This Row],[MER]]="X",Tabella3[[#This Row],[GIO]]="X",Tabella3[[#This Row],[VEN]]="X",),"X","")</f>
        <v/>
      </c>
      <c r="D324" s="85" t="s">
        <v>10</v>
      </c>
      <c r="E324" s="81" t="s">
        <v>2325</v>
      </c>
      <c r="F324" s="81">
        <v>700</v>
      </c>
      <c r="G324" s="81" t="s">
        <v>3506</v>
      </c>
      <c r="H324" s="83"/>
      <c r="I324" s="83"/>
      <c r="J324" s="83"/>
      <c r="K324" s="83"/>
      <c r="L324" s="83"/>
      <c r="M324" s="81" t="s">
        <v>43</v>
      </c>
      <c r="N324" s="85"/>
      <c r="O324" s="85"/>
      <c r="P324" s="81"/>
      <c r="Q324" s="81"/>
      <c r="R324" s="82"/>
      <c r="S324" s="81"/>
      <c r="T324" s="132" t="str">
        <f ca="1">IF(AND('Inserimento dati'!$B$3=$H$2, Tabella3[[#This Row],[LUN]]="X"), "X",IF(AND('Inserimento dati'!$B$3=$I$2, Tabella3[[#This Row],[MAR]]="X"), "X", IF(AND('Inserimento dati'!$B$3=$J$2, Tabella3[[#This Row],[MER]]="X"), "X",IF(AND('Inserimento dati'!$B$3=$K$2, Tabella3[[#This Row],[GIO]]="X"), "X", IF(AND('Inserimento dati'!$B$3=$L$2, Tabella3[[#This Row],[VEN]]="X"), "X","")))))</f>
        <v/>
      </c>
      <c r="U324" s="177" t="str">
        <f t="shared" ref="U324:U387" ca="1" si="13">IFERROR(MID(G324,_xlfn.AGGREGATE(15,6,(ROW(INDIRECT("1:"&amp;LEN(G324)-7)))/(ISNUMBER(--MID(G324,ROW(INDIRECT("1:"&amp;LEN(G324)-7)),8))),1),8),"")</f>
        <v>00000004</v>
      </c>
    </row>
    <row r="325" spans="1:22" ht="23.25" x14ac:dyDescent="0.25">
      <c r="A325" s="84"/>
      <c r="B325" s="84"/>
      <c r="C325" s="84" t="str">
        <f>IF(OR(Tabella3[[#This Row],[LUN]]="X",Tabella3[[#This Row],[MAR]]="X",Tabella3[[#This Row],[MER]]="X",Tabella3[[#This Row],[GIO]]="X",Tabella3[[#This Row],[VEN]]="X",),"X","")</f>
        <v/>
      </c>
      <c r="D325" s="85" t="s">
        <v>10</v>
      </c>
      <c r="E325" s="81" t="s">
        <v>2328</v>
      </c>
      <c r="F325" s="81">
        <v>1400</v>
      </c>
      <c r="G325" s="81" t="s">
        <v>2329</v>
      </c>
      <c r="H325" s="83"/>
      <c r="I325" s="83"/>
      <c r="J325" s="83"/>
      <c r="K325" s="83"/>
      <c r="L325" s="83"/>
      <c r="M325" s="81" t="s">
        <v>43</v>
      </c>
      <c r="N325" s="85"/>
      <c r="O325" s="85"/>
      <c r="P325" s="81"/>
      <c r="Q325" s="81"/>
      <c r="R325" s="82"/>
      <c r="S325" s="81"/>
      <c r="T325" s="132" t="str">
        <f ca="1">IF(AND('Inserimento dati'!$B$3=$H$2, Tabella3[[#This Row],[LUN]]="X"), "X",IF(AND('Inserimento dati'!$B$3=$I$2, Tabella3[[#This Row],[MAR]]="X"), "X", IF(AND('Inserimento dati'!$B$3=$J$2, Tabella3[[#This Row],[MER]]="X"), "X",IF(AND('Inserimento dati'!$B$3=$K$2, Tabella3[[#This Row],[GIO]]="X"), "X", IF(AND('Inserimento dati'!$B$3=$L$2, Tabella3[[#This Row],[VEN]]="X"), "X","")))))</f>
        <v/>
      </c>
      <c r="U325" s="66" t="str">
        <f t="shared" ca="1" si="13"/>
        <v>10231797</v>
      </c>
    </row>
    <row r="326" spans="1:22" ht="30" x14ac:dyDescent="0.25">
      <c r="A326" s="84"/>
      <c r="B326" s="84"/>
      <c r="C326" s="84" t="str">
        <f>IF(OR(Tabella3[[#This Row],[LUN]]="X",Tabella3[[#This Row],[MAR]]="X",Tabella3[[#This Row],[MER]]="X",Tabella3[[#This Row],[GIO]]="X",Tabella3[[#This Row],[VEN]]="X",),"X","")</f>
        <v/>
      </c>
      <c r="D326" s="85" t="s">
        <v>10</v>
      </c>
      <c r="E326" s="81" t="s">
        <v>2330</v>
      </c>
      <c r="F326" s="81">
        <v>1200</v>
      </c>
      <c r="G326" s="81" t="s">
        <v>2331</v>
      </c>
      <c r="H326" s="83"/>
      <c r="I326" s="83"/>
      <c r="J326" s="83"/>
      <c r="K326" s="83"/>
      <c r="L326" s="83"/>
      <c r="M326" s="81" t="s">
        <v>43</v>
      </c>
      <c r="N326" s="85"/>
      <c r="O326" s="85"/>
      <c r="P326" s="81"/>
      <c r="Q326" s="81"/>
      <c r="R326" s="82"/>
      <c r="S326" s="81"/>
      <c r="T326" s="132" t="str">
        <f ca="1">IF(AND('Inserimento dati'!$B$3=$H$2, Tabella3[[#This Row],[LUN]]="X"), "X",IF(AND('Inserimento dati'!$B$3=$I$2, Tabella3[[#This Row],[MAR]]="X"), "X", IF(AND('Inserimento dati'!$B$3=$J$2, Tabella3[[#This Row],[MER]]="X"), "X",IF(AND('Inserimento dati'!$B$3=$K$2, Tabella3[[#This Row],[GIO]]="X"), "X", IF(AND('Inserimento dati'!$B$3=$L$2, Tabella3[[#This Row],[VEN]]="X"), "X","")))))</f>
        <v/>
      </c>
      <c r="U326" s="66" t="str">
        <f t="shared" ca="1" si="13"/>
        <v/>
      </c>
    </row>
    <row r="327" spans="1:22" ht="23.25" x14ac:dyDescent="0.25">
      <c r="A327" s="84"/>
      <c r="B327" s="84"/>
      <c r="C327" s="84" t="str">
        <f>IF(OR(Tabella3[[#This Row],[LUN]]="X",Tabella3[[#This Row],[MAR]]="X",Tabella3[[#This Row],[MER]]="X",Tabella3[[#This Row],[GIO]]="X",Tabella3[[#This Row],[VEN]]="X",),"X","")</f>
        <v/>
      </c>
      <c r="D327" s="85" t="s">
        <v>10</v>
      </c>
      <c r="E327" s="81" t="s">
        <v>2332</v>
      </c>
      <c r="F327" s="81">
        <v>700</v>
      </c>
      <c r="G327" s="81" t="s">
        <v>2333</v>
      </c>
      <c r="H327" s="83"/>
      <c r="I327" s="83"/>
      <c r="J327" s="83"/>
      <c r="K327" s="83"/>
      <c r="L327" s="83"/>
      <c r="M327" s="81" t="s">
        <v>43</v>
      </c>
      <c r="N327" s="85"/>
      <c r="O327" s="85"/>
      <c r="P327" s="81"/>
      <c r="Q327" s="81"/>
      <c r="R327" s="82"/>
      <c r="S327" s="81"/>
      <c r="T327" s="132" t="str">
        <f ca="1">IF(AND('Inserimento dati'!$B$3=$H$2, Tabella3[[#This Row],[LUN]]="X"), "X",IF(AND('Inserimento dati'!$B$3=$I$2, Tabella3[[#This Row],[MAR]]="X"), "X", IF(AND('Inserimento dati'!$B$3=$J$2, Tabella3[[#This Row],[MER]]="X"), "X",IF(AND('Inserimento dati'!$B$3=$K$2, Tabella3[[#This Row],[GIO]]="X"), "X", IF(AND('Inserimento dati'!$B$3=$L$2, Tabella3[[#This Row],[VEN]]="X"), "X","")))))</f>
        <v/>
      </c>
      <c r="U327" s="66" t="str">
        <f t="shared" ca="1" si="13"/>
        <v>10228362</v>
      </c>
      <c r="V327" s="176">
        <v>45953.692395833335</v>
      </c>
    </row>
    <row r="328" spans="1:22" ht="30" x14ac:dyDescent="0.25">
      <c r="A328" s="84"/>
      <c r="B328" s="84"/>
      <c r="C328" s="84" t="str">
        <f>IF(OR(Tabella3[[#This Row],[LUN]]="X",Tabella3[[#This Row],[MAR]]="X",Tabella3[[#This Row],[MER]]="X",Tabella3[[#This Row],[GIO]]="X",Tabella3[[#This Row],[VEN]]="X",),"X","")</f>
        <v/>
      </c>
      <c r="D328" s="85" t="s">
        <v>10</v>
      </c>
      <c r="E328" s="81" t="s">
        <v>2336</v>
      </c>
      <c r="F328" s="81">
        <v>1200</v>
      </c>
      <c r="G328" s="81" t="s">
        <v>2337</v>
      </c>
      <c r="H328" s="83"/>
      <c r="I328" s="83"/>
      <c r="J328" s="83"/>
      <c r="K328" s="83"/>
      <c r="L328" s="83"/>
      <c r="M328" s="81" t="s">
        <v>43</v>
      </c>
      <c r="N328" s="85"/>
      <c r="O328" s="85"/>
      <c r="P328" s="81"/>
      <c r="Q328" s="81"/>
      <c r="R328" s="82"/>
      <c r="S328" s="81"/>
      <c r="T328" s="132" t="str">
        <f ca="1">IF(AND('Inserimento dati'!$B$3=$H$2, Tabella3[[#This Row],[LUN]]="X"), "X",IF(AND('Inserimento dati'!$B$3=$I$2, Tabella3[[#This Row],[MAR]]="X"), "X", IF(AND('Inserimento dati'!$B$3=$J$2, Tabella3[[#This Row],[MER]]="X"), "X",IF(AND('Inserimento dati'!$B$3=$K$2, Tabella3[[#This Row],[GIO]]="X"), "X", IF(AND('Inserimento dati'!$B$3=$L$2, Tabella3[[#This Row],[VEN]]="X"), "X","")))))</f>
        <v/>
      </c>
      <c r="U328" s="149" t="str">
        <f t="shared" ca="1" si="13"/>
        <v/>
      </c>
    </row>
    <row r="329" spans="1:22" ht="30" x14ac:dyDescent="0.25">
      <c r="A329" s="84"/>
      <c r="B329" s="84">
        <v>3</v>
      </c>
      <c r="C329" s="84" t="str">
        <f>IF(OR(Tabella3[[#This Row],[LUN]]="X",Tabella3[[#This Row],[MAR]]="X",Tabella3[[#This Row],[MER]]="X",Tabella3[[#This Row],[GIO]]="X",Tabella3[[#This Row],[VEN]]="X",),"X","")</f>
        <v/>
      </c>
      <c r="D329" s="85" t="s">
        <v>10</v>
      </c>
      <c r="E329" s="81" t="s">
        <v>2338</v>
      </c>
      <c r="F329" s="81" t="s">
        <v>203</v>
      </c>
      <c r="G329" s="81" t="s">
        <v>2339</v>
      </c>
      <c r="H329" s="83"/>
      <c r="I329" s="83"/>
      <c r="J329" s="83"/>
      <c r="K329" s="83"/>
      <c r="L329" s="83"/>
      <c r="M329" s="81" t="s">
        <v>43</v>
      </c>
      <c r="N329" s="85"/>
      <c r="O329" s="85"/>
      <c r="P329" s="81"/>
      <c r="Q329" s="81"/>
      <c r="R329" s="82"/>
      <c r="S329" s="81"/>
      <c r="T329" s="132" t="str">
        <f ca="1">IF(AND('Inserimento dati'!$B$3=$H$2, Tabella3[[#This Row],[LUN]]="X"), "X",IF(AND('Inserimento dati'!$B$3=$I$2, Tabella3[[#This Row],[MAR]]="X"), "X", IF(AND('Inserimento dati'!$B$3=$J$2, Tabella3[[#This Row],[MER]]="X"), "X",IF(AND('Inserimento dati'!$B$3=$K$2, Tabella3[[#This Row],[GIO]]="X"), "X", IF(AND('Inserimento dati'!$B$3=$L$2, Tabella3[[#This Row],[VEN]]="X"), "X","")))))</f>
        <v/>
      </c>
      <c r="U329" s="145" t="str">
        <f t="shared" ca="1" si="13"/>
        <v>10217843</v>
      </c>
    </row>
    <row r="330" spans="1:22" ht="23.25" x14ac:dyDescent="0.25">
      <c r="A330" s="84"/>
      <c r="B330" s="84">
        <v>1</v>
      </c>
      <c r="C330" s="84" t="str">
        <f>IF(OR(Tabella3[[#This Row],[LUN]]="X",Tabella3[[#This Row],[MAR]]="X",Tabella3[[#This Row],[MER]]="X",Tabella3[[#This Row],[GIO]]="X",Tabella3[[#This Row],[VEN]]="X",),"X","")</f>
        <v/>
      </c>
      <c r="D330" s="85" t="s">
        <v>10</v>
      </c>
      <c r="E330" s="81" t="s">
        <v>2340</v>
      </c>
      <c r="F330" s="81" t="s">
        <v>199</v>
      </c>
      <c r="G330" s="81" t="s">
        <v>2341</v>
      </c>
      <c r="H330" s="83"/>
      <c r="I330" s="83"/>
      <c r="J330" s="83"/>
      <c r="K330" s="83"/>
      <c r="L330" s="83"/>
      <c r="M330" s="81" t="s">
        <v>43</v>
      </c>
      <c r="N330" s="85"/>
      <c r="O330" s="85"/>
      <c r="P330" s="81"/>
      <c r="Q330" s="81"/>
      <c r="R330" s="82"/>
      <c r="S330" s="81"/>
      <c r="T330" s="152" t="str">
        <f ca="1">IF(AND('Inserimento dati'!$B$3=$H$2, Tabella3[[#This Row],[LUN]]="X"), "X",IF(AND('Inserimento dati'!$B$3=$I$2, Tabella3[[#This Row],[MAR]]="X"), "X", IF(AND('Inserimento dati'!$B$3=$J$2, Tabella3[[#This Row],[MER]]="X"), "X",IF(AND('Inserimento dati'!$B$3=$K$2, Tabella3[[#This Row],[GIO]]="X"), "X", IF(AND('Inserimento dati'!$B$3=$L$2, Tabella3[[#This Row],[VEN]]="X"), "X","")))))</f>
        <v/>
      </c>
      <c r="U330" s="154" t="str">
        <f t="shared" ca="1" si="13"/>
        <v/>
      </c>
    </row>
    <row r="331" spans="1:22" ht="30" x14ac:dyDescent="0.25">
      <c r="A331" s="84"/>
      <c r="B331" s="84">
        <v>1</v>
      </c>
      <c r="C331" s="84" t="str">
        <f>IF(OR(Tabella3[[#This Row],[LUN]]="X",Tabella3[[#This Row],[MAR]]="X",Tabella3[[#This Row],[MER]]="X",Tabella3[[#This Row],[GIO]]="X",Tabella3[[#This Row],[VEN]]="X",),"X","")</f>
        <v/>
      </c>
      <c r="D331" s="85" t="s">
        <v>10</v>
      </c>
      <c r="E331" s="81" t="s">
        <v>2342</v>
      </c>
      <c r="F331" s="81">
        <v>1400</v>
      </c>
      <c r="G331" s="81" t="s">
        <v>2343</v>
      </c>
      <c r="H331" s="83"/>
      <c r="I331" s="83"/>
      <c r="J331" s="83"/>
      <c r="K331" s="83"/>
      <c r="L331" s="83"/>
      <c r="M331" s="81" t="s">
        <v>43</v>
      </c>
      <c r="N331" s="85"/>
      <c r="O331" s="85"/>
      <c r="P331" s="81"/>
      <c r="Q331" s="81"/>
      <c r="R331" s="82"/>
      <c r="S331" s="81"/>
      <c r="T331" s="152" t="str">
        <f ca="1">IF(AND('Inserimento dati'!$B$3=$H$2, Tabella3[[#This Row],[LUN]]="X"), "X",IF(AND('Inserimento dati'!$B$3=$I$2, Tabella3[[#This Row],[MAR]]="X"), "X", IF(AND('Inserimento dati'!$B$3=$J$2, Tabella3[[#This Row],[MER]]="X"), "X",IF(AND('Inserimento dati'!$B$3=$K$2, Tabella3[[#This Row],[GIO]]="X"), "X", IF(AND('Inserimento dati'!$B$3=$L$2, Tabella3[[#This Row],[VEN]]="X"), "X","")))))</f>
        <v/>
      </c>
      <c r="U331" s="154" t="str">
        <f t="shared" ca="1" si="13"/>
        <v/>
      </c>
    </row>
    <row r="332" spans="1:22" ht="23.25" x14ac:dyDescent="0.25">
      <c r="A332" s="84"/>
      <c r="B332" s="84">
        <v>2</v>
      </c>
      <c r="C332" s="84" t="str">
        <f>IF(OR(Tabella3[[#This Row],[LUN]]="X",Tabella3[[#This Row],[MAR]]="X",Tabella3[[#This Row],[MER]]="X",Tabella3[[#This Row],[GIO]]="X",Tabella3[[#This Row],[VEN]]="X",),"X","")</f>
        <v/>
      </c>
      <c r="D332" s="85" t="s">
        <v>10</v>
      </c>
      <c r="E332" s="81" t="s">
        <v>2344</v>
      </c>
      <c r="F332" s="81">
        <v>1800</v>
      </c>
      <c r="G332" s="81" t="s">
        <v>2345</v>
      </c>
      <c r="H332" s="83"/>
      <c r="I332" s="83"/>
      <c r="J332" s="83"/>
      <c r="K332" s="83"/>
      <c r="L332" s="83"/>
      <c r="M332" s="81" t="s">
        <v>43</v>
      </c>
      <c r="N332" s="85"/>
      <c r="O332" s="85"/>
      <c r="P332" s="81"/>
      <c r="Q332" s="81"/>
      <c r="R332" s="82"/>
      <c r="S332" s="81"/>
      <c r="T332" s="138" t="str">
        <f ca="1">IF(AND('Inserimento dati'!$B$3=$H$2, Tabella3[[#This Row],[LUN]]="X"), "X",IF(AND('Inserimento dati'!$B$3=$I$2, Tabella3[[#This Row],[MAR]]="X"), "X", IF(AND('Inserimento dati'!$B$3=$J$2, Tabella3[[#This Row],[MER]]="X"), "X",IF(AND('Inserimento dati'!$B$3=$K$2, Tabella3[[#This Row],[GIO]]="X"), "X", IF(AND('Inserimento dati'!$B$3=$L$2, Tabella3[[#This Row],[VEN]]="X"), "X","")))))</f>
        <v/>
      </c>
      <c r="U332" s="154" t="str">
        <f t="shared" ca="1" si="13"/>
        <v>10218020</v>
      </c>
    </row>
    <row r="333" spans="1:22" ht="23.25" x14ac:dyDescent="0.25">
      <c r="A333" s="84"/>
      <c r="B333" s="84">
        <v>2</v>
      </c>
      <c r="C333" s="84" t="str">
        <f>IF(OR(Tabella3[[#This Row],[LUN]]="X",Tabella3[[#This Row],[MAR]]="X",Tabella3[[#This Row],[MER]]="X",Tabella3[[#This Row],[GIO]]="X",Tabella3[[#This Row],[VEN]]="X",),"X","")</f>
        <v/>
      </c>
      <c r="D333" s="85" t="s">
        <v>10</v>
      </c>
      <c r="E333" s="81" t="s">
        <v>2346</v>
      </c>
      <c r="F333" s="81">
        <v>1100</v>
      </c>
      <c r="G333" s="81" t="s">
        <v>2347</v>
      </c>
      <c r="H333" s="83"/>
      <c r="I333" s="83"/>
      <c r="J333" s="83"/>
      <c r="K333" s="83"/>
      <c r="L333" s="83"/>
      <c r="M333" s="81" t="s">
        <v>43</v>
      </c>
      <c r="N333" s="85"/>
      <c r="O333" s="85"/>
      <c r="P333" s="81"/>
      <c r="Q333" s="81"/>
      <c r="R333" s="82"/>
      <c r="S333" s="81"/>
      <c r="T333" s="138" t="str">
        <f ca="1">IF(AND('Inserimento dati'!$B$3=$H$2, Tabella3[[#This Row],[LUN]]="X"), "X",IF(AND('Inserimento dati'!$B$3=$I$2, Tabella3[[#This Row],[MAR]]="X"), "X", IF(AND('Inserimento dati'!$B$3=$J$2, Tabella3[[#This Row],[MER]]="X"), "X",IF(AND('Inserimento dati'!$B$3=$K$2, Tabella3[[#This Row],[GIO]]="X"), "X", IF(AND('Inserimento dati'!$B$3=$L$2, Tabella3[[#This Row],[VEN]]="X"), "X","")))))</f>
        <v/>
      </c>
      <c r="U333" s="154" t="str">
        <f t="shared" ca="1" si="13"/>
        <v>10218012</v>
      </c>
    </row>
    <row r="334" spans="1:22" ht="23.25" x14ac:dyDescent="0.25">
      <c r="A334" s="84"/>
      <c r="B334" s="84">
        <v>2</v>
      </c>
      <c r="C334" s="84" t="str">
        <f>IF(OR(Tabella3[[#This Row],[LUN]]="X",Tabella3[[#This Row],[MAR]]="X",Tabella3[[#This Row],[MER]]="X",Tabella3[[#This Row],[GIO]]="X",Tabella3[[#This Row],[VEN]]="X",),"X","")</f>
        <v/>
      </c>
      <c r="D334" s="85" t="s">
        <v>10</v>
      </c>
      <c r="E334" s="81" t="s">
        <v>2348</v>
      </c>
      <c r="F334" s="81" t="s">
        <v>201</v>
      </c>
      <c r="G334" s="81" t="s">
        <v>2349</v>
      </c>
      <c r="H334" s="83"/>
      <c r="I334" s="83"/>
      <c r="J334" s="83"/>
      <c r="K334" s="83"/>
      <c r="L334" s="83"/>
      <c r="M334" s="81" t="s">
        <v>43</v>
      </c>
      <c r="N334" s="85"/>
      <c r="O334" s="85"/>
      <c r="P334" s="81"/>
      <c r="Q334" s="81"/>
      <c r="R334" s="82"/>
      <c r="S334" s="81"/>
      <c r="T334" s="152" t="str">
        <f ca="1">IF(AND('Inserimento dati'!$B$3=$H$2, Tabella3[[#This Row],[LUN]]="X"), "X",IF(AND('Inserimento dati'!$B$3=$I$2, Tabella3[[#This Row],[MAR]]="X"), "X", IF(AND('Inserimento dati'!$B$3=$J$2, Tabella3[[#This Row],[MER]]="X"), "X",IF(AND('Inserimento dati'!$B$3=$K$2, Tabella3[[#This Row],[GIO]]="X"), "X", IF(AND('Inserimento dati'!$B$3=$L$2, Tabella3[[#This Row],[VEN]]="X"), "X","")))))</f>
        <v/>
      </c>
      <c r="U334" s="154" t="str">
        <f t="shared" ca="1" si="13"/>
        <v>10224036</v>
      </c>
    </row>
    <row r="335" spans="1:22" ht="30" x14ac:dyDescent="0.25">
      <c r="A335" s="84"/>
      <c r="B335" s="84" t="str">
        <f>IF(OR(A335="x",A335="X"),"",IF(ISBLANK(A335),"X",""))</f>
        <v>X</v>
      </c>
      <c r="C335" s="84" t="str">
        <f>IF(OR(Tabella3[[#This Row],[LUN]]="X",Tabella3[[#This Row],[MAR]]="X",Tabella3[[#This Row],[MER]]="X",Tabella3[[#This Row],[GIO]]="X",Tabella3[[#This Row],[VEN]]="X",),"X","")</f>
        <v/>
      </c>
      <c r="D335" s="85" t="s">
        <v>10</v>
      </c>
      <c r="E335" s="81" t="s">
        <v>2350</v>
      </c>
      <c r="F335" s="81" t="s">
        <v>198</v>
      </c>
      <c r="G335" s="81" t="s">
        <v>2351</v>
      </c>
      <c r="H335" s="83"/>
      <c r="I335" s="83"/>
      <c r="J335" s="83"/>
      <c r="K335" s="83"/>
      <c r="L335" s="83"/>
      <c r="M335" s="81" t="s">
        <v>43</v>
      </c>
      <c r="N335" s="85"/>
      <c r="O335" s="85"/>
      <c r="P335" s="81"/>
      <c r="Q335" s="81" t="s">
        <v>2352</v>
      </c>
      <c r="R335" s="82">
        <v>45783</v>
      </c>
      <c r="S335" s="81" t="s">
        <v>45</v>
      </c>
      <c r="T335" s="138" t="str">
        <f ca="1">IF(AND('Inserimento dati'!$B$3=$H$2, Tabella3[[#This Row],[LUN]]="X"), "X",IF(AND('Inserimento dati'!$B$3=$I$2, Tabella3[[#This Row],[MAR]]="X"), "X", IF(AND('Inserimento dati'!$B$3=$J$2, Tabella3[[#This Row],[MER]]="X"), "X",IF(AND('Inserimento dati'!$B$3=$K$2, Tabella3[[#This Row],[GIO]]="X"), "X", IF(AND('Inserimento dati'!$B$3=$L$2, Tabella3[[#This Row],[VEN]]="X"), "X","")))))</f>
        <v/>
      </c>
      <c r="U335" s="154" t="str">
        <f t="shared" ca="1" si="13"/>
        <v/>
      </c>
      <c r="V335" s="176">
        <v>45954.348854166667</v>
      </c>
    </row>
    <row r="336" spans="1:22" ht="30" x14ac:dyDescent="0.25">
      <c r="A336" s="84"/>
      <c r="B336" s="84">
        <v>3</v>
      </c>
      <c r="C336" s="84" t="str">
        <f>IF(OR(Tabella3[[#This Row],[LUN]]="X",Tabella3[[#This Row],[MAR]]="X",Tabella3[[#This Row],[MER]]="X",Tabella3[[#This Row],[GIO]]="X",Tabella3[[#This Row],[VEN]]="X",),"X","")</f>
        <v/>
      </c>
      <c r="D336" s="85" t="s">
        <v>10</v>
      </c>
      <c r="E336" s="81" t="s">
        <v>2353</v>
      </c>
      <c r="F336" s="81">
        <v>700</v>
      </c>
      <c r="G336" s="81" t="s">
        <v>2354</v>
      </c>
      <c r="H336" s="83"/>
      <c r="I336" s="83"/>
      <c r="J336" s="83"/>
      <c r="K336" s="83"/>
      <c r="L336" s="83"/>
      <c r="M336" s="81" t="s">
        <v>43</v>
      </c>
      <c r="N336" s="85"/>
      <c r="O336" s="85"/>
      <c r="P336" s="81"/>
      <c r="Q336" s="81"/>
      <c r="R336" s="82"/>
      <c r="S336" s="81"/>
      <c r="T336" s="150" t="str">
        <f ca="1">IF(AND('Inserimento dati'!$B$3=$H$2, Tabella3[[#This Row],[LUN]]="X"), "X",IF(AND('Inserimento dati'!$B$3=$I$2, Tabella3[[#This Row],[MAR]]="X"), "X", IF(AND('Inserimento dati'!$B$3=$J$2, Tabella3[[#This Row],[MER]]="X"), "X",IF(AND('Inserimento dati'!$B$3=$K$2, Tabella3[[#This Row],[GIO]]="X"), "X", IF(AND('Inserimento dati'!$B$3=$L$2, Tabella3[[#This Row],[VEN]]="X"), "X","")))))</f>
        <v/>
      </c>
      <c r="U336" s="145" t="str">
        <f t="shared" ca="1" si="13"/>
        <v>10222434</v>
      </c>
    </row>
    <row r="337" spans="1:22" ht="23.25" x14ac:dyDescent="0.25">
      <c r="A337" s="84"/>
      <c r="B337" s="84">
        <v>1</v>
      </c>
      <c r="C337" s="84" t="str">
        <f>IF(OR(Tabella3[[#This Row],[LUN]]="X",Tabella3[[#This Row],[MAR]]="X",Tabella3[[#This Row],[MER]]="X",Tabella3[[#This Row],[GIO]]="X",Tabella3[[#This Row],[VEN]]="X",),"X","")</f>
        <v/>
      </c>
      <c r="D337" s="85" t="s">
        <v>10</v>
      </c>
      <c r="E337" s="81" t="s">
        <v>2355</v>
      </c>
      <c r="F337" s="81" t="s">
        <v>203</v>
      </c>
      <c r="G337" s="81" t="s">
        <v>2356</v>
      </c>
      <c r="H337" s="83"/>
      <c r="I337" s="83"/>
      <c r="J337" s="83"/>
      <c r="K337" s="83"/>
      <c r="L337" s="83"/>
      <c r="M337" s="81" t="s">
        <v>43</v>
      </c>
      <c r="N337" s="85"/>
      <c r="O337" s="85"/>
      <c r="P337" s="81"/>
      <c r="Q337" s="81" t="s">
        <v>2357</v>
      </c>
      <c r="R337" s="82"/>
      <c r="S337" s="81"/>
      <c r="T337" s="152" t="str">
        <f ca="1">IF(AND('Inserimento dati'!$B$3=$H$2, Tabella3[[#This Row],[LUN]]="X"), "X",IF(AND('Inserimento dati'!$B$3=$I$2, Tabella3[[#This Row],[MAR]]="X"), "X", IF(AND('Inserimento dati'!$B$3=$J$2, Tabella3[[#This Row],[MER]]="X"), "X",IF(AND('Inserimento dati'!$B$3=$K$2, Tabella3[[#This Row],[GIO]]="X"), "X", IF(AND('Inserimento dati'!$B$3=$L$2, Tabella3[[#This Row],[VEN]]="X"), "X","")))))</f>
        <v/>
      </c>
      <c r="U337" s="154" t="str">
        <f t="shared" ca="1" si="13"/>
        <v/>
      </c>
    </row>
    <row r="338" spans="1:22" ht="23.25" x14ac:dyDescent="0.25">
      <c r="A338" s="84"/>
      <c r="B338" s="84">
        <v>3</v>
      </c>
      <c r="C338" s="84" t="str">
        <f>IF(OR(Tabella3[[#This Row],[LUN]]="X",Tabella3[[#This Row],[MAR]]="X",Tabella3[[#This Row],[MER]]="X",Tabella3[[#This Row],[GIO]]="X",Tabella3[[#This Row],[VEN]]="X",),"X","")</f>
        <v/>
      </c>
      <c r="D338" s="85" t="s">
        <v>10</v>
      </c>
      <c r="E338" s="81" t="s">
        <v>2358</v>
      </c>
      <c r="F338" s="81" t="s">
        <v>199</v>
      </c>
      <c r="G338" s="81" t="s">
        <v>2359</v>
      </c>
      <c r="H338" s="83"/>
      <c r="I338" s="83"/>
      <c r="J338" s="83"/>
      <c r="K338" s="83"/>
      <c r="L338" s="83"/>
      <c r="M338" s="81" t="s">
        <v>43</v>
      </c>
      <c r="N338" s="85"/>
      <c r="O338" s="85"/>
      <c r="P338" s="81"/>
      <c r="Q338" s="81" t="s">
        <v>2360</v>
      </c>
      <c r="R338" s="82">
        <v>45825</v>
      </c>
      <c r="S338" s="81" t="s">
        <v>238</v>
      </c>
      <c r="T338" s="132" t="str">
        <f ca="1">IF(AND('Inserimento dati'!$B$3=$H$2, Tabella3[[#This Row],[LUN]]="X"), "X",IF(AND('Inserimento dati'!$B$3=$I$2, Tabella3[[#This Row],[MAR]]="X"), "X", IF(AND('Inserimento dati'!$B$3=$J$2, Tabella3[[#This Row],[MER]]="X"), "X",IF(AND('Inserimento dati'!$B$3=$K$2, Tabella3[[#This Row],[GIO]]="X"), "X", IF(AND('Inserimento dati'!$B$3=$L$2, Tabella3[[#This Row],[VEN]]="X"), "X","")))))</f>
        <v/>
      </c>
      <c r="U338" s="149" t="str">
        <f t="shared" ca="1" si="13"/>
        <v/>
      </c>
    </row>
    <row r="339" spans="1:22" ht="30" x14ac:dyDescent="0.25">
      <c r="A339" s="84"/>
      <c r="B339" s="84"/>
      <c r="C339" s="84" t="str">
        <f>IF(OR(Tabella3[[#This Row],[LUN]]="X",Tabella3[[#This Row],[MAR]]="X",Tabella3[[#This Row],[MER]]="X",Tabella3[[#This Row],[GIO]]="X",Tabella3[[#This Row],[VEN]]="X",),"X","")</f>
        <v/>
      </c>
      <c r="D339" s="85" t="s">
        <v>10</v>
      </c>
      <c r="E339" s="81" t="s">
        <v>2361</v>
      </c>
      <c r="F339" s="81">
        <v>1800</v>
      </c>
      <c r="G339" s="81" t="s">
        <v>2362</v>
      </c>
      <c r="H339" s="83"/>
      <c r="I339" s="83"/>
      <c r="J339" s="83"/>
      <c r="K339" s="83"/>
      <c r="L339" s="83"/>
      <c r="M339" s="81" t="s">
        <v>43</v>
      </c>
      <c r="N339" s="85"/>
      <c r="O339" s="85"/>
      <c r="P339" s="81"/>
      <c r="Q339" s="81"/>
      <c r="R339" s="82"/>
      <c r="S339" s="81"/>
      <c r="T339" s="132" t="str">
        <f ca="1">IF(AND('Inserimento dati'!$B$3=$H$2, Tabella3[[#This Row],[LUN]]="X"), "X",IF(AND('Inserimento dati'!$B$3=$I$2, Tabella3[[#This Row],[MAR]]="X"), "X", IF(AND('Inserimento dati'!$B$3=$J$2, Tabella3[[#This Row],[MER]]="X"), "X",IF(AND('Inserimento dati'!$B$3=$K$2, Tabella3[[#This Row],[GIO]]="X"), "X", IF(AND('Inserimento dati'!$B$3=$L$2, Tabella3[[#This Row],[VEN]]="X"), "X","")))))</f>
        <v/>
      </c>
      <c r="U339" s="149" t="str">
        <f t="shared" ca="1" si="13"/>
        <v/>
      </c>
    </row>
    <row r="340" spans="1:22" ht="30" x14ac:dyDescent="0.25">
      <c r="A340" s="84" t="s">
        <v>8</v>
      </c>
      <c r="B340" s="84"/>
      <c r="C340" s="84" t="str">
        <f>IF(OR(Tabella3[[#This Row],[LUN]]="X",Tabella3[[#This Row],[MAR]]="X",Tabella3[[#This Row],[MER]]="X",Tabella3[[#This Row],[GIO]]="X",Tabella3[[#This Row],[VEN]]="X",),"X","")</f>
        <v/>
      </c>
      <c r="D340" s="85" t="s">
        <v>10</v>
      </c>
      <c r="E340" s="81" t="s">
        <v>2363</v>
      </c>
      <c r="F340" s="81">
        <v>1200</v>
      </c>
      <c r="G340" s="81" t="s">
        <v>2364</v>
      </c>
      <c r="H340" s="83"/>
      <c r="I340" s="83"/>
      <c r="J340" s="83"/>
      <c r="K340" s="83"/>
      <c r="L340" s="83"/>
      <c r="M340" s="81" t="s">
        <v>43</v>
      </c>
      <c r="N340" s="85"/>
      <c r="O340" s="85"/>
      <c r="P340" s="81"/>
      <c r="Q340" s="81" t="s">
        <v>2365</v>
      </c>
      <c r="R340" s="82"/>
      <c r="S340" s="81"/>
      <c r="T340" s="132" t="str">
        <f ca="1">IF(AND('Inserimento dati'!$B$3=$H$2, Tabella3[[#This Row],[LUN]]="X"), "X",IF(AND('Inserimento dati'!$B$3=$I$2, Tabella3[[#This Row],[MAR]]="X"), "X", IF(AND('Inserimento dati'!$B$3=$J$2, Tabella3[[#This Row],[MER]]="X"), "X",IF(AND('Inserimento dati'!$B$3=$K$2, Tabella3[[#This Row],[GIO]]="X"), "X", IF(AND('Inserimento dati'!$B$3=$L$2, Tabella3[[#This Row],[VEN]]="X"), "X","")))))</f>
        <v/>
      </c>
      <c r="U340" s="66" t="str">
        <f t="shared" ca="1" si="13"/>
        <v/>
      </c>
    </row>
    <row r="341" spans="1:22" ht="45" x14ac:dyDescent="0.25">
      <c r="A341" s="84" t="s">
        <v>8</v>
      </c>
      <c r="B341" s="84"/>
      <c r="C341" s="84" t="str">
        <f>IF(OR(Tabella3[[#This Row],[LUN]]="X",Tabella3[[#This Row],[MAR]]="X",Tabella3[[#This Row],[MER]]="X",Tabella3[[#This Row],[GIO]]="X",Tabella3[[#This Row],[VEN]]="X",),"X","")</f>
        <v/>
      </c>
      <c r="D341" s="85" t="s">
        <v>10</v>
      </c>
      <c r="E341" s="81" t="s">
        <v>2368</v>
      </c>
      <c r="F341" s="81">
        <v>1200</v>
      </c>
      <c r="G341" s="81" t="s">
        <v>2369</v>
      </c>
      <c r="H341" s="83"/>
      <c r="I341" s="83"/>
      <c r="J341" s="83"/>
      <c r="K341" s="83"/>
      <c r="L341" s="83"/>
      <c r="M341" s="81" t="s">
        <v>43</v>
      </c>
      <c r="N341" s="85"/>
      <c r="O341" s="85"/>
      <c r="P341" s="81"/>
      <c r="Q341" s="81" t="s">
        <v>2365</v>
      </c>
      <c r="R341" s="82"/>
      <c r="S341" s="81"/>
      <c r="T341" s="132" t="str">
        <f ca="1">IF(AND('Inserimento dati'!$B$3=$H$2, Tabella3[[#This Row],[LUN]]="X"), "X",IF(AND('Inserimento dati'!$B$3=$I$2, Tabella3[[#This Row],[MAR]]="X"), "X", IF(AND('Inserimento dati'!$B$3=$J$2, Tabella3[[#This Row],[MER]]="X"), "X",IF(AND('Inserimento dati'!$B$3=$K$2, Tabella3[[#This Row],[GIO]]="X"), "X", IF(AND('Inserimento dati'!$B$3=$L$2, Tabella3[[#This Row],[VEN]]="X"), "X","")))))</f>
        <v/>
      </c>
      <c r="U341" s="66" t="str">
        <f t="shared" ca="1" si="13"/>
        <v/>
      </c>
    </row>
    <row r="342" spans="1:22" ht="23.25" x14ac:dyDescent="0.25">
      <c r="A342" s="84"/>
      <c r="B342" s="84"/>
      <c r="C342" s="84" t="str">
        <f>IF(OR(Tabella3[[#This Row],[LUN]]="X",Tabella3[[#This Row],[MAR]]="X",Tabella3[[#This Row],[MER]]="X",Tabella3[[#This Row],[GIO]]="X",Tabella3[[#This Row],[VEN]]="X",),"X","")</f>
        <v/>
      </c>
      <c r="D342" s="85" t="s">
        <v>10</v>
      </c>
      <c r="E342" s="81" t="s">
        <v>2370</v>
      </c>
      <c r="F342" s="81">
        <v>1800</v>
      </c>
      <c r="G342" s="81" t="s">
        <v>2371</v>
      </c>
      <c r="H342" s="83"/>
      <c r="I342" s="83"/>
      <c r="J342" s="83"/>
      <c r="K342" s="83"/>
      <c r="L342" s="83"/>
      <c r="M342" s="81" t="s">
        <v>43</v>
      </c>
      <c r="N342" s="85"/>
      <c r="O342" s="85"/>
      <c r="P342" s="81"/>
      <c r="Q342" s="81" t="s">
        <v>2372</v>
      </c>
      <c r="R342" s="82">
        <v>45847</v>
      </c>
      <c r="S342" s="81" t="s">
        <v>238</v>
      </c>
      <c r="T342" s="132" t="str">
        <f ca="1">IF(AND('Inserimento dati'!$B$3=$H$2, Tabella3[[#This Row],[LUN]]="X"), "X",IF(AND('Inserimento dati'!$B$3=$I$2, Tabella3[[#This Row],[MAR]]="X"), "X", IF(AND('Inserimento dati'!$B$3=$J$2, Tabella3[[#This Row],[MER]]="X"), "X",IF(AND('Inserimento dati'!$B$3=$K$2, Tabella3[[#This Row],[GIO]]="X"), "X", IF(AND('Inserimento dati'!$B$3=$L$2, Tabella3[[#This Row],[VEN]]="X"), "X","")))))</f>
        <v/>
      </c>
      <c r="U342" s="66" t="str">
        <f t="shared" ca="1" si="13"/>
        <v/>
      </c>
    </row>
    <row r="343" spans="1:22" ht="30" x14ac:dyDescent="0.25">
      <c r="A343" s="84"/>
      <c r="B343" s="84" t="str">
        <f>IF(OR(A343="x",A343="X"),"",IF(ISBLANK(A343),"X",""))</f>
        <v>X</v>
      </c>
      <c r="C343" s="84" t="str">
        <f>IF(OR(Tabella3[[#This Row],[LUN]]="X",Tabella3[[#This Row],[MAR]]="X",Tabella3[[#This Row],[MER]]="X",Tabella3[[#This Row],[GIO]]="X",Tabella3[[#This Row],[VEN]]="X",),"X","")</f>
        <v/>
      </c>
      <c r="D343" s="85" t="s">
        <v>10</v>
      </c>
      <c r="E343" s="81" t="s">
        <v>100</v>
      </c>
      <c r="F343" s="81" t="s">
        <v>160</v>
      </c>
      <c r="G343" s="81" t="s">
        <v>2373</v>
      </c>
      <c r="H343" s="83"/>
      <c r="I343" s="83"/>
      <c r="J343" s="83"/>
      <c r="K343" s="83"/>
      <c r="L343" s="83"/>
      <c r="M343" s="81" t="s">
        <v>43</v>
      </c>
      <c r="N343" s="85" t="s">
        <v>8</v>
      </c>
      <c r="O343" s="85"/>
      <c r="P343" s="81"/>
      <c r="Q343" s="81" t="s">
        <v>3477</v>
      </c>
      <c r="R343" s="82">
        <v>45817</v>
      </c>
      <c r="S343" s="81" t="s">
        <v>107</v>
      </c>
      <c r="T343" s="132" t="str">
        <f ca="1">IF(AND('Inserimento dati'!$B$3=$H$2, Tabella3[[#This Row],[LUN]]="X"), "X",IF(AND('Inserimento dati'!$B$3=$I$2, Tabella3[[#This Row],[MAR]]="X"), "X", IF(AND('Inserimento dati'!$B$3=$J$2, Tabella3[[#This Row],[MER]]="X"), "X",IF(AND('Inserimento dati'!$B$3=$K$2, Tabella3[[#This Row],[GIO]]="X"), "X", IF(AND('Inserimento dati'!$B$3=$L$2, Tabella3[[#This Row],[VEN]]="X"), "X","")))))</f>
        <v/>
      </c>
      <c r="U343" s="145" t="str">
        <f t="shared" ca="1" si="13"/>
        <v>00000002</v>
      </c>
    </row>
    <row r="344" spans="1:22" ht="30" x14ac:dyDescent="0.25">
      <c r="A344" s="84" t="s">
        <v>8</v>
      </c>
      <c r="B344" s="84"/>
      <c r="C344" s="84" t="str">
        <f>IF(OR(Tabella3[[#This Row],[LUN]]="X",Tabella3[[#This Row],[MAR]]="X",Tabella3[[#This Row],[MER]]="X",Tabella3[[#This Row],[GIO]]="X",Tabella3[[#This Row],[VEN]]="X",),"X","")</f>
        <v/>
      </c>
      <c r="D344" s="85" t="s">
        <v>10</v>
      </c>
      <c r="E344" s="81" t="s">
        <v>2374</v>
      </c>
      <c r="F344" s="81">
        <v>1200</v>
      </c>
      <c r="G344" s="81" t="s">
        <v>2375</v>
      </c>
      <c r="H344" s="83"/>
      <c r="I344" s="83"/>
      <c r="J344" s="83"/>
      <c r="K344" s="83"/>
      <c r="L344" s="83"/>
      <c r="M344" s="81" t="s">
        <v>43</v>
      </c>
      <c r="N344" s="85"/>
      <c r="O344" s="85"/>
      <c r="P344" s="81"/>
      <c r="Q344" s="81" t="s">
        <v>2376</v>
      </c>
      <c r="R344" s="82">
        <v>45856</v>
      </c>
      <c r="S344" s="81" t="s">
        <v>2377</v>
      </c>
      <c r="T344" s="132" t="str">
        <f ca="1">IF(AND('Inserimento dati'!$B$3=$H$2, Tabella3[[#This Row],[LUN]]="X"), "X",IF(AND('Inserimento dati'!$B$3=$I$2, Tabella3[[#This Row],[MAR]]="X"), "X", IF(AND('Inserimento dati'!$B$3=$J$2, Tabella3[[#This Row],[MER]]="X"), "X",IF(AND('Inserimento dati'!$B$3=$K$2, Tabella3[[#This Row],[GIO]]="X"), "X", IF(AND('Inserimento dati'!$B$3=$L$2, Tabella3[[#This Row],[VEN]]="X"), "X","")))))</f>
        <v/>
      </c>
      <c r="U344" s="66" t="str">
        <f t="shared" ca="1" si="13"/>
        <v/>
      </c>
    </row>
    <row r="345" spans="1:22" ht="30" x14ac:dyDescent="0.25">
      <c r="A345" s="84"/>
      <c r="B345" s="84"/>
      <c r="C345" s="84" t="str">
        <f>IF(OR(Tabella3[[#This Row],[LUN]]="X",Tabella3[[#This Row],[MAR]]="X",Tabella3[[#This Row],[MER]]="X",Tabella3[[#This Row],[GIO]]="X",Tabella3[[#This Row],[VEN]]="X",),"X","")</f>
        <v/>
      </c>
      <c r="D345" s="85" t="s">
        <v>10</v>
      </c>
      <c r="E345" s="81" t="s">
        <v>2378</v>
      </c>
      <c r="F345" s="81">
        <v>1200</v>
      </c>
      <c r="G345" s="81" t="s">
        <v>2379</v>
      </c>
      <c r="H345" s="83"/>
      <c r="I345" s="83"/>
      <c r="J345" s="83"/>
      <c r="K345" s="83"/>
      <c r="L345" s="83"/>
      <c r="M345" s="81" t="s">
        <v>43</v>
      </c>
      <c r="N345" s="85"/>
      <c r="O345" s="85"/>
      <c r="P345" s="81"/>
      <c r="Q345" s="81"/>
      <c r="R345" s="82"/>
      <c r="S345" s="81"/>
      <c r="T345" s="132" t="str">
        <f ca="1">IF(AND('Inserimento dati'!$B$3=$H$2, Tabella3[[#This Row],[LUN]]="X"), "X",IF(AND('Inserimento dati'!$B$3=$I$2, Tabella3[[#This Row],[MAR]]="X"), "X", IF(AND('Inserimento dati'!$B$3=$J$2, Tabella3[[#This Row],[MER]]="X"), "X",IF(AND('Inserimento dati'!$B$3=$K$2, Tabella3[[#This Row],[GIO]]="X"), "X", IF(AND('Inserimento dati'!$B$3=$L$2, Tabella3[[#This Row],[VEN]]="X"), "X","")))))</f>
        <v/>
      </c>
      <c r="U345" s="66" t="str">
        <f t="shared" ca="1" si="13"/>
        <v>10227873</v>
      </c>
    </row>
    <row r="346" spans="1:22" ht="30" x14ac:dyDescent="0.25">
      <c r="A346" s="84"/>
      <c r="B346" s="84"/>
      <c r="C346" s="84" t="str">
        <f>IF(OR(Tabella3[[#This Row],[LUN]]="X",Tabella3[[#This Row],[MAR]]="X",Tabella3[[#This Row],[MER]]="X",Tabella3[[#This Row],[GIO]]="X",Tabella3[[#This Row],[VEN]]="X",),"X","")</f>
        <v/>
      </c>
      <c r="D346" s="85" t="s">
        <v>10</v>
      </c>
      <c r="E346" s="81" t="s">
        <v>2380</v>
      </c>
      <c r="F346" s="81">
        <v>1200</v>
      </c>
      <c r="G346" s="81" t="s">
        <v>2381</v>
      </c>
      <c r="H346" s="83"/>
      <c r="I346" s="83"/>
      <c r="J346" s="83"/>
      <c r="K346" s="83"/>
      <c r="L346" s="83"/>
      <c r="M346" s="81" t="s">
        <v>43</v>
      </c>
      <c r="N346" s="85"/>
      <c r="O346" s="85"/>
      <c r="P346" s="81"/>
      <c r="Q346" s="81"/>
      <c r="R346" s="82"/>
      <c r="S346" s="81"/>
      <c r="T346" s="132" t="str">
        <f ca="1">IF(AND('Inserimento dati'!$B$3=$H$2, Tabella3[[#This Row],[LUN]]="X"), "X",IF(AND('Inserimento dati'!$B$3=$I$2, Tabella3[[#This Row],[MAR]]="X"), "X", IF(AND('Inserimento dati'!$B$3=$J$2, Tabella3[[#This Row],[MER]]="X"), "X",IF(AND('Inserimento dati'!$B$3=$K$2, Tabella3[[#This Row],[GIO]]="X"), "X", IF(AND('Inserimento dati'!$B$3=$L$2, Tabella3[[#This Row],[VEN]]="X"), "X","")))))</f>
        <v/>
      </c>
      <c r="U346" s="66" t="str">
        <f t="shared" ca="1" si="13"/>
        <v/>
      </c>
    </row>
    <row r="347" spans="1:22" ht="45" x14ac:dyDescent="0.25">
      <c r="A347" s="84"/>
      <c r="B347" s="84"/>
      <c r="C347" s="84" t="str">
        <f>IF(OR(Tabella3[[#This Row],[LUN]]="X",Tabella3[[#This Row],[MAR]]="X",Tabella3[[#This Row],[MER]]="X",Tabella3[[#This Row],[GIO]]="X",Tabella3[[#This Row],[VEN]]="X",),"X","")</f>
        <v/>
      </c>
      <c r="D347" s="85" t="s">
        <v>10</v>
      </c>
      <c r="E347" s="81" t="s">
        <v>127</v>
      </c>
      <c r="F347" s="81">
        <v>1200</v>
      </c>
      <c r="G347" s="81" t="s">
        <v>2382</v>
      </c>
      <c r="H347" s="83"/>
      <c r="I347" s="83"/>
      <c r="J347" s="83"/>
      <c r="K347" s="83"/>
      <c r="L347" s="83"/>
      <c r="M347" s="81" t="s">
        <v>43</v>
      </c>
      <c r="N347" s="85"/>
      <c r="O347" s="85"/>
      <c r="P347" s="81"/>
      <c r="Q347" s="81" t="s">
        <v>140</v>
      </c>
      <c r="R347" s="82"/>
      <c r="S347" s="81"/>
      <c r="T347" s="132" t="str">
        <f ca="1">IF(AND('Inserimento dati'!$B$3=$H$2, Tabella3[[#This Row],[LUN]]="X"), "X",IF(AND('Inserimento dati'!$B$3=$I$2, Tabella3[[#This Row],[MAR]]="X"), "X", IF(AND('Inserimento dati'!$B$3=$J$2, Tabella3[[#This Row],[MER]]="X"), "X",IF(AND('Inserimento dati'!$B$3=$K$2, Tabella3[[#This Row],[GIO]]="X"), "X", IF(AND('Inserimento dati'!$B$3=$L$2, Tabella3[[#This Row],[VEN]]="X"), "X","")))))</f>
        <v/>
      </c>
      <c r="U347" s="66" t="str">
        <f t="shared" ca="1" si="13"/>
        <v>10227344</v>
      </c>
    </row>
    <row r="348" spans="1:22" ht="23.25" x14ac:dyDescent="0.25">
      <c r="A348" s="84"/>
      <c r="B348" s="84"/>
      <c r="C348" s="84" t="str">
        <f>IF(OR(Tabella3[[#This Row],[LUN]]="X",Tabella3[[#This Row],[MAR]]="X",Tabella3[[#This Row],[MER]]="X",Tabella3[[#This Row],[GIO]]="X",Tabella3[[#This Row],[VEN]]="X",),"X","")</f>
        <v/>
      </c>
      <c r="D348" s="85" t="s">
        <v>10</v>
      </c>
      <c r="E348" s="81" t="s">
        <v>2383</v>
      </c>
      <c r="F348" s="81">
        <v>800</v>
      </c>
      <c r="G348" s="81" t="s">
        <v>2384</v>
      </c>
      <c r="H348" s="83"/>
      <c r="I348" s="83"/>
      <c r="J348" s="83"/>
      <c r="K348" s="83"/>
      <c r="L348" s="83"/>
      <c r="M348" s="81" t="s">
        <v>43</v>
      </c>
      <c r="N348" s="85"/>
      <c r="O348" s="85"/>
      <c r="P348" s="81"/>
      <c r="Q348" s="81" t="s">
        <v>2385</v>
      </c>
      <c r="R348" s="82">
        <v>45880</v>
      </c>
      <c r="S348" s="81" t="s">
        <v>1403</v>
      </c>
      <c r="T348" s="132" t="str">
        <f ca="1">IF(AND('Inserimento dati'!$B$3=$H$2, Tabella3[[#This Row],[LUN]]="X"), "X",IF(AND('Inserimento dati'!$B$3=$I$2, Tabella3[[#This Row],[MAR]]="X"), "X", IF(AND('Inserimento dati'!$B$3=$J$2, Tabella3[[#This Row],[MER]]="X"), "X",IF(AND('Inserimento dati'!$B$3=$K$2, Tabella3[[#This Row],[GIO]]="X"), "X", IF(AND('Inserimento dati'!$B$3=$L$2, Tabella3[[#This Row],[VEN]]="X"), "X","")))))</f>
        <v/>
      </c>
      <c r="U348" s="66" t="str">
        <f t="shared" ca="1" si="13"/>
        <v>10228704</v>
      </c>
    </row>
    <row r="349" spans="1:22" ht="23.25" x14ac:dyDescent="0.25">
      <c r="A349" s="84"/>
      <c r="B349" s="84"/>
      <c r="C349" s="84" t="str">
        <f>IF(OR(Tabella3[[#This Row],[LUN]]="X",Tabella3[[#This Row],[MAR]]="X",Tabella3[[#This Row],[MER]]="X",Tabella3[[#This Row],[GIO]]="X",Tabella3[[#This Row],[VEN]]="X",),"X","")</f>
        <v/>
      </c>
      <c r="D349" s="85" t="s">
        <v>10</v>
      </c>
      <c r="E349" s="81" t="s">
        <v>2386</v>
      </c>
      <c r="F349" s="81">
        <v>700</v>
      </c>
      <c r="G349" s="81" t="s">
        <v>2387</v>
      </c>
      <c r="H349" s="83"/>
      <c r="I349" s="83"/>
      <c r="J349" s="83"/>
      <c r="K349" s="83"/>
      <c r="L349" s="83"/>
      <c r="M349" s="81" t="s">
        <v>43</v>
      </c>
      <c r="N349" s="85"/>
      <c r="O349" s="85"/>
      <c r="P349" s="81"/>
      <c r="Q349" s="81"/>
      <c r="R349" s="82"/>
      <c r="S349" s="81"/>
      <c r="T349" s="132" t="str">
        <f ca="1">IF(AND('Inserimento dati'!$B$3=$H$2, Tabella3[[#This Row],[LUN]]="X"), "X",IF(AND('Inserimento dati'!$B$3=$I$2, Tabella3[[#This Row],[MAR]]="X"), "X", IF(AND('Inserimento dati'!$B$3=$J$2, Tabella3[[#This Row],[MER]]="X"), "X",IF(AND('Inserimento dati'!$B$3=$K$2, Tabella3[[#This Row],[GIO]]="X"), "X", IF(AND('Inserimento dati'!$B$3=$L$2, Tabella3[[#This Row],[VEN]]="X"), "X","")))))</f>
        <v/>
      </c>
      <c r="U349" s="66" t="str">
        <f t="shared" ca="1" si="13"/>
        <v/>
      </c>
    </row>
    <row r="350" spans="1:22" ht="23.25" x14ac:dyDescent="0.25">
      <c r="A350" s="84"/>
      <c r="B350" s="84"/>
      <c r="C350" s="84" t="str">
        <f>IF(OR(Tabella3[[#This Row],[LUN]]="X",Tabella3[[#This Row],[MAR]]="X",Tabella3[[#This Row],[MER]]="X",Tabella3[[#This Row],[GIO]]="X",Tabella3[[#This Row],[VEN]]="X",),"X","")</f>
        <v/>
      </c>
      <c r="D350" s="85" t="s">
        <v>10</v>
      </c>
      <c r="E350" s="81" t="s">
        <v>2388</v>
      </c>
      <c r="F350" s="81">
        <v>1200</v>
      </c>
      <c r="G350" s="81" t="s">
        <v>2389</v>
      </c>
      <c r="H350" s="83"/>
      <c r="I350" s="83"/>
      <c r="J350" s="83"/>
      <c r="K350" s="83"/>
      <c r="L350" s="83"/>
      <c r="M350" s="81" t="s">
        <v>43</v>
      </c>
      <c r="N350" s="85"/>
      <c r="O350" s="85"/>
      <c r="P350" s="81"/>
      <c r="Q350" s="81"/>
      <c r="R350" s="82"/>
      <c r="S350" s="81"/>
      <c r="T350" s="132" t="str">
        <f ca="1">IF(AND('Inserimento dati'!$B$3=$H$2, Tabella3[[#This Row],[LUN]]="X"), "X",IF(AND('Inserimento dati'!$B$3=$I$2, Tabella3[[#This Row],[MAR]]="X"), "X", IF(AND('Inserimento dati'!$B$3=$J$2, Tabella3[[#This Row],[MER]]="X"), "X",IF(AND('Inserimento dati'!$B$3=$K$2, Tabella3[[#This Row],[GIO]]="X"), "X", IF(AND('Inserimento dati'!$B$3=$L$2, Tabella3[[#This Row],[VEN]]="X"), "X","")))))</f>
        <v/>
      </c>
      <c r="U350" s="66" t="str">
        <f t="shared" ca="1" si="13"/>
        <v/>
      </c>
      <c r="V350" s="176">
        <v>45953.690844907411</v>
      </c>
    </row>
    <row r="351" spans="1:22" ht="30" x14ac:dyDescent="0.25">
      <c r="A351" s="84"/>
      <c r="B351" s="84"/>
      <c r="C351" s="84" t="str">
        <f>IF(OR(Tabella3[[#This Row],[LUN]]="X",Tabella3[[#This Row],[MAR]]="X",Tabella3[[#This Row],[MER]]="X",Tabella3[[#This Row],[GIO]]="X",Tabella3[[#This Row],[VEN]]="X",),"X","")</f>
        <v/>
      </c>
      <c r="D351" s="85" t="s">
        <v>10</v>
      </c>
      <c r="E351" s="81" t="s">
        <v>2390</v>
      </c>
      <c r="F351" s="81">
        <v>1200</v>
      </c>
      <c r="G351" s="81" t="s">
        <v>2391</v>
      </c>
      <c r="H351" s="83"/>
      <c r="I351" s="83"/>
      <c r="J351" s="83"/>
      <c r="K351" s="83"/>
      <c r="L351" s="83"/>
      <c r="M351" s="81" t="s">
        <v>43</v>
      </c>
      <c r="N351" s="85"/>
      <c r="O351" s="85"/>
      <c r="P351" s="81"/>
      <c r="Q351" s="81"/>
      <c r="R351" s="82"/>
      <c r="S351" s="81"/>
      <c r="T351" s="132" t="str">
        <f ca="1">IF(AND('Inserimento dati'!$B$3=$H$2, Tabella3[[#This Row],[LUN]]="X"), "X",IF(AND('Inserimento dati'!$B$3=$I$2, Tabella3[[#This Row],[MAR]]="X"), "X", IF(AND('Inserimento dati'!$B$3=$J$2, Tabella3[[#This Row],[MER]]="X"), "X",IF(AND('Inserimento dati'!$B$3=$K$2, Tabella3[[#This Row],[GIO]]="X"), "X", IF(AND('Inserimento dati'!$B$3=$L$2, Tabella3[[#This Row],[VEN]]="X"), "X","")))))</f>
        <v/>
      </c>
      <c r="U351" s="66" t="str">
        <f t="shared" ca="1" si="13"/>
        <v/>
      </c>
    </row>
    <row r="352" spans="1:22" ht="30" x14ac:dyDescent="0.25">
      <c r="A352" s="84"/>
      <c r="B352" s="84"/>
      <c r="C352" s="84" t="str">
        <f>IF(OR(Tabella3[[#This Row],[LUN]]="X",Tabella3[[#This Row],[MAR]]="X",Tabella3[[#This Row],[MER]]="X",Tabella3[[#This Row],[GIO]]="X",Tabella3[[#This Row],[VEN]]="X",),"X","")</f>
        <v/>
      </c>
      <c r="D352" s="85" t="s">
        <v>10</v>
      </c>
      <c r="E352" s="81" t="s">
        <v>2392</v>
      </c>
      <c r="F352" s="81">
        <v>1400</v>
      </c>
      <c r="G352" s="81" t="s">
        <v>2393</v>
      </c>
      <c r="H352" s="83"/>
      <c r="I352" s="83"/>
      <c r="J352" s="83"/>
      <c r="K352" s="83"/>
      <c r="L352" s="83"/>
      <c r="M352" s="81" t="s">
        <v>43</v>
      </c>
      <c r="N352" s="85"/>
      <c r="O352" s="85"/>
      <c r="P352" s="81"/>
      <c r="Q352" s="81"/>
      <c r="R352" s="82">
        <v>45889</v>
      </c>
      <c r="S352" s="81" t="s">
        <v>238</v>
      </c>
      <c r="T352" s="132" t="str">
        <f ca="1">IF(AND('Inserimento dati'!$B$3=$H$2, Tabella3[[#This Row],[LUN]]="X"), "X",IF(AND('Inserimento dati'!$B$3=$I$2, Tabella3[[#This Row],[MAR]]="X"), "X", IF(AND('Inserimento dati'!$B$3=$J$2, Tabella3[[#This Row],[MER]]="X"), "X",IF(AND('Inserimento dati'!$B$3=$K$2, Tabella3[[#This Row],[GIO]]="X"), "X", IF(AND('Inserimento dati'!$B$3=$L$2, Tabella3[[#This Row],[VEN]]="X"), "X","")))))</f>
        <v/>
      </c>
      <c r="U352" s="66" t="str">
        <f t="shared" ca="1" si="13"/>
        <v>10228743</v>
      </c>
    </row>
    <row r="353" spans="1:21" ht="23.25" x14ac:dyDescent="0.25">
      <c r="A353" s="84"/>
      <c r="B353" s="84"/>
      <c r="C353" s="84" t="str">
        <f>IF(OR(Tabella3[[#This Row],[LUN]]="X",Tabella3[[#This Row],[MAR]]="X",Tabella3[[#This Row],[MER]]="X",Tabella3[[#This Row],[GIO]]="X",Tabella3[[#This Row],[VEN]]="X",),"X","")</f>
        <v/>
      </c>
      <c r="D353" s="85" t="s">
        <v>10</v>
      </c>
      <c r="E353" s="81" t="s">
        <v>2394</v>
      </c>
      <c r="F353" s="81">
        <v>1400</v>
      </c>
      <c r="G353" s="81" t="s">
        <v>2395</v>
      </c>
      <c r="H353" s="83"/>
      <c r="I353" s="83"/>
      <c r="J353" s="83"/>
      <c r="K353" s="83"/>
      <c r="L353" s="83"/>
      <c r="M353" s="81" t="s">
        <v>43</v>
      </c>
      <c r="N353" s="85"/>
      <c r="O353" s="85"/>
      <c r="P353" s="81"/>
      <c r="Q353" s="81"/>
      <c r="R353" s="82">
        <v>45889</v>
      </c>
      <c r="S353" s="81" t="s">
        <v>674</v>
      </c>
      <c r="T353" s="132" t="str">
        <f ca="1">IF(AND('Inserimento dati'!$B$3=$H$2, Tabella3[[#This Row],[LUN]]="X"), "X",IF(AND('Inserimento dati'!$B$3=$I$2, Tabella3[[#This Row],[MAR]]="X"), "X", IF(AND('Inserimento dati'!$B$3=$J$2, Tabella3[[#This Row],[MER]]="X"), "X",IF(AND('Inserimento dati'!$B$3=$K$2, Tabella3[[#This Row],[GIO]]="X"), "X", IF(AND('Inserimento dati'!$B$3=$L$2, Tabella3[[#This Row],[VEN]]="X"), "X","")))))</f>
        <v/>
      </c>
      <c r="U353" s="66" t="str">
        <f t="shared" ca="1" si="13"/>
        <v/>
      </c>
    </row>
    <row r="354" spans="1:21" ht="30" x14ac:dyDescent="0.25">
      <c r="A354" s="84"/>
      <c r="B354" s="84"/>
      <c r="C354" s="84" t="str">
        <f>IF(OR(Tabella3[[#This Row],[LUN]]="X",Tabella3[[#This Row],[MAR]]="X",Tabella3[[#This Row],[MER]]="X",Tabella3[[#This Row],[GIO]]="X",Tabella3[[#This Row],[VEN]]="X",),"X","")</f>
        <v/>
      </c>
      <c r="D354" s="85" t="s">
        <v>10</v>
      </c>
      <c r="E354" s="81" t="s">
        <v>2396</v>
      </c>
      <c r="F354" s="81">
        <v>1200</v>
      </c>
      <c r="G354" s="81" t="s">
        <v>2397</v>
      </c>
      <c r="H354" s="83"/>
      <c r="I354" s="83"/>
      <c r="J354" s="83"/>
      <c r="K354" s="83"/>
      <c r="L354" s="83"/>
      <c r="M354" s="81" t="s">
        <v>43</v>
      </c>
      <c r="N354" s="85"/>
      <c r="O354" s="85"/>
      <c r="P354" s="81"/>
      <c r="Q354" s="81" t="s">
        <v>2398</v>
      </c>
      <c r="R354" s="82">
        <v>45887</v>
      </c>
      <c r="S354" s="81" t="s">
        <v>9</v>
      </c>
      <c r="T354" s="132" t="str">
        <f ca="1">IF(AND('Inserimento dati'!$B$3=$H$2, Tabella3[[#This Row],[LUN]]="X"), "X",IF(AND('Inserimento dati'!$B$3=$I$2, Tabella3[[#This Row],[MAR]]="X"), "X", IF(AND('Inserimento dati'!$B$3=$J$2, Tabella3[[#This Row],[MER]]="X"), "X",IF(AND('Inserimento dati'!$B$3=$K$2, Tabella3[[#This Row],[GIO]]="X"), "X", IF(AND('Inserimento dati'!$B$3=$L$2, Tabella3[[#This Row],[VEN]]="X"), "X","")))))</f>
        <v/>
      </c>
      <c r="U354" s="66" t="str">
        <f t="shared" ca="1" si="13"/>
        <v/>
      </c>
    </row>
    <row r="355" spans="1:21" ht="23.25" x14ac:dyDescent="0.25">
      <c r="A355" s="84"/>
      <c r="B355" s="84"/>
      <c r="C355" s="84" t="str">
        <f>IF(OR(Tabella3[[#This Row],[LUN]]="X",Tabella3[[#This Row],[MAR]]="X",Tabella3[[#This Row],[MER]]="X",Tabella3[[#This Row],[GIO]]="X",Tabella3[[#This Row],[VEN]]="X",),"X","")</f>
        <v/>
      </c>
      <c r="D355" s="85" t="s">
        <v>10</v>
      </c>
      <c r="E355" s="81" t="s">
        <v>2399</v>
      </c>
      <c r="F355" s="81">
        <v>700</v>
      </c>
      <c r="G355" s="81" t="s">
        <v>2400</v>
      </c>
      <c r="H355" s="83"/>
      <c r="I355" s="83"/>
      <c r="J355" s="83"/>
      <c r="K355" s="83"/>
      <c r="L355" s="83"/>
      <c r="M355" s="81" t="s">
        <v>43</v>
      </c>
      <c r="N355" s="85"/>
      <c r="O355" s="85"/>
      <c r="P355" s="81"/>
      <c r="Q355" s="81"/>
      <c r="R355" s="82"/>
      <c r="S355" s="81"/>
      <c r="T355" s="132" t="str">
        <f ca="1">IF(AND('Inserimento dati'!$B$3=$H$2, Tabella3[[#This Row],[LUN]]="X"), "X",IF(AND('Inserimento dati'!$B$3=$I$2, Tabella3[[#This Row],[MAR]]="X"), "X", IF(AND('Inserimento dati'!$B$3=$J$2, Tabella3[[#This Row],[MER]]="X"), "X",IF(AND('Inserimento dati'!$B$3=$K$2, Tabella3[[#This Row],[GIO]]="X"), "X", IF(AND('Inserimento dati'!$B$3=$L$2, Tabella3[[#This Row],[VEN]]="X"), "X","")))))</f>
        <v/>
      </c>
      <c r="U355" s="66" t="str">
        <f t="shared" ca="1" si="13"/>
        <v>10229568</v>
      </c>
    </row>
    <row r="356" spans="1:21" ht="23.25" x14ac:dyDescent="0.25">
      <c r="A356" s="84"/>
      <c r="B356" s="84"/>
      <c r="C356" s="84" t="str">
        <f>IF(OR(Tabella3[[#This Row],[LUN]]="X",Tabella3[[#This Row],[MAR]]="X",Tabella3[[#This Row],[MER]]="X",Tabella3[[#This Row],[GIO]]="X",Tabella3[[#This Row],[VEN]]="X",),"X","")</f>
        <v/>
      </c>
      <c r="D356" s="85" t="s">
        <v>10</v>
      </c>
      <c r="E356" s="81" t="s">
        <v>2401</v>
      </c>
      <c r="F356" s="81">
        <v>800</v>
      </c>
      <c r="G356" s="81" t="s">
        <v>2402</v>
      </c>
      <c r="H356" s="83"/>
      <c r="I356" s="83"/>
      <c r="J356" s="83"/>
      <c r="K356" s="83"/>
      <c r="L356" s="83"/>
      <c r="M356" s="81" t="s">
        <v>43</v>
      </c>
      <c r="N356" s="85"/>
      <c r="O356" s="85"/>
      <c r="P356" s="81"/>
      <c r="Q356" s="81"/>
      <c r="R356" s="82"/>
      <c r="S356" s="81"/>
      <c r="T356" s="132" t="str">
        <f ca="1">IF(AND('Inserimento dati'!$B$3=$H$2, Tabella3[[#This Row],[LUN]]="X"), "X",IF(AND('Inserimento dati'!$B$3=$I$2, Tabella3[[#This Row],[MAR]]="X"), "X", IF(AND('Inserimento dati'!$B$3=$J$2, Tabella3[[#This Row],[MER]]="X"), "X",IF(AND('Inserimento dati'!$B$3=$K$2, Tabella3[[#This Row],[GIO]]="X"), "X", IF(AND('Inserimento dati'!$B$3=$L$2, Tabella3[[#This Row],[VEN]]="X"), "X","")))))</f>
        <v/>
      </c>
      <c r="U356" s="66" t="str">
        <f t="shared" ca="1" si="13"/>
        <v>10229705</v>
      </c>
    </row>
    <row r="357" spans="1:21" ht="23.25" x14ac:dyDescent="0.25">
      <c r="A357" s="84"/>
      <c r="B357" s="84"/>
      <c r="C357" s="84" t="str">
        <f>IF(OR(Tabella3[[#This Row],[LUN]]="X",Tabella3[[#This Row],[MAR]]="X",Tabella3[[#This Row],[MER]]="X",Tabella3[[#This Row],[GIO]]="X",Tabella3[[#This Row],[VEN]]="X",),"X","")</f>
        <v/>
      </c>
      <c r="D357" s="85" t="s">
        <v>10</v>
      </c>
      <c r="E357" s="81" t="s">
        <v>2403</v>
      </c>
      <c r="F357" s="81" t="s">
        <v>106</v>
      </c>
      <c r="G357" s="81" t="s">
        <v>2404</v>
      </c>
      <c r="H357" s="83"/>
      <c r="I357" s="83"/>
      <c r="J357" s="83"/>
      <c r="K357" s="83"/>
      <c r="L357" s="83"/>
      <c r="M357" s="81" t="s">
        <v>43</v>
      </c>
      <c r="N357" s="85"/>
      <c r="O357" s="85"/>
      <c r="P357" s="81"/>
      <c r="Q357" s="81"/>
      <c r="R357" s="82"/>
      <c r="S357" s="81"/>
      <c r="T357" s="132" t="str">
        <f ca="1">IF(AND('Inserimento dati'!$B$3=$H$2, Tabella3[[#This Row],[LUN]]="X"), "X",IF(AND('Inserimento dati'!$B$3=$I$2, Tabella3[[#This Row],[MAR]]="X"), "X", IF(AND('Inserimento dati'!$B$3=$J$2, Tabella3[[#This Row],[MER]]="X"), "X",IF(AND('Inserimento dati'!$B$3=$K$2, Tabella3[[#This Row],[GIO]]="X"), "X", IF(AND('Inserimento dati'!$B$3=$L$2, Tabella3[[#This Row],[VEN]]="X"), "X","")))))</f>
        <v/>
      </c>
      <c r="U357" s="66" t="str">
        <f t="shared" ca="1" si="13"/>
        <v>10229589</v>
      </c>
    </row>
    <row r="358" spans="1:21" ht="30" x14ac:dyDescent="0.25">
      <c r="A358" s="84"/>
      <c r="B358" s="84"/>
      <c r="C358" s="84" t="str">
        <f>IF(OR(Tabella3[[#This Row],[LUN]]="X",Tabella3[[#This Row],[MAR]]="X",Tabella3[[#This Row],[MER]]="X",Tabella3[[#This Row],[GIO]]="X",Tabella3[[#This Row],[VEN]]="X",),"X","")</f>
        <v/>
      </c>
      <c r="D358" s="85" t="s">
        <v>10</v>
      </c>
      <c r="E358" s="81" t="s">
        <v>2405</v>
      </c>
      <c r="F358" s="81">
        <v>1200</v>
      </c>
      <c r="G358" s="81" t="s">
        <v>2406</v>
      </c>
      <c r="H358" s="83"/>
      <c r="I358" s="83"/>
      <c r="J358" s="83"/>
      <c r="K358" s="83"/>
      <c r="L358" s="83"/>
      <c r="M358" s="81" t="s">
        <v>43</v>
      </c>
      <c r="N358" s="85"/>
      <c r="O358" s="85"/>
      <c r="P358" s="81"/>
      <c r="Q358" s="81"/>
      <c r="R358" s="82"/>
      <c r="S358" s="81"/>
      <c r="T358" s="132" t="str">
        <f ca="1">IF(AND('Inserimento dati'!$B$3=$H$2, Tabella3[[#This Row],[LUN]]="X"), "X",IF(AND('Inserimento dati'!$B$3=$I$2, Tabella3[[#This Row],[MAR]]="X"), "X", IF(AND('Inserimento dati'!$B$3=$J$2, Tabella3[[#This Row],[MER]]="X"), "X",IF(AND('Inserimento dati'!$B$3=$K$2, Tabella3[[#This Row],[GIO]]="X"), "X", IF(AND('Inserimento dati'!$B$3=$L$2, Tabella3[[#This Row],[VEN]]="X"), "X","")))))</f>
        <v/>
      </c>
      <c r="U358" s="66" t="str">
        <f t="shared" ca="1" si="13"/>
        <v/>
      </c>
    </row>
    <row r="359" spans="1:21" ht="30" x14ac:dyDescent="0.25">
      <c r="A359" s="84" t="s">
        <v>8</v>
      </c>
      <c r="B359" s="84"/>
      <c r="C359" s="84" t="str">
        <f>IF(OR(Tabella3[[#This Row],[LUN]]="X",Tabella3[[#This Row],[MAR]]="X",Tabella3[[#This Row],[MER]]="X",Tabella3[[#This Row],[GIO]]="X",Tabella3[[#This Row],[VEN]]="X",),"X","")</f>
        <v/>
      </c>
      <c r="D359" s="85" t="s">
        <v>10</v>
      </c>
      <c r="E359" s="81" t="s">
        <v>2407</v>
      </c>
      <c r="F359" s="81">
        <v>1200</v>
      </c>
      <c r="G359" s="81" t="s">
        <v>2408</v>
      </c>
      <c r="H359" s="83"/>
      <c r="I359" s="83"/>
      <c r="J359" s="83"/>
      <c r="K359" s="83"/>
      <c r="L359" s="83"/>
      <c r="M359" s="81" t="s">
        <v>43</v>
      </c>
      <c r="N359" s="85"/>
      <c r="O359" s="85"/>
      <c r="P359" s="81"/>
      <c r="Q359" s="81" t="s">
        <v>2365</v>
      </c>
      <c r="R359" s="82"/>
      <c r="S359" s="81"/>
      <c r="T359" s="132" t="str">
        <f ca="1">IF(AND('Inserimento dati'!$B$3=$H$2, Tabella3[[#This Row],[LUN]]="X"), "X",IF(AND('Inserimento dati'!$B$3=$I$2, Tabella3[[#This Row],[MAR]]="X"), "X", IF(AND('Inserimento dati'!$B$3=$J$2, Tabella3[[#This Row],[MER]]="X"), "X",IF(AND('Inserimento dati'!$B$3=$K$2, Tabella3[[#This Row],[GIO]]="X"), "X", IF(AND('Inserimento dati'!$B$3=$L$2, Tabella3[[#This Row],[VEN]]="X"), "X","")))))</f>
        <v/>
      </c>
      <c r="U359" s="66" t="str">
        <f t="shared" ca="1" si="13"/>
        <v/>
      </c>
    </row>
    <row r="360" spans="1:21" ht="23.25" x14ac:dyDescent="0.25">
      <c r="A360" s="84"/>
      <c r="B360" s="84"/>
      <c r="C360" s="84" t="str">
        <f>IF(OR(Tabella3[[#This Row],[LUN]]="X",Tabella3[[#This Row],[MAR]]="X",Tabella3[[#This Row],[MER]]="X",Tabella3[[#This Row],[GIO]]="X",Tabella3[[#This Row],[VEN]]="X",),"X","")</f>
        <v/>
      </c>
      <c r="D360" s="85" t="s">
        <v>10</v>
      </c>
      <c r="E360" s="81" t="s">
        <v>2409</v>
      </c>
      <c r="F360" s="81" t="s">
        <v>106</v>
      </c>
      <c r="G360" s="81" t="s">
        <v>2410</v>
      </c>
      <c r="H360" s="83"/>
      <c r="I360" s="83"/>
      <c r="J360" s="83"/>
      <c r="K360" s="83"/>
      <c r="L360" s="83"/>
      <c r="M360" s="81" t="s">
        <v>43</v>
      </c>
      <c r="N360" s="85"/>
      <c r="O360" s="85"/>
      <c r="P360" s="81"/>
      <c r="Q360" s="81"/>
      <c r="R360" s="82"/>
      <c r="S360" s="81"/>
      <c r="T360" s="132" t="str">
        <f ca="1">IF(AND('Inserimento dati'!$B$3=$H$2, Tabella3[[#This Row],[LUN]]="X"), "X",IF(AND('Inserimento dati'!$B$3=$I$2, Tabella3[[#This Row],[MAR]]="X"), "X", IF(AND('Inserimento dati'!$B$3=$J$2, Tabella3[[#This Row],[MER]]="X"), "X",IF(AND('Inserimento dati'!$B$3=$K$2, Tabella3[[#This Row],[GIO]]="X"), "X", IF(AND('Inserimento dati'!$B$3=$L$2, Tabella3[[#This Row],[VEN]]="X"), "X","")))))</f>
        <v/>
      </c>
      <c r="U360" s="66" t="str">
        <f t="shared" ca="1" si="13"/>
        <v>10229698</v>
      </c>
    </row>
    <row r="361" spans="1:21" ht="30" x14ac:dyDescent="0.25">
      <c r="A361" s="84"/>
      <c r="B361" s="84"/>
      <c r="C361" s="84" t="str">
        <f>IF(OR(Tabella3[[#This Row],[LUN]]="X",Tabella3[[#This Row],[MAR]]="X",Tabella3[[#This Row],[MER]]="X",Tabella3[[#This Row],[GIO]]="X",Tabella3[[#This Row],[VEN]]="X",),"X","")</f>
        <v/>
      </c>
      <c r="D361" s="85" t="s">
        <v>10</v>
      </c>
      <c r="E361" s="81" t="s">
        <v>2411</v>
      </c>
      <c r="F361" s="81">
        <v>1400</v>
      </c>
      <c r="G361" s="81" t="s">
        <v>2412</v>
      </c>
      <c r="H361" s="83"/>
      <c r="I361" s="83"/>
      <c r="J361" s="83"/>
      <c r="K361" s="83"/>
      <c r="L361" s="83"/>
      <c r="M361" s="81" t="s">
        <v>43</v>
      </c>
      <c r="N361" s="85"/>
      <c r="O361" s="85"/>
      <c r="P361" s="81"/>
      <c r="Q361" s="81" t="s">
        <v>2413</v>
      </c>
      <c r="R361" s="82">
        <v>45903</v>
      </c>
      <c r="S361" s="81" t="s">
        <v>238</v>
      </c>
      <c r="T361" s="132" t="str">
        <f ca="1">IF(AND('Inserimento dati'!$B$3=$H$2, Tabella3[[#This Row],[LUN]]="X"), "X",IF(AND('Inserimento dati'!$B$3=$I$2, Tabella3[[#This Row],[MAR]]="X"), "X", IF(AND('Inserimento dati'!$B$3=$J$2, Tabella3[[#This Row],[MER]]="X"), "X",IF(AND('Inserimento dati'!$B$3=$K$2, Tabella3[[#This Row],[GIO]]="X"), "X", IF(AND('Inserimento dati'!$B$3=$L$2, Tabella3[[#This Row],[VEN]]="X"), "X","")))))</f>
        <v/>
      </c>
      <c r="U361" s="66" t="str">
        <f t="shared" ca="1" si="13"/>
        <v/>
      </c>
    </row>
    <row r="362" spans="1:21" ht="23.25" x14ac:dyDescent="0.25">
      <c r="A362" s="84"/>
      <c r="B362" s="84"/>
      <c r="C362" s="84" t="str">
        <f>IF(OR(Tabella3[[#This Row],[LUN]]="X",Tabella3[[#This Row],[MAR]]="X",Tabella3[[#This Row],[MER]]="X",Tabella3[[#This Row],[GIO]]="X",Tabella3[[#This Row],[VEN]]="X",),"X","")</f>
        <v/>
      </c>
      <c r="D362" s="85" t="s">
        <v>10</v>
      </c>
      <c r="E362" s="81" t="s">
        <v>2414</v>
      </c>
      <c r="F362" s="81">
        <v>1200</v>
      </c>
      <c r="G362" s="81" t="s">
        <v>2415</v>
      </c>
      <c r="H362" s="83"/>
      <c r="I362" s="83"/>
      <c r="J362" s="83"/>
      <c r="K362" s="83"/>
      <c r="L362" s="83"/>
      <c r="M362" s="81" t="s">
        <v>43</v>
      </c>
      <c r="N362" s="85"/>
      <c r="O362" s="85"/>
      <c r="P362" s="81"/>
      <c r="Q362" s="81"/>
      <c r="R362" s="82"/>
      <c r="S362" s="81"/>
      <c r="T362" s="132" t="str">
        <f ca="1">IF(AND('Inserimento dati'!$B$3=$H$2, Tabella3[[#This Row],[LUN]]="X"), "X",IF(AND('Inserimento dati'!$B$3=$I$2, Tabella3[[#This Row],[MAR]]="X"), "X", IF(AND('Inserimento dati'!$B$3=$J$2, Tabella3[[#This Row],[MER]]="X"), "X",IF(AND('Inserimento dati'!$B$3=$K$2, Tabella3[[#This Row],[GIO]]="X"), "X", IF(AND('Inserimento dati'!$B$3=$L$2, Tabella3[[#This Row],[VEN]]="X"), "X","")))))</f>
        <v/>
      </c>
      <c r="U362" s="66" t="str">
        <f t="shared" ca="1" si="13"/>
        <v/>
      </c>
    </row>
    <row r="363" spans="1:21" ht="60" x14ac:dyDescent="0.25">
      <c r="A363" s="84"/>
      <c r="B363" s="84"/>
      <c r="C363" s="84" t="str">
        <f>IF(OR(Tabella3[[#This Row],[LUN]]="X",Tabella3[[#This Row],[MAR]]="X",Tabella3[[#This Row],[MER]]="X",Tabella3[[#This Row],[GIO]]="X",Tabella3[[#This Row],[VEN]]="X",),"X","")</f>
        <v/>
      </c>
      <c r="D363" s="85" t="s">
        <v>10</v>
      </c>
      <c r="E363" s="81" t="s">
        <v>2416</v>
      </c>
      <c r="F363" s="81">
        <v>1200</v>
      </c>
      <c r="G363" s="81" t="s">
        <v>2417</v>
      </c>
      <c r="H363" s="83"/>
      <c r="I363" s="83"/>
      <c r="J363" s="83"/>
      <c r="K363" s="83"/>
      <c r="L363" s="83"/>
      <c r="M363" s="81" t="s">
        <v>43</v>
      </c>
      <c r="N363" s="85"/>
      <c r="O363" s="85"/>
      <c r="P363" s="81"/>
      <c r="Q363" s="81" t="s">
        <v>2418</v>
      </c>
      <c r="R363" s="82">
        <v>45867</v>
      </c>
      <c r="S363" s="81" t="s">
        <v>45</v>
      </c>
      <c r="T363" s="132" t="str">
        <f ca="1">IF(AND('Inserimento dati'!$B$3=$H$2, Tabella3[[#This Row],[LUN]]="X"), "X",IF(AND('Inserimento dati'!$B$3=$I$2, Tabella3[[#This Row],[MAR]]="X"), "X", IF(AND('Inserimento dati'!$B$3=$J$2, Tabella3[[#This Row],[MER]]="X"), "X",IF(AND('Inserimento dati'!$B$3=$K$2, Tabella3[[#This Row],[GIO]]="X"), "X", IF(AND('Inserimento dati'!$B$3=$L$2, Tabella3[[#This Row],[VEN]]="X"), "X","")))))</f>
        <v/>
      </c>
      <c r="U363" s="66" t="str">
        <f t="shared" ca="1" si="13"/>
        <v/>
      </c>
    </row>
    <row r="364" spans="1:21" ht="23.25" x14ac:dyDescent="0.25">
      <c r="A364" s="84"/>
      <c r="B364" s="84"/>
      <c r="C364" s="84" t="str">
        <f>IF(OR(Tabella3[[#This Row],[LUN]]="X",Tabella3[[#This Row],[MAR]]="X",Tabella3[[#This Row],[MER]]="X",Tabella3[[#This Row],[GIO]]="X",Tabella3[[#This Row],[VEN]]="X",),"X","")</f>
        <v/>
      </c>
      <c r="D364" s="85" t="s">
        <v>10</v>
      </c>
      <c r="E364" s="81" t="s">
        <v>2419</v>
      </c>
      <c r="F364" s="81">
        <v>700</v>
      </c>
      <c r="G364" s="81" t="s">
        <v>2420</v>
      </c>
      <c r="H364" s="83"/>
      <c r="I364" s="83"/>
      <c r="J364" s="83"/>
      <c r="K364" s="83"/>
      <c r="L364" s="83"/>
      <c r="M364" s="81" t="s">
        <v>43</v>
      </c>
      <c r="N364" s="85"/>
      <c r="O364" s="85"/>
      <c r="P364" s="81"/>
      <c r="Q364" s="81"/>
      <c r="R364" s="82"/>
      <c r="S364" s="81"/>
      <c r="T364" s="132" t="str">
        <f ca="1">IF(AND('Inserimento dati'!$B$3=$H$2, Tabella3[[#This Row],[LUN]]="X"), "X",IF(AND('Inserimento dati'!$B$3=$I$2, Tabella3[[#This Row],[MAR]]="X"), "X", IF(AND('Inserimento dati'!$B$3=$J$2, Tabella3[[#This Row],[MER]]="X"), "X",IF(AND('Inserimento dati'!$B$3=$K$2, Tabella3[[#This Row],[GIO]]="X"), "X", IF(AND('Inserimento dati'!$B$3=$L$2, Tabella3[[#This Row],[VEN]]="X"), "X","")))))</f>
        <v/>
      </c>
      <c r="U364" s="66" t="str">
        <f t="shared" ca="1" si="13"/>
        <v/>
      </c>
    </row>
    <row r="365" spans="1:21" ht="23.25" x14ac:dyDescent="0.25">
      <c r="A365" s="84"/>
      <c r="B365" s="84"/>
      <c r="C365" s="84" t="str">
        <f>IF(OR(Tabella3[[#This Row],[LUN]]="X",Tabella3[[#This Row],[MAR]]="X",Tabella3[[#This Row],[MER]]="X",Tabella3[[#This Row],[GIO]]="X",Tabella3[[#This Row],[VEN]]="X",),"X","")</f>
        <v/>
      </c>
      <c r="D365" s="85" t="s">
        <v>10</v>
      </c>
      <c r="E365" s="81" t="s">
        <v>2421</v>
      </c>
      <c r="F365" s="81">
        <v>700</v>
      </c>
      <c r="G365" s="81" t="s">
        <v>2422</v>
      </c>
      <c r="H365" s="83"/>
      <c r="I365" s="83"/>
      <c r="J365" s="83"/>
      <c r="K365" s="83"/>
      <c r="L365" s="83"/>
      <c r="M365" s="81" t="s">
        <v>43</v>
      </c>
      <c r="N365" s="85"/>
      <c r="O365" s="85"/>
      <c r="P365" s="81"/>
      <c r="Q365" s="81" t="s">
        <v>2423</v>
      </c>
      <c r="R365" s="82">
        <v>45905</v>
      </c>
      <c r="S365" s="81" t="s">
        <v>238</v>
      </c>
      <c r="T365" s="132" t="str">
        <f ca="1">IF(AND('Inserimento dati'!$B$3=$H$2, Tabella3[[#This Row],[LUN]]="X"), "X",IF(AND('Inserimento dati'!$B$3=$I$2, Tabella3[[#This Row],[MAR]]="X"), "X", IF(AND('Inserimento dati'!$B$3=$J$2, Tabella3[[#This Row],[MER]]="X"), "X",IF(AND('Inserimento dati'!$B$3=$K$2, Tabella3[[#This Row],[GIO]]="X"), "X", IF(AND('Inserimento dati'!$B$3=$L$2, Tabella3[[#This Row],[VEN]]="X"), "X","")))))</f>
        <v/>
      </c>
      <c r="U365" s="66" t="str">
        <f t="shared" ca="1" si="13"/>
        <v/>
      </c>
    </row>
    <row r="366" spans="1:21" ht="23.25" x14ac:dyDescent="0.25">
      <c r="A366" s="84"/>
      <c r="B366" s="84"/>
      <c r="C366" s="84" t="str">
        <f>IF(OR(Tabella3[[#This Row],[LUN]]="X",Tabella3[[#This Row],[MAR]]="X",Tabella3[[#This Row],[MER]]="X",Tabella3[[#This Row],[GIO]]="X",Tabella3[[#This Row],[VEN]]="X",),"X","")</f>
        <v/>
      </c>
      <c r="D366" s="85" t="s">
        <v>10</v>
      </c>
      <c r="E366" s="81" t="s">
        <v>2424</v>
      </c>
      <c r="F366" s="81">
        <v>1200</v>
      </c>
      <c r="G366" s="81" t="s">
        <v>2425</v>
      </c>
      <c r="H366" s="83"/>
      <c r="I366" s="83"/>
      <c r="J366" s="83"/>
      <c r="K366" s="83"/>
      <c r="L366" s="83"/>
      <c r="M366" s="81" t="s">
        <v>43</v>
      </c>
      <c r="N366" s="85"/>
      <c r="O366" s="85"/>
      <c r="P366" s="81"/>
      <c r="Q366" s="81"/>
      <c r="R366" s="82"/>
      <c r="S366" s="81"/>
      <c r="T366" s="132" t="str">
        <f ca="1">IF(AND('Inserimento dati'!$B$3=$H$2, Tabella3[[#This Row],[LUN]]="X"), "X",IF(AND('Inserimento dati'!$B$3=$I$2, Tabella3[[#This Row],[MAR]]="X"), "X", IF(AND('Inserimento dati'!$B$3=$J$2, Tabella3[[#This Row],[MER]]="X"), "X",IF(AND('Inserimento dati'!$B$3=$K$2, Tabella3[[#This Row],[GIO]]="X"), "X", IF(AND('Inserimento dati'!$B$3=$L$2, Tabella3[[#This Row],[VEN]]="X"), "X","")))))</f>
        <v/>
      </c>
      <c r="U366" s="66" t="str">
        <f t="shared" ca="1" si="13"/>
        <v>10230078</v>
      </c>
    </row>
    <row r="367" spans="1:21" ht="30" x14ac:dyDescent="0.25">
      <c r="A367" s="84"/>
      <c r="B367" s="84"/>
      <c r="C367" s="84" t="str">
        <f>IF(OR(Tabella3[[#This Row],[LUN]]="X",Tabella3[[#This Row],[MAR]]="X",Tabella3[[#This Row],[MER]]="X",Tabella3[[#This Row],[GIO]]="X",Tabella3[[#This Row],[VEN]]="X",),"X","")</f>
        <v/>
      </c>
      <c r="D367" s="85" t="s">
        <v>10</v>
      </c>
      <c r="E367" s="81" t="s">
        <v>2426</v>
      </c>
      <c r="F367" s="81">
        <v>2400</v>
      </c>
      <c r="G367" s="81" t="s">
        <v>2427</v>
      </c>
      <c r="H367" s="83"/>
      <c r="I367" s="83"/>
      <c r="J367" s="83"/>
      <c r="K367" s="83"/>
      <c r="L367" s="83"/>
      <c r="M367" s="81" t="s">
        <v>43</v>
      </c>
      <c r="N367" s="85"/>
      <c r="O367" s="85"/>
      <c r="P367" s="81"/>
      <c r="Q367" s="81" t="s">
        <v>2428</v>
      </c>
      <c r="R367" s="82">
        <v>45911</v>
      </c>
      <c r="S367" s="81" t="s">
        <v>45</v>
      </c>
      <c r="T367" s="132" t="str">
        <f ca="1">IF(AND('Inserimento dati'!$B$3=$H$2, Tabella3[[#This Row],[LUN]]="X"), "X",IF(AND('Inserimento dati'!$B$3=$I$2, Tabella3[[#This Row],[MAR]]="X"), "X", IF(AND('Inserimento dati'!$B$3=$J$2, Tabella3[[#This Row],[MER]]="X"), "X",IF(AND('Inserimento dati'!$B$3=$K$2, Tabella3[[#This Row],[GIO]]="X"), "X", IF(AND('Inserimento dati'!$B$3=$L$2, Tabella3[[#This Row],[VEN]]="X"), "X","")))))</f>
        <v/>
      </c>
      <c r="U367" s="66" t="str">
        <f t="shared" ca="1" si="13"/>
        <v/>
      </c>
    </row>
    <row r="368" spans="1:21" ht="23.25" x14ac:dyDescent="0.25">
      <c r="A368" s="84"/>
      <c r="B368" s="84"/>
      <c r="C368" s="84" t="str">
        <f>IF(OR(Tabella3[[#This Row],[LUN]]="X",Tabella3[[#This Row],[MAR]]="X",Tabella3[[#This Row],[MER]]="X",Tabella3[[#This Row],[GIO]]="X",Tabella3[[#This Row],[VEN]]="X",),"X","")</f>
        <v/>
      </c>
      <c r="D368" s="85" t="s">
        <v>10</v>
      </c>
      <c r="E368" s="81" t="s">
        <v>2429</v>
      </c>
      <c r="F368" s="81">
        <v>1200</v>
      </c>
      <c r="G368" s="81" t="s">
        <v>2430</v>
      </c>
      <c r="H368" s="83"/>
      <c r="I368" s="83"/>
      <c r="J368" s="83"/>
      <c r="K368" s="83"/>
      <c r="L368" s="83"/>
      <c r="M368" s="81" t="s">
        <v>43</v>
      </c>
      <c r="N368" s="85"/>
      <c r="O368" s="85"/>
      <c r="P368" s="81"/>
      <c r="Q368" s="81"/>
      <c r="R368" s="82"/>
      <c r="S368" s="81"/>
      <c r="T368" s="132" t="str">
        <f ca="1">IF(AND('Inserimento dati'!$B$3=$H$2, Tabella3[[#This Row],[LUN]]="X"), "X",IF(AND('Inserimento dati'!$B$3=$I$2, Tabella3[[#This Row],[MAR]]="X"), "X", IF(AND('Inserimento dati'!$B$3=$J$2, Tabella3[[#This Row],[MER]]="X"), "X",IF(AND('Inserimento dati'!$B$3=$K$2, Tabella3[[#This Row],[GIO]]="X"), "X", IF(AND('Inserimento dati'!$B$3=$L$2, Tabella3[[#This Row],[VEN]]="X"), "X","")))))</f>
        <v/>
      </c>
      <c r="U368" s="66" t="str">
        <f t="shared" ca="1" si="13"/>
        <v/>
      </c>
    </row>
    <row r="369" spans="1:21" ht="23.25" x14ac:dyDescent="0.25">
      <c r="A369" s="84"/>
      <c r="B369" s="84"/>
      <c r="C369" s="84" t="str">
        <f>IF(OR(Tabella3[[#This Row],[LUN]]="X",Tabella3[[#This Row],[MAR]]="X",Tabella3[[#This Row],[MER]]="X",Tabella3[[#This Row],[GIO]]="X",Tabella3[[#This Row],[VEN]]="X",),"X","")</f>
        <v/>
      </c>
      <c r="D369" s="85" t="s">
        <v>10</v>
      </c>
      <c r="E369" s="81" t="s">
        <v>2431</v>
      </c>
      <c r="F369" s="81">
        <v>1200</v>
      </c>
      <c r="G369" s="81" t="s">
        <v>2432</v>
      </c>
      <c r="H369" s="83"/>
      <c r="I369" s="83"/>
      <c r="J369" s="83"/>
      <c r="K369" s="83"/>
      <c r="L369" s="83"/>
      <c r="M369" s="81" t="s">
        <v>43</v>
      </c>
      <c r="N369" s="85"/>
      <c r="O369" s="85"/>
      <c r="P369" s="81"/>
      <c r="Q369" s="81"/>
      <c r="R369" s="82"/>
      <c r="S369" s="81"/>
      <c r="T369" s="132" t="str">
        <f ca="1">IF(AND('Inserimento dati'!$B$3=$H$2, Tabella3[[#This Row],[LUN]]="X"), "X",IF(AND('Inserimento dati'!$B$3=$I$2, Tabella3[[#This Row],[MAR]]="X"), "X", IF(AND('Inserimento dati'!$B$3=$J$2, Tabella3[[#This Row],[MER]]="X"), "X",IF(AND('Inserimento dati'!$B$3=$K$2, Tabella3[[#This Row],[GIO]]="X"), "X", IF(AND('Inserimento dati'!$B$3=$L$2, Tabella3[[#This Row],[VEN]]="X"), "X","")))))</f>
        <v/>
      </c>
      <c r="U369" s="66" t="str">
        <f t="shared" ca="1" si="13"/>
        <v/>
      </c>
    </row>
    <row r="370" spans="1:21" ht="30" x14ac:dyDescent="0.25">
      <c r="A370" s="84"/>
      <c r="B370" s="84"/>
      <c r="C370" s="84" t="str">
        <f>IF(OR(Tabella3[[#This Row],[LUN]]="X",Tabella3[[#This Row],[MAR]]="X",Tabella3[[#This Row],[MER]]="X",Tabella3[[#This Row],[GIO]]="X",Tabella3[[#This Row],[VEN]]="X",),"X","")</f>
        <v/>
      </c>
      <c r="D370" s="85" t="s">
        <v>10</v>
      </c>
      <c r="E370" s="81" t="s">
        <v>2433</v>
      </c>
      <c r="F370" s="81">
        <v>800</v>
      </c>
      <c r="G370" s="81" t="s">
        <v>2434</v>
      </c>
      <c r="H370" s="83"/>
      <c r="I370" s="83"/>
      <c r="J370" s="83"/>
      <c r="K370" s="83"/>
      <c r="L370" s="83"/>
      <c r="M370" s="81" t="s">
        <v>43</v>
      </c>
      <c r="N370" s="85"/>
      <c r="O370" s="85"/>
      <c r="P370" s="81"/>
      <c r="Q370" s="81" t="s">
        <v>2435</v>
      </c>
      <c r="R370" s="82">
        <v>45910</v>
      </c>
      <c r="S370" s="81" t="s">
        <v>45</v>
      </c>
      <c r="T370" s="132" t="str">
        <f ca="1">IF(AND('Inserimento dati'!$B$3=$H$2, Tabella3[[#This Row],[LUN]]="X"), "X",IF(AND('Inserimento dati'!$B$3=$I$2, Tabella3[[#This Row],[MAR]]="X"), "X", IF(AND('Inserimento dati'!$B$3=$J$2, Tabella3[[#This Row],[MER]]="X"), "X",IF(AND('Inserimento dati'!$B$3=$K$2, Tabella3[[#This Row],[GIO]]="X"), "X", IF(AND('Inserimento dati'!$B$3=$L$2, Tabella3[[#This Row],[VEN]]="X"), "X","")))))</f>
        <v/>
      </c>
      <c r="U370" s="66" t="str">
        <f t="shared" ca="1" si="13"/>
        <v/>
      </c>
    </row>
    <row r="371" spans="1:21" ht="23.25" x14ac:dyDescent="0.25">
      <c r="A371" s="84"/>
      <c r="B371" s="84"/>
      <c r="C371" s="84" t="str">
        <f>IF(OR(Tabella3[[#This Row],[LUN]]="X",Tabella3[[#This Row],[MAR]]="X",Tabella3[[#This Row],[MER]]="X",Tabella3[[#This Row],[GIO]]="X",Tabella3[[#This Row],[VEN]]="X",),"X","")</f>
        <v/>
      </c>
      <c r="D371" s="85" t="s">
        <v>10</v>
      </c>
      <c r="E371" s="81" t="s">
        <v>2436</v>
      </c>
      <c r="F371" s="81">
        <v>1200</v>
      </c>
      <c r="G371" s="81" t="s">
        <v>2437</v>
      </c>
      <c r="H371" s="83"/>
      <c r="I371" s="83"/>
      <c r="J371" s="83"/>
      <c r="K371" s="83"/>
      <c r="L371" s="83"/>
      <c r="M371" s="81" t="s">
        <v>43</v>
      </c>
      <c r="N371" s="85"/>
      <c r="O371" s="85"/>
      <c r="P371" s="81"/>
      <c r="Q371" s="81"/>
      <c r="R371" s="82"/>
      <c r="S371" s="81"/>
      <c r="T371" s="132" t="str">
        <f ca="1">IF(AND('Inserimento dati'!$B$3=$H$2, Tabella3[[#This Row],[LUN]]="X"), "X",IF(AND('Inserimento dati'!$B$3=$I$2, Tabella3[[#This Row],[MAR]]="X"), "X", IF(AND('Inserimento dati'!$B$3=$J$2, Tabella3[[#This Row],[MER]]="X"), "X",IF(AND('Inserimento dati'!$B$3=$K$2, Tabella3[[#This Row],[GIO]]="X"), "X", IF(AND('Inserimento dati'!$B$3=$L$2, Tabella3[[#This Row],[VEN]]="X"), "X","")))))</f>
        <v/>
      </c>
      <c r="U371" s="66" t="str">
        <f t="shared" ca="1" si="13"/>
        <v>10230332</v>
      </c>
    </row>
    <row r="372" spans="1:21" ht="30" x14ac:dyDescent="0.25">
      <c r="A372" s="84"/>
      <c r="B372" s="84"/>
      <c r="C372" s="84" t="str">
        <f>IF(OR(Tabella3[[#This Row],[LUN]]="X",Tabella3[[#This Row],[MAR]]="X",Tabella3[[#This Row],[MER]]="X",Tabella3[[#This Row],[GIO]]="X",Tabella3[[#This Row],[VEN]]="X",),"X","")</f>
        <v/>
      </c>
      <c r="D372" s="85" t="s">
        <v>10</v>
      </c>
      <c r="E372" s="81" t="s">
        <v>2438</v>
      </c>
      <c r="F372" s="81">
        <v>1200</v>
      </c>
      <c r="G372" s="81" t="s">
        <v>2439</v>
      </c>
      <c r="H372" s="83"/>
      <c r="I372" s="83"/>
      <c r="J372" s="83"/>
      <c r="K372" s="83"/>
      <c r="L372" s="83"/>
      <c r="M372" s="81" t="s">
        <v>43</v>
      </c>
      <c r="N372" s="85"/>
      <c r="O372" s="85"/>
      <c r="P372" s="81"/>
      <c r="Q372" s="81"/>
      <c r="R372" s="82"/>
      <c r="S372" s="81"/>
      <c r="T372" s="132" t="str">
        <f ca="1">IF(AND('Inserimento dati'!$B$3=$H$2, Tabella3[[#This Row],[LUN]]="X"), "X",IF(AND('Inserimento dati'!$B$3=$I$2, Tabella3[[#This Row],[MAR]]="X"), "X", IF(AND('Inserimento dati'!$B$3=$J$2, Tabella3[[#This Row],[MER]]="X"), "X",IF(AND('Inserimento dati'!$B$3=$K$2, Tabella3[[#This Row],[GIO]]="X"), "X", IF(AND('Inserimento dati'!$B$3=$L$2, Tabella3[[#This Row],[VEN]]="X"), "X","")))))</f>
        <v/>
      </c>
      <c r="U372" s="66" t="str">
        <f t="shared" ca="1" si="13"/>
        <v>10230340</v>
      </c>
    </row>
    <row r="373" spans="1:21" ht="30" x14ac:dyDescent="0.25">
      <c r="A373" s="84"/>
      <c r="B373" s="84"/>
      <c r="C373" s="84" t="str">
        <f>IF(OR(Tabella3[[#This Row],[LUN]]="X",Tabella3[[#This Row],[MAR]]="X",Tabella3[[#This Row],[MER]]="X",Tabella3[[#This Row],[GIO]]="X",Tabella3[[#This Row],[VEN]]="X",),"X","")</f>
        <v/>
      </c>
      <c r="D373" s="85" t="s">
        <v>10</v>
      </c>
      <c r="E373" s="81" t="s">
        <v>2440</v>
      </c>
      <c r="F373" s="81">
        <v>1200</v>
      </c>
      <c r="G373" s="81" t="s">
        <v>2441</v>
      </c>
      <c r="H373" s="83"/>
      <c r="I373" s="83"/>
      <c r="J373" s="83"/>
      <c r="K373" s="83"/>
      <c r="L373" s="83"/>
      <c r="M373" s="81" t="s">
        <v>43</v>
      </c>
      <c r="N373" s="85"/>
      <c r="O373" s="85"/>
      <c r="P373" s="81"/>
      <c r="Q373" s="81"/>
      <c r="R373" s="82"/>
      <c r="S373" s="81"/>
      <c r="T373" s="132" t="str">
        <f ca="1">IF(AND('Inserimento dati'!$B$3=$H$2, Tabella3[[#This Row],[LUN]]="X"), "X",IF(AND('Inserimento dati'!$B$3=$I$2, Tabella3[[#This Row],[MAR]]="X"), "X", IF(AND('Inserimento dati'!$B$3=$J$2, Tabella3[[#This Row],[MER]]="X"), "X",IF(AND('Inserimento dati'!$B$3=$K$2, Tabella3[[#This Row],[GIO]]="X"), "X", IF(AND('Inserimento dati'!$B$3=$L$2, Tabella3[[#This Row],[VEN]]="X"), "X","")))))</f>
        <v/>
      </c>
      <c r="U373" s="66" t="str">
        <f t="shared" ca="1" si="13"/>
        <v>10230341</v>
      </c>
    </row>
    <row r="374" spans="1:21" ht="165" x14ac:dyDescent="0.25">
      <c r="A374" s="84"/>
      <c r="B374" s="84"/>
      <c r="C374" s="84" t="str">
        <f>IF(OR(Tabella3[[#This Row],[LUN]]="X",Tabella3[[#This Row],[MAR]]="X",Tabella3[[#This Row],[MER]]="X",Tabella3[[#This Row],[GIO]]="X",Tabella3[[#This Row],[VEN]]="X",),"X","")</f>
        <v/>
      </c>
      <c r="D374" s="85" t="s">
        <v>10</v>
      </c>
      <c r="E374" s="81" t="s">
        <v>2442</v>
      </c>
      <c r="F374" s="81" t="s">
        <v>160</v>
      </c>
      <c r="G374" s="81" t="s">
        <v>2443</v>
      </c>
      <c r="H374" s="83"/>
      <c r="I374" s="83"/>
      <c r="J374" s="83"/>
      <c r="K374" s="83"/>
      <c r="L374" s="83"/>
      <c r="M374" s="81" t="s">
        <v>43</v>
      </c>
      <c r="N374" s="85"/>
      <c r="O374" s="85"/>
      <c r="P374" s="81"/>
      <c r="Q374" s="81" t="s">
        <v>2444</v>
      </c>
      <c r="R374" s="82">
        <v>45916</v>
      </c>
      <c r="S374" s="81" t="s">
        <v>23</v>
      </c>
      <c r="T374" s="132" t="str">
        <f ca="1">IF(AND('Inserimento dati'!$B$3=$H$2, Tabella3[[#This Row],[LUN]]="X"), "X",IF(AND('Inserimento dati'!$B$3=$I$2, Tabella3[[#This Row],[MAR]]="X"), "X", IF(AND('Inserimento dati'!$B$3=$J$2, Tabella3[[#This Row],[MER]]="X"), "X",IF(AND('Inserimento dati'!$B$3=$K$2, Tabella3[[#This Row],[GIO]]="X"), "X", IF(AND('Inserimento dati'!$B$3=$L$2, Tabella3[[#This Row],[VEN]]="X"), "X","")))))</f>
        <v/>
      </c>
      <c r="U374" s="66" t="str">
        <f t="shared" ca="1" si="13"/>
        <v>10230257</v>
      </c>
    </row>
    <row r="375" spans="1:21" ht="30" x14ac:dyDescent="0.25">
      <c r="A375" s="84"/>
      <c r="B375" s="84"/>
      <c r="C375" s="84" t="str">
        <f>IF(OR(Tabella3[[#This Row],[LUN]]="X",Tabella3[[#This Row],[MAR]]="X",Tabella3[[#This Row],[MER]]="X",Tabella3[[#This Row],[GIO]]="X",Tabella3[[#This Row],[VEN]]="X",),"X","")</f>
        <v/>
      </c>
      <c r="D375" s="85" t="s">
        <v>10</v>
      </c>
      <c r="E375" s="81" t="s">
        <v>2445</v>
      </c>
      <c r="F375" s="81">
        <v>700</v>
      </c>
      <c r="G375" s="81" t="s">
        <v>2446</v>
      </c>
      <c r="H375" s="83"/>
      <c r="I375" s="83"/>
      <c r="J375" s="83"/>
      <c r="K375" s="83"/>
      <c r="L375" s="83"/>
      <c r="M375" s="81" t="s">
        <v>43</v>
      </c>
      <c r="N375" s="85"/>
      <c r="O375" s="85"/>
      <c r="P375" s="81"/>
      <c r="Q375" s="81" t="s">
        <v>2447</v>
      </c>
      <c r="R375" s="82">
        <v>45918</v>
      </c>
      <c r="S375" s="81" t="s">
        <v>23</v>
      </c>
      <c r="T375" s="132" t="str">
        <f ca="1">IF(AND('Inserimento dati'!$B$3=$H$2, Tabella3[[#This Row],[LUN]]="X"), "X",IF(AND('Inserimento dati'!$B$3=$I$2, Tabella3[[#This Row],[MAR]]="X"), "X", IF(AND('Inserimento dati'!$B$3=$J$2, Tabella3[[#This Row],[MER]]="X"), "X",IF(AND('Inserimento dati'!$B$3=$K$2, Tabella3[[#This Row],[GIO]]="X"), "X", IF(AND('Inserimento dati'!$B$3=$L$2, Tabella3[[#This Row],[VEN]]="X"), "X","")))))</f>
        <v/>
      </c>
      <c r="U375" s="66" t="str">
        <f t="shared" ca="1" si="13"/>
        <v/>
      </c>
    </row>
    <row r="376" spans="1:21" ht="23.25" x14ac:dyDescent="0.25">
      <c r="A376" s="84"/>
      <c r="B376" s="84"/>
      <c r="C376" s="84" t="str">
        <f>IF(OR(Tabella3[[#This Row],[LUN]]="X",Tabella3[[#This Row],[MAR]]="X",Tabella3[[#This Row],[MER]]="X",Tabella3[[#This Row],[GIO]]="X",Tabella3[[#This Row],[VEN]]="X",),"X","")</f>
        <v/>
      </c>
      <c r="D376" s="85" t="s">
        <v>10</v>
      </c>
      <c r="E376" s="81" t="s">
        <v>2448</v>
      </c>
      <c r="F376" s="81">
        <v>1200</v>
      </c>
      <c r="G376" s="81" t="s">
        <v>2449</v>
      </c>
      <c r="H376" s="83"/>
      <c r="I376" s="83"/>
      <c r="J376" s="83"/>
      <c r="K376" s="83"/>
      <c r="L376" s="83"/>
      <c r="M376" s="81" t="s">
        <v>43</v>
      </c>
      <c r="N376" s="85"/>
      <c r="O376" s="85"/>
      <c r="P376" s="81"/>
      <c r="Q376" s="81"/>
      <c r="R376" s="82"/>
      <c r="S376" s="81"/>
      <c r="T376" s="132" t="str">
        <f ca="1">IF(AND('Inserimento dati'!$B$3=$H$2, Tabella3[[#This Row],[LUN]]="X"), "X",IF(AND('Inserimento dati'!$B$3=$I$2, Tabella3[[#This Row],[MAR]]="X"), "X", IF(AND('Inserimento dati'!$B$3=$J$2, Tabella3[[#This Row],[MER]]="X"), "X",IF(AND('Inserimento dati'!$B$3=$K$2, Tabella3[[#This Row],[GIO]]="X"), "X", IF(AND('Inserimento dati'!$B$3=$L$2, Tabella3[[#This Row],[VEN]]="X"), "X","")))))</f>
        <v/>
      </c>
      <c r="U376" s="66" t="str">
        <f t="shared" ca="1" si="13"/>
        <v xml:space="preserve"> 1023033</v>
      </c>
    </row>
    <row r="377" spans="1:21" ht="30" x14ac:dyDescent="0.25">
      <c r="A377" s="84"/>
      <c r="B377" s="84"/>
      <c r="C377" s="84" t="str">
        <f>IF(OR(Tabella3[[#This Row],[LUN]]="X",Tabella3[[#This Row],[MAR]]="X",Tabella3[[#This Row],[MER]]="X",Tabella3[[#This Row],[GIO]]="X",Tabella3[[#This Row],[VEN]]="X",),"X","")</f>
        <v/>
      </c>
      <c r="D377" s="85" t="s">
        <v>10</v>
      </c>
      <c r="E377" s="81" t="s">
        <v>2450</v>
      </c>
      <c r="F377" s="81" t="s">
        <v>106</v>
      </c>
      <c r="G377" s="81" t="s">
        <v>2451</v>
      </c>
      <c r="H377" s="83"/>
      <c r="I377" s="83"/>
      <c r="J377" s="83"/>
      <c r="K377" s="83"/>
      <c r="L377" s="83"/>
      <c r="M377" s="81" t="s">
        <v>43</v>
      </c>
      <c r="N377" s="85"/>
      <c r="O377" s="85"/>
      <c r="P377" s="81"/>
      <c r="Q377" s="81" t="s">
        <v>2452</v>
      </c>
      <c r="R377" s="82">
        <v>45924</v>
      </c>
      <c r="S377" s="81" t="s">
        <v>238</v>
      </c>
      <c r="T377" s="132" t="str">
        <f ca="1">IF(AND('Inserimento dati'!$B$3=$H$2, Tabella3[[#This Row],[LUN]]="X"), "X",IF(AND('Inserimento dati'!$B$3=$I$2, Tabella3[[#This Row],[MAR]]="X"), "X", IF(AND('Inserimento dati'!$B$3=$J$2, Tabella3[[#This Row],[MER]]="X"), "X",IF(AND('Inserimento dati'!$B$3=$K$2, Tabella3[[#This Row],[GIO]]="X"), "X", IF(AND('Inserimento dati'!$B$3=$L$2, Tabella3[[#This Row],[VEN]]="X"), "X","")))))</f>
        <v/>
      </c>
      <c r="U377" s="66" t="str">
        <f t="shared" ca="1" si="13"/>
        <v>10230720</v>
      </c>
    </row>
    <row r="378" spans="1:21" ht="45" x14ac:dyDescent="0.25">
      <c r="A378" s="84"/>
      <c r="B378" s="84"/>
      <c r="C378" s="84" t="str">
        <f>IF(OR(Tabella3[[#This Row],[LUN]]="X",Tabella3[[#This Row],[MAR]]="X",Tabella3[[#This Row],[MER]]="X",Tabella3[[#This Row],[GIO]]="X",Tabella3[[#This Row],[VEN]]="X",),"X","")</f>
        <v/>
      </c>
      <c r="D378" s="85" t="s">
        <v>10</v>
      </c>
      <c r="E378" s="81" t="s">
        <v>191</v>
      </c>
      <c r="F378" s="81">
        <v>1200</v>
      </c>
      <c r="G378" s="81" t="s">
        <v>192</v>
      </c>
      <c r="H378" s="83"/>
      <c r="I378" s="83"/>
      <c r="J378" s="83"/>
      <c r="K378" s="83"/>
      <c r="L378" s="83"/>
      <c r="M378" s="81" t="s">
        <v>43</v>
      </c>
      <c r="N378" s="85"/>
      <c r="O378" s="85"/>
      <c r="P378" s="81"/>
      <c r="Q378" s="81"/>
      <c r="R378" s="82"/>
      <c r="S378" s="81"/>
      <c r="T378" s="132" t="str">
        <f ca="1">IF(AND('Inserimento dati'!$B$3=$H$2, Tabella3[[#This Row],[LUN]]="X"), "X",IF(AND('Inserimento dati'!$B$3=$I$2, Tabella3[[#This Row],[MAR]]="X"), "X", IF(AND('Inserimento dati'!$B$3=$J$2, Tabella3[[#This Row],[MER]]="X"), "X",IF(AND('Inserimento dati'!$B$3=$K$2, Tabella3[[#This Row],[GIO]]="X"), "X", IF(AND('Inserimento dati'!$B$3=$L$2, Tabella3[[#This Row],[VEN]]="X"), "X","")))))</f>
        <v/>
      </c>
      <c r="U378" s="66" t="str">
        <f t="shared" ca="1" si="13"/>
        <v xml:space="preserve"> 1021784</v>
      </c>
    </row>
    <row r="379" spans="1:21" ht="23.25" x14ac:dyDescent="0.25">
      <c r="A379" s="84"/>
      <c r="B379" s="84"/>
      <c r="C379" s="84" t="str">
        <f>IF(OR(Tabella3[[#This Row],[LUN]]="X",Tabella3[[#This Row],[MAR]]="X",Tabella3[[#This Row],[MER]]="X",Tabella3[[#This Row],[GIO]]="X",Tabella3[[#This Row],[VEN]]="X",),"X","")</f>
        <v/>
      </c>
      <c r="D379" s="85" t="s">
        <v>10</v>
      </c>
      <c r="E379" s="81" t="s">
        <v>2453</v>
      </c>
      <c r="F379" s="81" t="s">
        <v>106</v>
      </c>
      <c r="G379" s="81" t="s">
        <v>2454</v>
      </c>
      <c r="H379" s="83"/>
      <c r="I379" s="83"/>
      <c r="J379" s="83"/>
      <c r="K379" s="83"/>
      <c r="L379" s="83"/>
      <c r="M379" s="81" t="s">
        <v>43</v>
      </c>
      <c r="N379" s="85"/>
      <c r="O379" s="85"/>
      <c r="P379" s="81"/>
      <c r="Q379" s="81"/>
      <c r="R379" s="82"/>
      <c r="S379" s="81"/>
      <c r="T379" s="132" t="str">
        <f ca="1">IF(AND('Inserimento dati'!$B$3=$H$2, Tabella3[[#This Row],[LUN]]="X"), "X",IF(AND('Inserimento dati'!$B$3=$I$2, Tabella3[[#This Row],[MAR]]="X"), "X", IF(AND('Inserimento dati'!$B$3=$J$2, Tabella3[[#This Row],[MER]]="X"), "X",IF(AND('Inserimento dati'!$B$3=$K$2, Tabella3[[#This Row],[GIO]]="X"), "X", IF(AND('Inserimento dati'!$B$3=$L$2, Tabella3[[#This Row],[VEN]]="X"), "X","")))))</f>
        <v/>
      </c>
      <c r="U379" s="66" t="str">
        <f t="shared" ca="1" si="13"/>
        <v>10231165</v>
      </c>
    </row>
    <row r="380" spans="1:21" ht="23.25" x14ac:dyDescent="0.25">
      <c r="A380" s="84"/>
      <c r="B380" s="84"/>
      <c r="C380" s="84" t="str">
        <f>IF(OR(Tabella3[[#This Row],[LUN]]="X",Tabella3[[#This Row],[MAR]]="X",Tabella3[[#This Row],[MER]]="X",Tabella3[[#This Row],[GIO]]="X",Tabella3[[#This Row],[VEN]]="X",),"X","")</f>
        <v/>
      </c>
      <c r="D380" s="85" t="s">
        <v>10</v>
      </c>
      <c r="E380" s="81" t="s">
        <v>2455</v>
      </c>
      <c r="F380" s="81">
        <v>700</v>
      </c>
      <c r="G380" s="81" t="s">
        <v>2456</v>
      </c>
      <c r="H380" s="83"/>
      <c r="I380" s="83"/>
      <c r="J380" s="83"/>
      <c r="K380" s="83"/>
      <c r="L380" s="83"/>
      <c r="M380" s="81" t="s">
        <v>43</v>
      </c>
      <c r="N380" s="85"/>
      <c r="O380" s="85"/>
      <c r="P380" s="81"/>
      <c r="Q380" s="81"/>
      <c r="R380" s="82"/>
      <c r="S380" s="81"/>
      <c r="T380" s="132" t="str">
        <f ca="1">IF(AND('Inserimento dati'!$B$3=$H$2, Tabella3[[#This Row],[LUN]]="X"), "X",IF(AND('Inserimento dati'!$B$3=$I$2, Tabella3[[#This Row],[MAR]]="X"), "X", IF(AND('Inserimento dati'!$B$3=$J$2, Tabella3[[#This Row],[MER]]="X"), "X",IF(AND('Inserimento dati'!$B$3=$K$2, Tabella3[[#This Row],[GIO]]="X"), "X", IF(AND('Inserimento dati'!$B$3=$L$2, Tabella3[[#This Row],[VEN]]="X"), "X","")))))</f>
        <v/>
      </c>
      <c r="U380" s="66" t="str">
        <f t="shared" ca="1" si="13"/>
        <v>10230880</v>
      </c>
    </row>
    <row r="381" spans="1:21" ht="30" x14ac:dyDescent="0.25">
      <c r="A381" s="84"/>
      <c r="B381" s="84"/>
      <c r="C381" s="84" t="str">
        <f>IF(OR(Tabella3[[#This Row],[LUN]]="X",Tabella3[[#This Row],[MAR]]="X",Tabella3[[#This Row],[MER]]="X",Tabella3[[#This Row],[GIO]]="X",Tabella3[[#This Row],[VEN]]="X",),"X","")</f>
        <v/>
      </c>
      <c r="D381" s="85" t="s">
        <v>10</v>
      </c>
      <c r="E381" s="81" t="s">
        <v>2457</v>
      </c>
      <c r="F381" s="81">
        <v>1200</v>
      </c>
      <c r="G381" s="81" t="s">
        <v>2458</v>
      </c>
      <c r="H381" s="83"/>
      <c r="I381" s="83"/>
      <c r="J381" s="83"/>
      <c r="K381" s="83"/>
      <c r="L381" s="83"/>
      <c r="M381" s="81" t="s">
        <v>43</v>
      </c>
      <c r="N381" s="85"/>
      <c r="O381" s="85"/>
      <c r="P381" s="81"/>
      <c r="Q381" s="81"/>
      <c r="R381" s="82"/>
      <c r="S381" s="81"/>
      <c r="T381" s="132" t="str">
        <f ca="1">IF(AND('Inserimento dati'!$B$3=$H$2, Tabella3[[#This Row],[LUN]]="X"), "X",IF(AND('Inserimento dati'!$B$3=$I$2, Tabella3[[#This Row],[MAR]]="X"), "X", IF(AND('Inserimento dati'!$B$3=$J$2, Tabella3[[#This Row],[MER]]="X"), "X",IF(AND('Inserimento dati'!$B$3=$K$2, Tabella3[[#This Row],[GIO]]="X"), "X", IF(AND('Inserimento dati'!$B$3=$L$2, Tabella3[[#This Row],[VEN]]="X"), "X","")))))</f>
        <v/>
      </c>
      <c r="U381" s="66" t="str">
        <f t="shared" ca="1" si="13"/>
        <v/>
      </c>
    </row>
    <row r="382" spans="1:21" ht="23.25" x14ac:dyDescent="0.25">
      <c r="A382" s="84"/>
      <c r="B382" s="84"/>
      <c r="C382" s="84" t="str">
        <f>IF(OR(Tabella3[[#This Row],[LUN]]="X",Tabella3[[#This Row],[MAR]]="X",Tabella3[[#This Row],[MER]]="X",Tabella3[[#This Row],[GIO]]="X",Tabella3[[#This Row],[VEN]]="X",),"X","")</f>
        <v/>
      </c>
      <c r="D382" s="85" t="s">
        <v>10</v>
      </c>
      <c r="E382" s="81" t="s">
        <v>2459</v>
      </c>
      <c r="F382" s="81">
        <v>1200</v>
      </c>
      <c r="G382" s="81" t="s">
        <v>2460</v>
      </c>
      <c r="H382" s="83"/>
      <c r="I382" s="83"/>
      <c r="J382" s="83"/>
      <c r="K382" s="83"/>
      <c r="L382" s="83"/>
      <c r="M382" s="81" t="s">
        <v>43</v>
      </c>
      <c r="N382" s="85"/>
      <c r="O382" s="85"/>
      <c r="P382" s="81"/>
      <c r="Q382" s="81"/>
      <c r="R382" s="82"/>
      <c r="S382" s="81"/>
      <c r="T382" s="132" t="str">
        <f ca="1">IF(AND('Inserimento dati'!$B$3=$H$2, Tabella3[[#This Row],[LUN]]="X"), "X",IF(AND('Inserimento dati'!$B$3=$I$2, Tabella3[[#This Row],[MAR]]="X"), "X", IF(AND('Inserimento dati'!$B$3=$J$2, Tabella3[[#This Row],[MER]]="X"), "X",IF(AND('Inserimento dati'!$B$3=$K$2, Tabella3[[#This Row],[GIO]]="X"), "X", IF(AND('Inserimento dati'!$B$3=$L$2, Tabella3[[#This Row],[VEN]]="X"), "X","")))))</f>
        <v/>
      </c>
      <c r="U382" s="66" t="str">
        <f t="shared" ca="1" si="13"/>
        <v/>
      </c>
    </row>
    <row r="383" spans="1:21" ht="23.25" x14ac:dyDescent="0.25">
      <c r="A383" s="84"/>
      <c r="B383" s="84"/>
      <c r="C383" s="84" t="str">
        <f>IF(OR(Tabella3[[#This Row],[LUN]]="X",Tabella3[[#This Row],[MAR]]="X",Tabella3[[#This Row],[MER]]="X",Tabella3[[#This Row],[GIO]]="X",Tabella3[[#This Row],[VEN]]="X",),"X","")</f>
        <v/>
      </c>
      <c r="D383" s="85" t="s">
        <v>10</v>
      </c>
      <c r="E383" s="81" t="s">
        <v>2461</v>
      </c>
      <c r="F383" s="81" t="s">
        <v>160</v>
      </c>
      <c r="G383" s="81" t="s">
        <v>2462</v>
      </c>
      <c r="H383" s="83"/>
      <c r="I383" s="83"/>
      <c r="J383" s="83"/>
      <c r="K383" s="83"/>
      <c r="L383" s="83"/>
      <c r="M383" s="81" t="s">
        <v>43</v>
      </c>
      <c r="N383" s="85"/>
      <c r="O383" s="85"/>
      <c r="P383" s="81"/>
      <c r="Q383" s="81"/>
      <c r="R383" s="82"/>
      <c r="S383" s="81"/>
      <c r="T383" s="132" t="str">
        <f ca="1">IF(AND('Inserimento dati'!$B$3=$H$2, Tabella3[[#This Row],[LUN]]="X"), "X",IF(AND('Inserimento dati'!$B$3=$I$2, Tabella3[[#This Row],[MAR]]="X"), "X", IF(AND('Inserimento dati'!$B$3=$J$2, Tabella3[[#This Row],[MER]]="X"), "X",IF(AND('Inserimento dati'!$B$3=$K$2, Tabella3[[#This Row],[GIO]]="X"), "X", IF(AND('Inserimento dati'!$B$3=$L$2, Tabella3[[#This Row],[VEN]]="X"), "X","")))))</f>
        <v/>
      </c>
      <c r="U383" s="66" t="str">
        <f t="shared" ca="1" si="13"/>
        <v/>
      </c>
    </row>
    <row r="384" spans="1:21" ht="30" x14ac:dyDescent="0.25">
      <c r="A384" s="84"/>
      <c r="B384" s="84"/>
      <c r="C384" s="84" t="str">
        <f>IF(OR(Tabella3[[#This Row],[LUN]]="X",Tabella3[[#This Row],[MAR]]="X",Tabella3[[#This Row],[MER]]="X",Tabella3[[#This Row],[GIO]]="X",Tabella3[[#This Row],[VEN]]="X",),"X","")</f>
        <v/>
      </c>
      <c r="D384" s="85" t="s">
        <v>10</v>
      </c>
      <c r="E384" s="81" t="s">
        <v>2463</v>
      </c>
      <c r="F384" s="81">
        <v>1400</v>
      </c>
      <c r="G384" s="81" t="s">
        <v>2464</v>
      </c>
      <c r="H384" s="83"/>
      <c r="I384" s="83"/>
      <c r="J384" s="83"/>
      <c r="K384" s="83"/>
      <c r="L384" s="83"/>
      <c r="M384" s="81" t="s">
        <v>43</v>
      </c>
      <c r="N384" s="85"/>
      <c r="O384" s="85"/>
      <c r="P384" s="81"/>
      <c r="Q384" s="81" t="s">
        <v>2465</v>
      </c>
      <c r="R384" s="82">
        <v>45938</v>
      </c>
      <c r="S384" s="81" t="s">
        <v>1413</v>
      </c>
      <c r="T384" s="132" t="str">
        <f ca="1">IF(AND('Inserimento dati'!$B$3=$H$2, Tabella3[[#This Row],[LUN]]="X"), "X",IF(AND('Inserimento dati'!$B$3=$I$2, Tabella3[[#This Row],[MAR]]="X"), "X", IF(AND('Inserimento dati'!$B$3=$J$2, Tabella3[[#This Row],[MER]]="X"), "X",IF(AND('Inserimento dati'!$B$3=$K$2, Tabella3[[#This Row],[GIO]]="X"), "X", IF(AND('Inserimento dati'!$B$3=$L$2, Tabella3[[#This Row],[VEN]]="X"), "X","")))))</f>
        <v/>
      </c>
      <c r="U384" s="66" t="str">
        <f t="shared" ca="1" si="13"/>
        <v>10231640</v>
      </c>
    </row>
    <row r="385" spans="1:21" ht="75" x14ac:dyDescent="0.25">
      <c r="A385" s="84"/>
      <c r="B385" s="84"/>
      <c r="C385" s="84" t="str">
        <f>IF(OR(Tabella3[[#This Row],[LUN]]="X",Tabella3[[#This Row],[MAR]]="X",Tabella3[[#This Row],[MER]]="X",Tabella3[[#This Row],[GIO]]="X",Tabella3[[#This Row],[VEN]]="X",),"X","")</f>
        <v/>
      </c>
      <c r="D385" s="85" t="s">
        <v>10</v>
      </c>
      <c r="E385" s="81" t="s">
        <v>2466</v>
      </c>
      <c r="F385" s="81" t="s">
        <v>106</v>
      </c>
      <c r="G385" s="81" t="s">
        <v>2467</v>
      </c>
      <c r="H385" s="83"/>
      <c r="I385" s="83"/>
      <c r="J385" s="83"/>
      <c r="K385" s="83"/>
      <c r="L385" s="83"/>
      <c r="M385" s="81" t="s">
        <v>43</v>
      </c>
      <c r="N385" s="85" t="s">
        <v>8</v>
      </c>
      <c r="O385" s="85"/>
      <c r="P385" s="81"/>
      <c r="Q385" s="81" t="s">
        <v>2468</v>
      </c>
      <c r="R385" s="82">
        <v>45938</v>
      </c>
      <c r="S385" s="81" t="s">
        <v>9</v>
      </c>
      <c r="T385" s="132" t="str">
        <f ca="1">IF(AND('Inserimento dati'!$B$3=$H$2, Tabella3[[#This Row],[LUN]]="X"), "X",IF(AND('Inserimento dati'!$B$3=$I$2, Tabella3[[#This Row],[MAR]]="X"), "X", IF(AND('Inserimento dati'!$B$3=$J$2, Tabella3[[#This Row],[MER]]="X"), "X",IF(AND('Inserimento dati'!$B$3=$K$2, Tabella3[[#This Row],[GIO]]="X"), "X", IF(AND('Inserimento dati'!$B$3=$L$2, Tabella3[[#This Row],[VEN]]="X"), "X","")))))</f>
        <v/>
      </c>
      <c r="U385" s="66" t="str">
        <f t="shared" ca="1" si="13"/>
        <v/>
      </c>
    </row>
    <row r="386" spans="1:21" ht="30" x14ac:dyDescent="0.25">
      <c r="A386" s="84"/>
      <c r="B386" s="84"/>
      <c r="C386" s="84" t="str">
        <f>IF(OR(Tabella3[[#This Row],[LUN]]="X",Tabella3[[#This Row],[MAR]]="X",Tabella3[[#This Row],[MER]]="X",Tabella3[[#This Row],[GIO]]="X",Tabella3[[#This Row],[VEN]]="X",),"X","")</f>
        <v/>
      </c>
      <c r="D386" s="85" t="s">
        <v>10</v>
      </c>
      <c r="E386" s="81" t="s">
        <v>2469</v>
      </c>
      <c r="F386" s="81">
        <v>700</v>
      </c>
      <c r="G386" s="81" t="s">
        <v>2470</v>
      </c>
      <c r="H386" s="83"/>
      <c r="I386" s="83"/>
      <c r="J386" s="83"/>
      <c r="K386" s="83"/>
      <c r="L386" s="83"/>
      <c r="M386" s="81" t="s">
        <v>43</v>
      </c>
      <c r="N386" s="85"/>
      <c r="O386" s="85"/>
      <c r="P386" s="81"/>
      <c r="Q386" s="81" t="s">
        <v>2471</v>
      </c>
      <c r="R386" s="82">
        <v>45938</v>
      </c>
      <c r="S386" s="81" t="s">
        <v>9</v>
      </c>
      <c r="T386" s="132" t="str">
        <f ca="1">IF(AND('Inserimento dati'!$B$3=$H$2, Tabella3[[#This Row],[LUN]]="X"), "X",IF(AND('Inserimento dati'!$B$3=$I$2, Tabella3[[#This Row],[MAR]]="X"), "X", IF(AND('Inserimento dati'!$B$3=$J$2, Tabella3[[#This Row],[MER]]="X"), "X",IF(AND('Inserimento dati'!$B$3=$K$2, Tabella3[[#This Row],[GIO]]="X"), "X", IF(AND('Inserimento dati'!$B$3=$L$2, Tabella3[[#This Row],[VEN]]="X"), "X","")))))</f>
        <v/>
      </c>
      <c r="U386" s="66" t="str">
        <f t="shared" ca="1" si="13"/>
        <v>10231541</v>
      </c>
    </row>
    <row r="387" spans="1:21" ht="23.25" x14ac:dyDescent="0.25">
      <c r="A387" s="84"/>
      <c r="B387" s="84"/>
      <c r="C387" s="84" t="str">
        <f>IF(OR(Tabella3[[#This Row],[LUN]]="X",Tabella3[[#This Row],[MAR]]="X",Tabella3[[#This Row],[MER]]="X",Tabella3[[#This Row],[GIO]]="X",Tabella3[[#This Row],[VEN]]="X",),"X","")</f>
        <v/>
      </c>
      <c r="D387" s="85" t="s">
        <v>10</v>
      </c>
      <c r="E387" s="81" t="s">
        <v>2472</v>
      </c>
      <c r="F387" s="81">
        <v>1200</v>
      </c>
      <c r="G387" s="81" t="s">
        <v>2473</v>
      </c>
      <c r="H387" s="83"/>
      <c r="I387" s="83"/>
      <c r="J387" s="83"/>
      <c r="K387" s="83"/>
      <c r="L387" s="83"/>
      <c r="M387" s="81" t="s">
        <v>43</v>
      </c>
      <c r="N387" s="85"/>
      <c r="O387" s="85"/>
      <c r="P387" s="81"/>
      <c r="Q387" s="81"/>
      <c r="R387" s="82"/>
      <c r="S387" s="81"/>
      <c r="T387" s="132" t="str">
        <f ca="1">IF(AND('Inserimento dati'!$B$3=$H$2, Tabella3[[#This Row],[LUN]]="X"), "X",IF(AND('Inserimento dati'!$B$3=$I$2, Tabella3[[#This Row],[MAR]]="X"), "X", IF(AND('Inserimento dati'!$B$3=$J$2, Tabella3[[#This Row],[MER]]="X"), "X",IF(AND('Inserimento dati'!$B$3=$K$2, Tabella3[[#This Row],[GIO]]="X"), "X", IF(AND('Inserimento dati'!$B$3=$L$2, Tabella3[[#This Row],[VEN]]="X"), "X","")))))</f>
        <v/>
      </c>
      <c r="U387" s="66" t="str">
        <f t="shared" ca="1" si="13"/>
        <v>10230333</v>
      </c>
    </row>
    <row r="388" spans="1:21" ht="23.25" x14ac:dyDescent="0.25">
      <c r="A388" s="84"/>
      <c r="B388" s="84"/>
      <c r="C388" s="84" t="str">
        <f>IF(OR(Tabella3[[#This Row],[LUN]]="X",Tabella3[[#This Row],[MAR]]="X",Tabella3[[#This Row],[MER]]="X",Tabella3[[#This Row],[GIO]]="X",Tabella3[[#This Row],[VEN]]="X",),"X","")</f>
        <v/>
      </c>
      <c r="D388" s="85" t="s">
        <v>10</v>
      </c>
      <c r="E388" s="81" t="s">
        <v>2474</v>
      </c>
      <c r="F388" s="81" t="s">
        <v>106</v>
      </c>
      <c r="G388" s="81" t="s">
        <v>2475</v>
      </c>
      <c r="H388" s="83"/>
      <c r="I388" s="83"/>
      <c r="J388" s="83"/>
      <c r="K388" s="83"/>
      <c r="L388" s="83"/>
      <c r="M388" s="81" t="s">
        <v>43</v>
      </c>
      <c r="N388" s="85"/>
      <c r="O388" s="85"/>
      <c r="P388" s="81"/>
      <c r="Q388" s="81" t="s">
        <v>2476</v>
      </c>
      <c r="R388" s="82">
        <v>45937</v>
      </c>
      <c r="S388" s="81"/>
      <c r="T388" s="132" t="str">
        <f ca="1">IF(AND('Inserimento dati'!$B$3=$H$2, Tabella3[[#This Row],[LUN]]="X"), "X",IF(AND('Inserimento dati'!$B$3=$I$2, Tabella3[[#This Row],[MAR]]="X"), "X", IF(AND('Inserimento dati'!$B$3=$J$2, Tabella3[[#This Row],[MER]]="X"), "X",IF(AND('Inserimento dati'!$B$3=$K$2, Tabella3[[#This Row],[GIO]]="X"), "X", IF(AND('Inserimento dati'!$B$3=$L$2, Tabella3[[#This Row],[VEN]]="X"), "X","")))))</f>
        <v/>
      </c>
      <c r="U388" s="66" t="str">
        <f t="shared" ref="U388:U451" ca="1" si="14">IFERROR(MID(G388,_xlfn.AGGREGATE(15,6,(ROW(INDIRECT("1:"&amp;LEN(G388)-7)))/(ISNUMBER(--MID(G388,ROW(INDIRECT("1:"&amp;LEN(G388)-7)),8))),1),8),"")</f>
        <v>10231539</v>
      </c>
    </row>
    <row r="389" spans="1:21" ht="45" x14ac:dyDescent="0.25">
      <c r="A389" s="84"/>
      <c r="B389" s="84"/>
      <c r="C389" s="84" t="str">
        <f>IF(OR(Tabella3[[#This Row],[LUN]]="X",Tabella3[[#This Row],[MAR]]="X",Tabella3[[#This Row],[MER]]="X",Tabella3[[#This Row],[GIO]]="X",Tabella3[[#This Row],[VEN]]="X",),"X","")</f>
        <v>X</v>
      </c>
      <c r="D389" s="85" t="s">
        <v>10</v>
      </c>
      <c r="E389" s="81" t="s">
        <v>2477</v>
      </c>
      <c r="F389" s="81">
        <v>1200</v>
      </c>
      <c r="G389" s="81" t="s">
        <v>2478</v>
      </c>
      <c r="H389" s="83" t="s">
        <v>8</v>
      </c>
      <c r="I389" s="83"/>
      <c r="J389" s="83" t="s">
        <v>8</v>
      </c>
      <c r="K389" s="83" t="s">
        <v>8</v>
      </c>
      <c r="L389" s="83"/>
      <c r="M389" s="81" t="s">
        <v>43</v>
      </c>
      <c r="N389" s="85"/>
      <c r="O389" s="85"/>
      <c r="P389" s="81"/>
      <c r="Q389" s="81" t="s">
        <v>2479</v>
      </c>
      <c r="R389" s="82">
        <v>45946</v>
      </c>
      <c r="S389" s="81" t="s">
        <v>238</v>
      </c>
      <c r="T389" s="132" t="str">
        <f ca="1">IF(AND('Inserimento dati'!$B$3=$H$2, Tabella3[[#This Row],[LUN]]="X"), "X",IF(AND('Inserimento dati'!$B$3=$I$2, Tabella3[[#This Row],[MAR]]="X"), "X", IF(AND('Inserimento dati'!$B$3=$J$2, Tabella3[[#This Row],[MER]]="X"), "X",IF(AND('Inserimento dati'!$B$3=$K$2, Tabella3[[#This Row],[GIO]]="X"), "X", IF(AND('Inserimento dati'!$B$3=$L$2, Tabella3[[#This Row],[VEN]]="X"), "X","")))))</f>
        <v/>
      </c>
      <c r="U389" s="125" t="str">
        <f t="shared" ca="1" si="14"/>
        <v>10231952</v>
      </c>
    </row>
    <row r="390" spans="1:21" ht="23.25" x14ac:dyDescent="0.25">
      <c r="A390" s="84"/>
      <c r="B390" s="84"/>
      <c r="C390" s="84" t="str">
        <f>IF(OR(Tabella3[[#This Row],[LUN]]="X",Tabella3[[#This Row],[MAR]]="X",Tabella3[[#This Row],[MER]]="X",Tabella3[[#This Row],[GIO]]="X",Tabella3[[#This Row],[VEN]]="X",),"X","")</f>
        <v/>
      </c>
      <c r="D390" s="85" t="s">
        <v>10</v>
      </c>
      <c r="E390" s="81" t="s">
        <v>2485</v>
      </c>
      <c r="F390" s="81">
        <v>700</v>
      </c>
      <c r="G390" s="81" t="s">
        <v>2486</v>
      </c>
      <c r="H390" s="83"/>
      <c r="I390" s="83"/>
      <c r="J390" s="83"/>
      <c r="K390" s="83"/>
      <c r="L390" s="83"/>
      <c r="M390" s="81" t="s">
        <v>43</v>
      </c>
      <c r="N390" s="85"/>
      <c r="O390" s="85"/>
      <c r="P390" s="81"/>
      <c r="Q390" s="81"/>
      <c r="R390" s="82"/>
      <c r="S390" s="81"/>
      <c r="T390" s="132" t="str">
        <f ca="1">IF(AND('Inserimento dati'!$B$3=$H$2, Tabella3[[#This Row],[LUN]]="X"), "X",IF(AND('Inserimento dati'!$B$3=$I$2, Tabella3[[#This Row],[MAR]]="X"), "X", IF(AND('Inserimento dati'!$B$3=$J$2, Tabella3[[#This Row],[MER]]="X"), "X",IF(AND('Inserimento dati'!$B$3=$K$2, Tabella3[[#This Row],[GIO]]="X"), "X", IF(AND('Inserimento dati'!$B$3=$L$2, Tabella3[[#This Row],[VEN]]="X"), "X","")))))</f>
        <v/>
      </c>
      <c r="U390" s="125" t="str">
        <f t="shared" ca="1" si="14"/>
        <v>10226908</v>
      </c>
    </row>
    <row r="391" spans="1:21" ht="23.25" x14ac:dyDescent="0.25">
      <c r="A391" s="84"/>
      <c r="B391" s="84"/>
      <c r="C391" s="84" t="str">
        <f>IF(OR(Tabella3[[#This Row],[LUN]]="X",Tabella3[[#This Row],[MAR]]="X",Tabella3[[#This Row],[MER]]="X",Tabella3[[#This Row],[GIO]]="X",Tabella3[[#This Row],[VEN]]="X",),"X","")</f>
        <v/>
      </c>
      <c r="D391" s="85" t="s">
        <v>10</v>
      </c>
      <c r="E391" s="81" t="s">
        <v>2487</v>
      </c>
      <c r="F391" s="81">
        <v>1100</v>
      </c>
      <c r="G391" s="81" t="s">
        <v>2488</v>
      </c>
      <c r="H391" s="83"/>
      <c r="I391" s="83"/>
      <c r="J391" s="83"/>
      <c r="K391" s="83"/>
      <c r="L391" s="83"/>
      <c r="M391" s="81" t="s">
        <v>43</v>
      </c>
      <c r="N391" s="85"/>
      <c r="O391" s="85"/>
      <c r="P391" s="81"/>
      <c r="Q391" s="81"/>
      <c r="R391" s="82"/>
      <c r="S391" s="81"/>
      <c r="T391" s="132" t="str">
        <f ca="1">IF(AND('Inserimento dati'!$B$3=$H$2, Tabella3[[#This Row],[LUN]]="X"), "X",IF(AND('Inserimento dati'!$B$3=$I$2, Tabella3[[#This Row],[MAR]]="X"), "X", IF(AND('Inserimento dati'!$B$3=$J$2, Tabella3[[#This Row],[MER]]="X"), "X",IF(AND('Inserimento dati'!$B$3=$K$2, Tabella3[[#This Row],[GIO]]="X"), "X", IF(AND('Inserimento dati'!$B$3=$L$2, Tabella3[[#This Row],[VEN]]="X"), "X","")))))</f>
        <v/>
      </c>
      <c r="U391" s="125" t="str">
        <f t="shared" ca="1" si="14"/>
        <v>10228179</v>
      </c>
    </row>
    <row r="392" spans="1:21" ht="23.25" x14ac:dyDescent="0.25">
      <c r="A392" s="84"/>
      <c r="B392" s="84"/>
      <c r="C392" s="84" t="str">
        <f>IF(OR(Tabella3[[#This Row],[LUN]]="X",Tabella3[[#This Row],[MAR]]="X",Tabella3[[#This Row],[MER]]="X",Tabella3[[#This Row],[GIO]]="X",Tabella3[[#This Row],[VEN]]="X",),"X","")</f>
        <v/>
      </c>
      <c r="D392" s="85" t="s">
        <v>10</v>
      </c>
      <c r="E392" s="81" t="s">
        <v>2489</v>
      </c>
      <c r="F392" s="81">
        <v>1200</v>
      </c>
      <c r="G392" s="81" t="s">
        <v>2490</v>
      </c>
      <c r="H392" s="83"/>
      <c r="I392" s="83"/>
      <c r="J392" s="83"/>
      <c r="K392" s="83"/>
      <c r="L392" s="83"/>
      <c r="M392" s="81" t="s">
        <v>43</v>
      </c>
      <c r="N392" s="85"/>
      <c r="O392" s="85"/>
      <c r="P392" s="81"/>
      <c r="Q392" s="81"/>
      <c r="R392" s="82"/>
      <c r="S392" s="81"/>
      <c r="T392" s="132" t="str">
        <f ca="1">IF(AND('Inserimento dati'!$B$3=$H$2, Tabella3[[#This Row],[LUN]]="X"), "X",IF(AND('Inserimento dati'!$B$3=$I$2, Tabella3[[#This Row],[MAR]]="X"), "X", IF(AND('Inserimento dati'!$B$3=$J$2, Tabella3[[#This Row],[MER]]="X"), "X",IF(AND('Inserimento dati'!$B$3=$K$2, Tabella3[[#This Row],[GIO]]="X"), "X", IF(AND('Inserimento dati'!$B$3=$L$2, Tabella3[[#This Row],[VEN]]="X"), "X","")))))</f>
        <v/>
      </c>
      <c r="U392" s="125" t="str">
        <f t="shared" ca="1" si="14"/>
        <v>10229300</v>
      </c>
    </row>
    <row r="393" spans="1:21" ht="23.25" x14ac:dyDescent="0.25">
      <c r="A393" s="84"/>
      <c r="B393" s="84"/>
      <c r="C393" s="84" t="str">
        <f>IF(OR(Tabella3[[#This Row],[LUN]]="X",Tabella3[[#This Row],[MAR]]="X",Tabella3[[#This Row],[MER]]="X",Tabella3[[#This Row],[GIO]]="X",Tabella3[[#This Row],[VEN]]="X",),"X","")</f>
        <v/>
      </c>
      <c r="D393" s="85" t="s">
        <v>10</v>
      </c>
      <c r="E393" s="81" t="s">
        <v>3291</v>
      </c>
      <c r="F393" s="81">
        <v>1200</v>
      </c>
      <c r="G393" s="81" t="s">
        <v>3292</v>
      </c>
      <c r="H393" s="83"/>
      <c r="I393" s="83"/>
      <c r="J393" s="83"/>
      <c r="K393" s="83"/>
      <c r="L393" s="83"/>
      <c r="M393" s="81" t="s">
        <v>43</v>
      </c>
      <c r="N393" s="85"/>
      <c r="O393" s="85"/>
      <c r="P393" s="81"/>
      <c r="Q393" s="81"/>
      <c r="R393" s="82"/>
      <c r="S393" s="81"/>
      <c r="T393" s="132" t="str">
        <f ca="1">IF(AND('Inserimento dati'!$B$3=$H$2, Tabella3[[#This Row],[LUN]]="X"), "X",IF(AND('Inserimento dati'!$B$3=$I$2, Tabella3[[#This Row],[MAR]]="X"), "X", IF(AND('Inserimento dati'!$B$3=$J$2, Tabella3[[#This Row],[MER]]="X"), "X",IF(AND('Inserimento dati'!$B$3=$K$2, Tabella3[[#This Row],[GIO]]="X"), "X", IF(AND('Inserimento dati'!$B$3=$L$2, Tabella3[[#This Row],[VEN]]="X"), "X","")))))</f>
        <v/>
      </c>
      <c r="U393" s="66" t="str">
        <f t="shared" ca="1" si="14"/>
        <v>10232613</v>
      </c>
    </row>
    <row r="394" spans="1:21" ht="23.25" x14ac:dyDescent="0.25">
      <c r="A394" s="84"/>
      <c r="B394" s="84"/>
      <c r="C394" s="84" t="str">
        <f>IF(OR(Tabella3[[#This Row],[LUN]]="X",Tabella3[[#This Row],[MAR]]="X",Tabella3[[#This Row],[MER]]="X",Tabella3[[#This Row],[GIO]]="X",Tabella3[[#This Row],[VEN]]="X",),"X","")</f>
        <v/>
      </c>
      <c r="D394" s="85" t="s">
        <v>10</v>
      </c>
      <c r="E394" s="81" t="s">
        <v>3293</v>
      </c>
      <c r="F394" s="81">
        <v>700</v>
      </c>
      <c r="G394" s="81" t="s">
        <v>3294</v>
      </c>
      <c r="H394" s="83"/>
      <c r="I394" s="83"/>
      <c r="J394" s="83"/>
      <c r="K394" s="83"/>
      <c r="L394" s="83"/>
      <c r="M394" s="81" t="s">
        <v>43</v>
      </c>
      <c r="N394" s="85"/>
      <c r="O394" s="85"/>
      <c r="P394" s="81"/>
      <c r="Q394" s="81"/>
      <c r="R394" s="82"/>
      <c r="S394" s="81"/>
      <c r="T394" s="132" t="str">
        <f ca="1">IF(AND('Inserimento dati'!$B$3=$H$2, Tabella3[[#This Row],[LUN]]="X"), "X",IF(AND('Inserimento dati'!$B$3=$I$2, Tabella3[[#This Row],[MAR]]="X"), "X", IF(AND('Inserimento dati'!$B$3=$J$2, Tabella3[[#This Row],[MER]]="X"), "X",IF(AND('Inserimento dati'!$B$3=$K$2, Tabella3[[#This Row],[GIO]]="X"), "X", IF(AND('Inserimento dati'!$B$3=$L$2, Tabella3[[#This Row],[VEN]]="X"), "X","")))))</f>
        <v/>
      </c>
      <c r="U394" s="66" t="str">
        <f t="shared" ca="1" si="14"/>
        <v>10224479</v>
      </c>
    </row>
    <row r="395" spans="1:21" ht="23.25" x14ac:dyDescent="0.25">
      <c r="A395" s="84"/>
      <c r="B395" s="84"/>
      <c r="C395" s="84" t="str">
        <f>IF(OR(Tabella3[[#This Row],[LUN]]="X",Tabella3[[#This Row],[MAR]]="X",Tabella3[[#This Row],[MER]]="X",Tabella3[[#This Row],[GIO]]="X",Tabella3[[#This Row],[VEN]]="X",),"X","")</f>
        <v/>
      </c>
      <c r="D395" s="85" t="s">
        <v>10</v>
      </c>
      <c r="E395" s="81" t="s">
        <v>3297</v>
      </c>
      <c r="F395" s="81">
        <v>700</v>
      </c>
      <c r="G395" s="81" t="s">
        <v>3298</v>
      </c>
      <c r="H395" s="83"/>
      <c r="I395" s="83"/>
      <c r="J395" s="83"/>
      <c r="K395" s="83"/>
      <c r="L395" s="83"/>
      <c r="M395" s="81" t="s">
        <v>43</v>
      </c>
      <c r="N395" s="85"/>
      <c r="O395" s="85"/>
      <c r="P395" s="81"/>
      <c r="Q395" s="81"/>
      <c r="R395" s="82"/>
      <c r="S395" s="81"/>
      <c r="T395" s="132" t="str">
        <f ca="1">IF(AND('Inserimento dati'!$B$3=$H$2, Tabella3[[#This Row],[LUN]]="X"), "X",IF(AND('Inserimento dati'!$B$3=$I$2, Tabella3[[#This Row],[MAR]]="X"), "X", IF(AND('Inserimento dati'!$B$3=$J$2, Tabella3[[#This Row],[MER]]="X"), "X",IF(AND('Inserimento dati'!$B$3=$K$2, Tabella3[[#This Row],[GIO]]="X"), "X", IF(AND('Inserimento dati'!$B$3=$L$2, Tabella3[[#This Row],[VEN]]="X"), "X","")))))</f>
        <v/>
      </c>
      <c r="U395" s="66" t="str">
        <f t="shared" ca="1" si="14"/>
        <v xml:space="preserve"> 1022447</v>
      </c>
    </row>
    <row r="396" spans="1:21" ht="23.25" x14ac:dyDescent="0.25">
      <c r="A396" s="84"/>
      <c r="B396" s="84"/>
      <c r="C396" s="84" t="str">
        <f>IF(OR(Tabella3[[#This Row],[LUN]]="X",Tabella3[[#This Row],[MAR]]="X",Tabella3[[#This Row],[MER]]="X",Tabella3[[#This Row],[GIO]]="X",Tabella3[[#This Row],[VEN]]="X",),"X","")</f>
        <v/>
      </c>
      <c r="D396" s="85" t="s">
        <v>10</v>
      </c>
      <c r="E396" s="81" t="s">
        <v>3299</v>
      </c>
      <c r="F396" s="81">
        <v>700</v>
      </c>
      <c r="G396" s="81" t="s">
        <v>3300</v>
      </c>
      <c r="H396" s="83"/>
      <c r="I396" s="83"/>
      <c r="J396" s="83"/>
      <c r="K396" s="83"/>
      <c r="L396" s="83"/>
      <c r="M396" s="81" t="s">
        <v>43</v>
      </c>
      <c r="N396" s="85"/>
      <c r="O396" s="85"/>
      <c r="P396" s="81"/>
      <c r="Q396" s="81"/>
      <c r="R396" s="82"/>
      <c r="S396" s="81"/>
      <c r="T396" s="132" t="str">
        <f ca="1">IF(AND('Inserimento dati'!$B$3=$H$2, Tabella3[[#This Row],[LUN]]="X"), "X",IF(AND('Inserimento dati'!$B$3=$I$2, Tabella3[[#This Row],[MAR]]="X"), "X", IF(AND('Inserimento dati'!$B$3=$J$2, Tabella3[[#This Row],[MER]]="X"), "X",IF(AND('Inserimento dati'!$B$3=$K$2, Tabella3[[#This Row],[GIO]]="X"), "X", IF(AND('Inserimento dati'!$B$3=$L$2, Tabella3[[#This Row],[VEN]]="X"), "X","")))))</f>
        <v/>
      </c>
      <c r="U396" s="66" t="str">
        <f t="shared" ca="1" si="14"/>
        <v>10224476</v>
      </c>
    </row>
    <row r="397" spans="1:21" ht="23.25" x14ac:dyDescent="0.25">
      <c r="A397" s="84"/>
      <c r="B397" s="84"/>
      <c r="C397" s="84" t="str">
        <f>IF(OR(Tabella3[[#This Row],[LUN]]="X",Tabella3[[#This Row],[MAR]]="X",Tabella3[[#This Row],[MER]]="X",Tabella3[[#This Row],[GIO]]="X",Tabella3[[#This Row],[VEN]]="X",),"X","")</f>
        <v/>
      </c>
      <c r="D397" s="85" t="s">
        <v>10</v>
      </c>
      <c r="E397" s="81" t="s">
        <v>3301</v>
      </c>
      <c r="F397" s="81">
        <v>700</v>
      </c>
      <c r="G397" s="81" t="s">
        <v>3302</v>
      </c>
      <c r="H397" s="83"/>
      <c r="I397" s="83"/>
      <c r="J397" s="83"/>
      <c r="K397" s="83"/>
      <c r="L397" s="83"/>
      <c r="M397" s="81" t="s">
        <v>43</v>
      </c>
      <c r="N397" s="85"/>
      <c r="O397" s="85"/>
      <c r="P397" s="81"/>
      <c r="Q397" s="81"/>
      <c r="R397" s="82"/>
      <c r="S397" s="81"/>
      <c r="T397" s="132" t="str">
        <f ca="1">IF(AND('Inserimento dati'!$B$3=$H$2, Tabella3[[#This Row],[LUN]]="X"), "X",IF(AND('Inserimento dati'!$B$3=$I$2, Tabella3[[#This Row],[MAR]]="X"), "X", IF(AND('Inserimento dati'!$B$3=$J$2, Tabella3[[#This Row],[MER]]="X"), "X",IF(AND('Inserimento dati'!$B$3=$K$2, Tabella3[[#This Row],[GIO]]="X"), "X", IF(AND('Inserimento dati'!$B$3=$L$2, Tabella3[[#This Row],[VEN]]="X"), "X","")))))</f>
        <v/>
      </c>
      <c r="U397" s="66" t="str">
        <f t="shared" ca="1" si="14"/>
        <v>10224449</v>
      </c>
    </row>
    <row r="398" spans="1:21" ht="60" x14ac:dyDescent="0.25">
      <c r="A398" s="84"/>
      <c r="B398" s="84"/>
      <c r="C398" s="84" t="str">
        <f>IF(OR(Tabella3[[#This Row],[LUN]]="X",Tabella3[[#This Row],[MAR]]="X",Tabella3[[#This Row],[MER]]="X",Tabella3[[#This Row],[GIO]]="X",Tabella3[[#This Row],[VEN]]="X",),"X","")</f>
        <v>X</v>
      </c>
      <c r="D398" s="85" t="s">
        <v>10</v>
      </c>
      <c r="E398" s="81" t="s">
        <v>2326</v>
      </c>
      <c r="F398" s="81" t="s">
        <v>199</v>
      </c>
      <c r="G398" s="81" t="s">
        <v>2327</v>
      </c>
      <c r="H398" s="83"/>
      <c r="I398" s="83"/>
      <c r="J398" s="83" t="s">
        <v>8</v>
      </c>
      <c r="K398" s="83" t="s">
        <v>8</v>
      </c>
      <c r="L398" s="83" t="s">
        <v>8</v>
      </c>
      <c r="M398" s="81" t="s">
        <v>43</v>
      </c>
      <c r="N398" s="85"/>
      <c r="O398" s="85"/>
      <c r="P398" s="81"/>
      <c r="Q398" s="81" t="s">
        <v>3475</v>
      </c>
      <c r="R398" s="82">
        <v>45952</v>
      </c>
      <c r="S398" s="81" t="s">
        <v>45</v>
      </c>
      <c r="T398" s="132" t="str">
        <f ca="1">IF(AND('Inserimento dati'!$B$3=$H$2, Tabella3[[#This Row],[LUN]]="X"), "X",IF(AND('Inserimento dati'!$B$3=$I$2, Tabella3[[#This Row],[MAR]]="X"), "X", IF(AND('Inserimento dati'!$B$3=$J$2, Tabella3[[#This Row],[MER]]="X"), "X",IF(AND('Inserimento dati'!$B$3=$K$2, Tabella3[[#This Row],[GIO]]="X"), "X", IF(AND('Inserimento dati'!$B$3=$L$2, Tabella3[[#This Row],[VEN]]="X"), "X","")))))</f>
        <v/>
      </c>
      <c r="U398" s="125" t="str">
        <f t="shared" ca="1" si="14"/>
        <v/>
      </c>
    </row>
    <row r="399" spans="1:21" ht="23.25" x14ac:dyDescent="0.25">
      <c r="A399" s="84"/>
      <c r="B399" s="84"/>
      <c r="C399" s="84" t="str">
        <f>IF(OR(Tabella3[[#This Row],[LUN]]="X",Tabella3[[#This Row],[MAR]]="X",Tabella3[[#This Row],[MER]]="X",Tabella3[[#This Row],[GIO]]="X",Tabella3[[#This Row],[VEN]]="X",),"X","")</f>
        <v/>
      </c>
      <c r="D399" s="85" t="s">
        <v>10</v>
      </c>
      <c r="E399" s="81" t="s">
        <v>3468</v>
      </c>
      <c r="F399" s="81">
        <v>700</v>
      </c>
      <c r="G399" s="81" t="s">
        <v>3526</v>
      </c>
      <c r="H399" s="83"/>
      <c r="I399" s="83"/>
      <c r="J399" s="83"/>
      <c r="K399" s="83"/>
      <c r="L399" s="83"/>
      <c r="M399" s="81" t="s">
        <v>43</v>
      </c>
      <c r="N399" s="85"/>
      <c r="O399" s="85"/>
      <c r="P399" s="81"/>
      <c r="Q399" s="81"/>
      <c r="R399" s="82"/>
      <c r="S399" s="81"/>
      <c r="T399" s="132" t="str">
        <f ca="1">IF(AND('Inserimento dati'!$B$3=$H$2, Tabella3[[#This Row],[LUN]]="X"), "X",IF(AND('Inserimento dati'!$B$3=$I$2, Tabella3[[#This Row],[MAR]]="X"), "X", IF(AND('Inserimento dati'!$B$3=$J$2, Tabella3[[#This Row],[MER]]="X"), "X",IF(AND('Inserimento dati'!$B$3=$K$2, Tabella3[[#This Row],[GIO]]="X"), "X", IF(AND('Inserimento dati'!$B$3=$L$2, Tabella3[[#This Row],[VEN]]="X"), "X","")))))</f>
        <v/>
      </c>
      <c r="U399" s="66" t="str">
        <f t="shared" ca="1" si="14"/>
        <v>10224442</v>
      </c>
    </row>
    <row r="400" spans="1:21" ht="23.25" x14ac:dyDescent="0.25">
      <c r="A400" s="84"/>
      <c r="B400" s="84"/>
      <c r="C400" s="84" t="str">
        <f>IF(OR(Tabella3[[#This Row],[LUN]]="X",Tabella3[[#This Row],[MAR]]="X",Tabella3[[#This Row],[MER]]="X",Tabella3[[#This Row],[GIO]]="X",Tabella3[[#This Row],[VEN]]="X",),"X","")</f>
        <v/>
      </c>
      <c r="D400" s="85" t="s">
        <v>10</v>
      </c>
      <c r="E400" s="81" t="s">
        <v>3469</v>
      </c>
      <c r="F400" s="81">
        <v>700</v>
      </c>
      <c r="G400" s="81" t="s">
        <v>3527</v>
      </c>
      <c r="H400" s="83"/>
      <c r="I400" s="83"/>
      <c r="J400" s="83"/>
      <c r="K400" s="83"/>
      <c r="L400" s="83"/>
      <c r="M400" s="81" t="s">
        <v>43</v>
      </c>
      <c r="N400" s="85"/>
      <c r="O400" s="85"/>
      <c r="P400" s="81"/>
      <c r="Q400" s="81"/>
      <c r="R400" s="82"/>
      <c r="S400" s="81"/>
      <c r="T400" s="132" t="str">
        <f ca="1">IF(AND('Inserimento dati'!$B$3=$H$2, Tabella3[[#This Row],[LUN]]="X"), "X",IF(AND('Inserimento dati'!$B$3=$I$2, Tabella3[[#This Row],[MAR]]="X"), "X", IF(AND('Inserimento dati'!$B$3=$J$2, Tabella3[[#This Row],[MER]]="X"), "X",IF(AND('Inserimento dati'!$B$3=$K$2, Tabella3[[#This Row],[GIO]]="X"), "X", IF(AND('Inserimento dati'!$B$3=$L$2, Tabella3[[#This Row],[VEN]]="X"), "X","")))))</f>
        <v/>
      </c>
      <c r="U400" s="66" t="str">
        <f t="shared" ca="1" si="14"/>
        <v>10224485</v>
      </c>
    </row>
    <row r="401" spans="1:21" ht="30" x14ac:dyDescent="0.25">
      <c r="A401" s="84"/>
      <c r="B401" s="84"/>
      <c r="C401" s="84" t="str">
        <f>IF(OR(Tabella3[[#This Row],[LUN]]="X",Tabella3[[#This Row],[MAR]]="X",Tabella3[[#This Row],[MER]]="X",Tabella3[[#This Row],[GIO]]="X",Tabella3[[#This Row],[VEN]]="X",),"X","")</f>
        <v/>
      </c>
      <c r="D401" s="85" t="s">
        <v>10</v>
      </c>
      <c r="E401" s="81" t="s">
        <v>3290</v>
      </c>
      <c r="F401" s="81">
        <v>1800</v>
      </c>
      <c r="G401" s="81" t="s">
        <v>3505</v>
      </c>
      <c r="H401" s="83"/>
      <c r="I401" s="83"/>
      <c r="J401" s="83"/>
      <c r="K401" s="83"/>
      <c r="L401" s="83"/>
      <c r="M401" s="81" t="s">
        <v>121</v>
      </c>
      <c r="N401" s="85"/>
      <c r="O401" s="85"/>
      <c r="P401" s="81"/>
      <c r="Q401" s="81" t="s">
        <v>3476</v>
      </c>
      <c r="R401" s="82">
        <v>45953</v>
      </c>
      <c r="S401" s="81" t="s">
        <v>38</v>
      </c>
      <c r="T401" s="132" t="str">
        <f ca="1">IF(AND('Inserimento dati'!$B$3=$H$2, Tabella3[[#This Row],[LUN]]="X"), "X",IF(AND('Inserimento dati'!$B$3=$I$2, Tabella3[[#This Row],[MAR]]="X"), "X", IF(AND('Inserimento dati'!$B$3=$J$2, Tabella3[[#This Row],[MER]]="X"), "X",IF(AND('Inserimento dati'!$B$3=$K$2, Tabella3[[#This Row],[GIO]]="X"), "X", IF(AND('Inserimento dati'!$B$3=$L$2, Tabella3[[#This Row],[VEN]]="X"), "X","")))))</f>
        <v/>
      </c>
      <c r="U401" s="177" t="str">
        <f t="shared" ca="1" si="14"/>
        <v>00000003</v>
      </c>
    </row>
    <row r="402" spans="1:21" ht="23.25" x14ac:dyDescent="0.25">
      <c r="A402" s="84"/>
      <c r="B402" s="84"/>
      <c r="C402" s="84" t="str">
        <f>IF(OR(Tabella3[[#This Row],[LUN]]="X",Tabella3[[#This Row],[MAR]]="X",Tabella3[[#This Row],[MER]]="X",Tabella3[[#This Row],[GIO]]="X",Tabella3[[#This Row],[VEN]]="X",),"X","")</f>
        <v>X</v>
      </c>
      <c r="D402" s="85" t="s">
        <v>10</v>
      </c>
      <c r="E402" s="81" t="s">
        <v>2484</v>
      </c>
      <c r="F402" s="81">
        <v>1200</v>
      </c>
      <c r="G402" s="81" t="s">
        <v>2417</v>
      </c>
      <c r="H402" s="83" t="s">
        <v>8</v>
      </c>
      <c r="I402" s="83" t="s">
        <v>8</v>
      </c>
      <c r="J402" s="83" t="s">
        <v>8</v>
      </c>
      <c r="K402" s="83" t="s">
        <v>8</v>
      </c>
      <c r="L402" s="83" t="s">
        <v>8</v>
      </c>
      <c r="M402" s="81" t="s">
        <v>121</v>
      </c>
      <c r="N402" s="85"/>
      <c r="O402" s="85"/>
      <c r="P402" s="81"/>
      <c r="Q402" s="81"/>
      <c r="R402" s="82"/>
      <c r="S402" s="81"/>
      <c r="T402" s="132" t="str">
        <f ca="1">IF(AND('Inserimento dati'!$B$3=$H$2, Tabella3[[#This Row],[LUN]]="X"), "X",IF(AND('Inserimento dati'!$B$3=$I$2, Tabella3[[#This Row],[MAR]]="X"), "X", IF(AND('Inserimento dati'!$B$3=$J$2, Tabella3[[#This Row],[MER]]="X"), "X",IF(AND('Inserimento dati'!$B$3=$K$2, Tabella3[[#This Row],[GIO]]="X"), "X", IF(AND('Inserimento dati'!$B$3=$L$2, Tabella3[[#This Row],[VEN]]="X"), "X","")))))</f>
        <v/>
      </c>
      <c r="U402" s="66" t="str">
        <f t="shared" ca="1" si="14"/>
        <v/>
      </c>
    </row>
    <row r="403" spans="1:21" ht="30" x14ac:dyDescent="0.25">
      <c r="A403" s="84"/>
      <c r="B403" s="84"/>
      <c r="C403" s="84" t="str">
        <f>IF(OR(Tabella3[[#This Row],[LUN]]="X",Tabella3[[#This Row],[MAR]]="X",Tabella3[[#This Row],[MER]]="X",Tabella3[[#This Row],[GIO]]="X",Tabella3[[#This Row],[VEN]]="X",),"X","")</f>
        <v>X</v>
      </c>
      <c r="D403" s="85" t="s">
        <v>10</v>
      </c>
      <c r="E403" s="81" t="s">
        <v>2491</v>
      </c>
      <c r="F403" s="81" t="s">
        <v>106</v>
      </c>
      <c r="G403" s="81" t="s">
        <v>2492</v>
      </c>
      <c r="H403" s="83"/>
      <c r="I403" s="83"/>
      <c r="J403" s="83" t="s">
        <v>8</v>
      </c>
      <c r="K403" s="83"/>
      <c r="L403" s="83" t="s">
        <v>8</v>
      </c>
      <c r="M403" s="81" t="s">
        <v>51</v>
      </c>
      <c r="N403" s="85"/>
      <c r="O403" s="85" t="s">
        <v>8</v>
      </c>
      <c r="P403" s="81"/>
      <c r="Q403" s="81" t="s">
        <v>2493</v>
      </c>
      <c r="R403" s="82"/>
      <c r="S403" s="81"/>
      <c r="T403" s="132" t="str">
        <f ca="1">IF(AND('Inserimento dati'!$B$3=$H$2, Tabella3[[#This Row],[LUN]]="X"), "X",IF(AND('Inserimento dati'!$B$3=$I$2, Tabella3[[#This Row],[MAR]]="X"), "X", IF(AND('Inserimento dati'!$B$3=$J$2, Tabella3[[#This Row],[MER]]="X"), "X",IF(AND('Inserimento dati'!$B$3=$K$2, Tabella3[[#This Row],[GIO]]="X"), "X", IF(AND('Inserimento dati'!$B$3=$L$2, Tabella3[[#This Row],[VEN]]="X"), "X","")))))</f>
        <v/>
      </c>
      <c r="U403" s="125" t="str">
        <f t="shared" ca="1" si="14"/>
        <v>10228178</v>
      </c>
    </row>
    <row r="404" spans="1:21" ht="45" x14ac:dyDescent="0.25">
      <c r="A404" s="84"/>
      <c r="B404" s="84"/>
      <c r="C404" s="84" t="str">
        <f>IF(OR(Tabella3[[#This Row],[LUN]]="X",Tabella3[[#This Row],[MAR]]="X",Tabella3[[#This Row],[MER]]="X",Tabella3[[#This Row],[GIO]]="X",Tabella3[[#This Row],[VEN]]="X",),"X","")</f>
        <v>X</v>
      </c>
      <c r="D404" s="85" t="s">
        <v>10</v>
      </c>
      <c r="E404" s="81" t="s">
        <v>2494</v>
      </c>
      <c r="F404" s="81" t="s">
        <v>160</v>
      </c>
      <c r="G404" s="81" t="s">
        <v>2495</v>
      </c>
      <c r="H404" s="83"/>
      <c r="I404" s="83"/>
      <c r="J404" s="83" t="s">
        <v>8</v>
      </c>
      <c r="K404" s="83"/>
      <c r="L404" s="83" t="s">
        <v>8</v>
      </c>
      <c r="M404" s="81" t="s">
        <v>51</v>
      </c>
      <c r="N404" s="85"/>
      <c r="O404" s="85" t="s">
        <v>8</v>
      </c>
      <c r="P404" s="81"/>
      <c r="Q404" s="81" t="s">
        <v>2496</v>
      </c>
      <c r="R404" s="82">
        <v>45952</v>
      </c>
      <c r="S404" s="81" t="s">
        <v>238</v>
      </c>
      <c r="T404" s="132" t="str">
        <f ca="1">IF(AND('Inserimento dati'!$B$3=$H$2, Tabella3[[#This Row],[LUN]]="X"), "X",IF(AND('Inserimento dati'!$B$3=$I$2, Tabella3[[#This Row],[MAR]]="X"), "X", IF(AND('Inserimento dati'!$B$3=$J$2, Tabella3[[#This Row],[MER]]="X"), "X",IF(AND('Inserimento dati'!$B$3=$K$2, Tabella3[[#This Row],[GIO]]="X"), "X", IF(AND('Inserimento dati'!$B$3=$L$2, Tabella3[[#This Row],[VEN]]="X"), "X","")))))</f>
        <v/>
      </c>
      <c r="U404" s="125" t="str">
        <f t="shared" ca="1" si="14"/>
        <v>10228364</v>
      </c>
    </row>
    <row r="405" spans="1:21" ht="23.25" x14ac:dyDescent="0.25">
      <c r="A405" s="84"/>
      <c r="B405" s="84"/>
      <c r="C405" s="84" t="str">
        <f>IF(OR(Tabella3[[#This Row],[LUN]]="X",Tabella3[[#This Row],[MAR]]="X",Tabella3[[#This Row],[MER]]="X",Tabella3[[#This Row],[GIO]]="X",Tabella3[[#This Row],[VEN]]="X",),"X","")</f>
        <v>X</v>
      </c>
      <c r="D405" s="85" t="s">
        <v>10</v>
      </c>
      <c r="E405" s="81" t="s">
        <v>2497</v>
      </c>
      <c r="F405" s="81">
        <v>700</v>
      </c>
      <c r="G405" s="81" t="s">
        <v>2498</v>
      </c>
      <c r="H405" s="83" t="s">
        <v>8</v>
      </c>
      <c r="I405" s="83"/>
      <c r="J405" s="83" t="s">
        <v>8</v>
      </c>
      <c r="K405" s="83" t="s">
        <v>8</v>
      </c>
      <c r="L405" s="83"/>
      <c r="M405" s="81" t="s">
        <v>51</v>
      </c>
      <c r="N405" s="85"/>
      <c r="O405" s="85"/>
      <c r="P405" s="81"/>
      <c r="Q405" s="81" t="s">
        <v>2499</v>
      </c>
      <c r="R405" s="82">
        <v>45947</v>
      </c>
      <c r="S405" s="81" t="s">
        <v>238</v>
      </c>
      <c r="T405" s="132" t="str">
        <f ca="1">IF(AND('Inserimento dati'!$B$3=$H$2, Tabella3[[#This Row],[LUN]]="X"), "X",IF(AND('Inserimento dati'!$B$3=$I$2, Tabella3[[#This Row],[MAR]]="X"), "X", IF(AND('Inserimento dati'!$B$3=$J$2, Tabella3[[#This Row],[MER]]="X"), "X",IF(AND('Inserimento dati'!$B$3=$K$2, Tabella3[[#This Row],[GIO]]="X"), "X", IF(AND('Inserimento dati'!$B$3=$L$2, Tabella3[[#This Row],[VEN]]="X"), "X","")))))</f>
        <v/>
      </c>
      <c r="U405" s="66" t="str">
        <f t="shared" ca="1" si="14"/>
        <v>10229802</v>
      </c>
    </row>
    <row r="406" spans="1:21" ht="23.25" x14ac:dyDescent="0.25">
      <c r="A406" s="84"/>
      <c r="B406" s="84"/>
      <c r="C406" s="84" t="str">
        <f>IF(OR(Tabella3[[#This Row],[LUN]]="X",Tabella3[[#This Row],[MAR]]="X",Tabella3[[#This Row],[MER]]="X",Tabella3[[#This Row],[GIO]]="X",Tabella3[[#This Row],[VEN]]="X",),"X","")</f>
        <v>X</v>
      </c>
      <c r="D406" s="85" t="s">
        <v>10</v>
      </c>
      <c r="E406" s="81" t="s">
        <v>2500</v>
      </c>
      <c r="F406" s="81">
        <v>700</v>
      </c>
      <c r="G406" s="81" t="s">
        <v>2501</v>
      </c>
      <c r="H406" s="83"/>
      <c r="I406" s="83"/>
      <c r="J406" s="83" t="s">
        <v>8</v>
      </c>
      <c r="K406" s="83"/>
      <c r="L406" s="83" t="s">
        <v>8</v>
      </c>
      <c r="M406" s="81" t="s">
        <v>51</v>
      </c>
      <c r="N406" s="85"/>
      <c r="O406" s="85"/>
      <c r="P406" s="81"/>
      <c r="Q406" s="81" t="s">
        <v>2502</v>
      </c>
      <c r="R406" s="82">
        <v>45951</v>
      </c>
      <c r="S406" s="81" t="s">
        <v>238</v>
      </c>
      <c r="T406" s="132" t="str">
        <f ca="1">IF(AND('Inserimento dati'!$B$3=$H$2, Tabella3[[#This Row],[LUN]]="X"), "X",IF(AND('Inserimento dati'!$B$3=$I$2, Tabella3[[#This Row],[MAR]]="X"), "X", IF(AND('Inserimento dati'!$B$3=$J$2, Tabella3[[#This Row],[MER]]="X"), "X",IF(AND('Inserimento dati'!$B$3=$K$2, Tabella3[[#This Row],[GIO]]="X"), "X", IF(AND('Inserimento dati'!$B$3=$L$2, Tabella3[[#This Row],[VEN]]="X"), "X","")))))</f>
        <v/>
      </c>
      <c r="U406" s="125" t="str">
        <f t="shared" ca="1" si="14"/>
        <v>10229802</v>
      </c>
    </row>
    <row r="407" spans="1:21" ht="45" x14ac:dyDescent="0.25">
      <c r="A407" s="84"/>
      <c r="B407" s="84"/>
      <c r="C407" s="84" t="str">
        <f>IF(OR(Tabella3[[#This Row],[LUN]]="X",Tabella3[[#This Row],[MAR]]="X",Tabella3[[#This Row],[MER]]="X",Tabella3[[#This Row],[GIO]]="X",Tabella3[[#This Row],[VEN]]="X",),"X","")</f>
        <v/>
      </c>
      <c r="D407" s="85" t="s">
        <v>10</v>
      </c>
      <c r="E407" s="81" t="s">
        <v>2503</v>
      </c>
      <c r="F407" s="81">
        <v>1200</v>
      </c>
      <c r="G407" s="81" t="s">
        <v>2504</v>
      </c>
      <c r="H407" s="83"/>
      <c r="I407" s="83"/>
      <c r="J407" s="83"/>
      <c r="K407" s="83"/>
      <c r="L407" s="83"/>
      <c r="M407" s="81" t="s">
        <v>51</v>
      </c>
      <c r="N407" s="85"/>
      <c r="O407" s="85" t="s">
        <v>8</v>
      </c>
      <c r="P407" s="81"/>
      <c r="Q407" s="81" t="s">
        <v>2505</v>
      </c>
      <c r="R407" s="82">
        <v>45946</v>
      </c>
      <c r="S407" s="81" t="s">
        <v>238</v>
      </c>
      <c r="T407" s="132" t="str">
        <f ca="1">IF(AND('Inserimento dati'!$B$3=$H$2, Tabella3[[#This Row],[LUN]]="X"), "X",IF(AND('Inserimento dati'!$B$3=$I$2, Tabella3[[#This Row],[MAR]]="X"), "X", IF(AND('Inserimento dati'!$B$3=$J$2, Tabella3[[#This Row],[MER]]="X"), "X",IF(AND('Inserimento dati'!$B$3=$K$2, Tabella3[[#This Row],[GIO]]="X"), "X", IF(AND('Inserimento dati'!$B$3=$L$2, Tabella3[[#This Row],[VEN]]="X"), "X","")))))</f>
        <v/>
      </c>
      <c r="U407" s="125" t="str">
        <f t="shared" ca="1" si="14"/>
        <v>10232242</v>
      </c>
    </row>
    <row r="408" spans="1:21" ht="30" x14ac:dyDescent="0.25">
      <c r="A408" s="84"/>
      <c r="B408" s="84"/>
      <c r="C408" s="84" t="str">
        <f>IF(OR(Tabella3[[#This Row],[LUN]]="X",Tabella3[[#This Row],[MAR]]="X",Tabella3[[#This Row],[MER]]="X",Tabella3[[#This Row],[GIO]]="X",Tabella3[[#This Row],[VEN]]="X",),"X","")</f>
        <v/>
      </c>
      <c r="D408" s="85" t="s">
        <v>10</v>
      </c>
      <c r="E408" s="81" t="s">
        <v>2506</v>
      </c>
      <c r="F408" s="81">
        <v>2400</v>
      </c>
      <c r="G408" s="81" t="s">
        <v>2507</v>
      </c>
      <c r="H408" s="83"/>
      <c r="I408" s="83"/>
      <c r="J408" s="83"/>
      <c r="K408" s="83"/>
      <c r="L408" s="83"/>
      <c r="M408" s="81" t="s">
        <v>51</v>
      </c>
      <c r="N408" s="85"/>
      <c r="O408" s="85"/>
      <c r="P408" s="81"/>
      <c r="Q408" s="81" t="s">
        <v>2508</v>
      </c>
      <c r="R408" s="82">
        <v>45939</v>
      </c>
      <c r="S408" s="81" t="s">
        <v>238</v>
      </c>
      <c r="T408" s="132" t="str">
        <f ca="1">IF(AND('Inserimento dati'!$B$3=$H$2, Tabella3[[#This Row],[LUN]]="X"), "X",IF(AND('Inserimento dati'!$B$3=$I$2, Tabella3[[#This Row],[MAR]]="X"), "X", IF(AND('Inserimento dati'!$B$3=$J$2, Tabella3[[#This Row],[MER]]="X"), "X",IF(AND('Inserimento dati'!$B$3=$K$2, Tabella3[[#This Row],[GIO]]="X"), "X", IF(AND('Inserimento dati'!$B$3=$L$2, Tabella3[[#This Row],[VEN]]="X"), "X","")))))</f>
        <v/>
      </c>
      <c r="U408" s="66" t="str">
        <f t="shared" ca="1" si="14"/>
        <v/>
      </c>
    </row>
    <row r="409" spans="1:21" ht="23.25" x14ac:dyDescent="0.25">
      <c r="A409" s="84"/>
      <c r="B409" s="84"/>
      <c r="C409" s="84" t="str">
        <f>IF(OR(Tabella3[[#This Row],[LUN]]="X",Tabella3[[#This Row],[MAR]]="X",Tabella3[[#This Row],[MER]]="X",Tabella3[[#This Row],[GIO]]="X",Tabella3[[#This Row],[VEN]]="X",),"X","")</f>
        <v/>
      </c>
      <c r="D409" s="85" t="s">
        <v>10</v>
      </c>
      <c r="E409" s="81" t="s">
        <v>2509</v>
      </c>
      <c r="F409" s="81">
        <v>700</v>
      </c>
      <c r="G409" s="81" t="s">
        <v>2510</v>
      </c>
      <c r="H409" s="83"/>
      <c r="I409" s="83"/>
      <c r="J409" s="83"/>
      <c r="K409" s="83"/>
      <c r="L409" s="83"/>
      <c r="M409" s="81" t="s">
        <v>51</v>
      </c>
      <c r="N409" s="85"/>
      <c r="O409" s="85"/>
      <c r="P409" s="81"/>
      <c r="Q409" s="81" t="s">
        <v>2511</v>
      </c>
      <c r="R409" s="82">
        <v>45944</v>
      </c>
      <c r="S409" s="81"/>
      <c r="T409" s="132" t="str">
        <f ca="1">IF(AND('Inserimento dati'!$B$3=$H$2, Tabella3[[#This Row],[LUN]]="X"), "X",IF(AND('Inserimento dati'!$B$3=$I$2, Tabella3[[#This Row],[MAR]]="X"), "X", IF(AND('Inserimento dati'!$B$3=$J$2, Tabella3[[#This Row],[MER]]="X"), "X",IF(AND('Inserimento dati'!$B$3=$K$2, Tabella3[[#This Row],[GIO]]="X"), "X", IF(AND('Inserimento dati'!$B$3=$L$2, Tabella3[[#This Row],[VEN]]="X"), "X","")))))</f>
        <v/>
      </c>
      <c r="U409" s="125" t="str">
        <f t="shared" ca="1" si="14"/>
        <v>10232048</v>
      </c>
    </row>
    <row r="410" spans="1:21" ht="45" x14ac:dyDescent="0.25">
      <c r="A410" s="84"/>
      <c r="B410" s="84"/>
      <c r="C410" s="84" t="str">
        <f>IF(OR(Tabella3[[#This Row],[LUN]]="X",Tabella3[[#This Row],[MAR]]="X",Tabella3[[#This Row],[MER]]="X",Tabella3[[#This Row],[GIO]]="X",Tabella3[[#This Row],[VEN]]="X",),"X","")</f>
        <v/>
      </c>
      <c r="D410" s="85" t="s">
        <v>10</v>
      </c>
      <c r="E410" s="81" t="s">
        <v>2512</v>
      </c>
      <c r="F410" s="81" t="s">
        <v>106</v>
      </c>
      <c r="G410" s="81" t="s">
        <v>2513</v>
      </c>
      <c r="H410" s="83"/>
      <c r="I410" s="83"/>
      <c r="J410" s="83"/>
      <c r="K410" s="83"/>
      <c r="L410" s="83"/>
      <c r="M410" s="81" t="s">
        <v>51</v>
      </c>
      <c r="N410" s="85"/>
      <c r="O410" s="85"/>
      <c r="P410" s="81"/>
      <c r="Q410" s="81" t="s">
        <v>2514</v>
      </c>
      <c r="R410" s="82">
        <v>45937</v>
      </c>
      <c r="S410" s="81"/>
      <c r="T410" s="132" t="str">
        <f ca="1">IF(AND('Inserimento dati'!$B$3=$H$2, Tabella3[[#This Row],[LUN]]="X"), "X",IF(AND('Inserimento dati'!$B$3=$I$2, Tabella3[[#This Row],[MAR]]="X"), "X", IF(AND('Inserimento dati'!$B$3=$J$2, Tabella3[[#This Row],[MER]]="X"), "X",IF(AND('Inserimento dati'!$B$3=$K$2, Tabella3[[#This Row],[GIO]]="X"), "X", IF(AND('Inserimento dati'!$B$3=$L$2, Tabella3[[#This Row],[VEN]]="X"), "X","")))))</f>
        <v/>
      </c>
      <c r="U410" s="66" t="str">
        <f t="shared" ca="1" si="14"/>
        <v>10231535</v>
      </c>
    </row>
    <row r="411" spans="1:21" ht="23.25" x14ac:dyDescent="0.25">
      <c r="A411" s="84"/>
      <c r="B411" s="84"/>
      <c r="C411" s="84" t="str">
        <f>IF(OR(Tabella3[[#This Row],[LUN]]="X",Tabella3[[#This Row],[MAR]]="X",Tabella3[[#This Row],[MER]]="X",Tabella3[[#This Row],[GIO]]="X",Tabella3[[#This Row],[VEN]]="X",),"X","")</f>
        <v/>
      </c>
      <c r="D411" s="85" t="s">
        <v>10</v>
      </c>
      <c r="E411" s="81" t="s">
        <v>2515</v>
      </c>
      <c r="F411" s="81" t="s">
        <v>106</v>
      </c>
      <c r="G411" s="81" t="s">
        <v>2516</v>
      </c>
      <c r="H411" s="83"/>
      <c r="I411" s="83"/>
      <c r="J411" s="83"/>
      <c r="K411" s="83"/>
      <c r="L411" s="83"/>
      <c r="M411" s="81" t="s">
        <v>51</v>
      </c>
      <c r="N411" s="85"/>
      <c r="O411" s="85"/>
      <c r="P411" s="81"/>
      <c r="Q411" s="81" t="s">
        <v>2517</v>
      </c>
      <c r="R411" s="82">
        <v>45937</v>
      </c>
      <c r="S411" s="81"/>
      <c r="T411" s="132" t="str">
        <f ca="1">IF(AND('Inserimento dati'!$B$3=$H$2, Tabella3[[#This Row],[LUN]]="X"), "X",IF(AND('Inserimento dati'!$B$3=$I$2, Tabella3[[#This Row],[MAR]]="X"), "X", IF(AND('Inserimento dati'!$B$3=$J$2, Tabella3[[#This Row],[MER]]="X"), "X",IF(AND('Inserimento dati'!$B$3=$K$2, Tabella3[[#This Row],[GIO]]="X"), "X", IF(AND('Inserimento dati'!$B$3=$L$2, Tabella3[[#This Row],[VEN]]="X"), "X","")))))</f>
        <v/>
      </c>
      <c r="U411" s="66" t="str">
        <f t="shared" ca="1" si="14"/>
        <v>10231538</v>
      </c>
    </row>
    <row r="412" spans="1:21" ht="30" x14ac:dyDescent="0.25">
      <c r="A412" s="84"/>
      <c r="B412" s="84"/>
      <c r="C412" s="84" t="str">
        <f>IF(OR(Tabella3[[#This Row],[LUN]]="X",Tabella3[[#This Row],[MAR]]="X",Tabella3[[#This Row],[MER]]="X",Tabella3[[#This Row],[GIO]]="X",Tabella3[[#This Row],[VEN]]="X",),"X","")</f>
        <v/>
      </c>
      <c r="D412" s="85" t="s">
        <v>10</v>
      </c>
      <c r="E412" s="81" t="s">
        <v>2518</v>
      </c>
      <c r="F412" s="81" t="s">
        <v>106</v>
      </c>
      <c r="G412" s="81" t="s">
        <v>2519</v>
      </c>
      <c r="H412" s="83"/>
      <c r="I412" s="83"/>
      <c r="J412" s="83"/>
      <c r="K412" s="83"/>
      <c r="L412" s="83"/>
      <c r="M412" s="81" t="s">
        <v>51</v>
      </c>
      <c r="N412" s="85"/>
      <c r="O412" s="85"/>
      <c r="P412" s="81"/>
      <c r="Q412" s="81" t="s">
        <v>2520</v>
      </c>
      <c r="R412" s="82">
        <v>45937</v>
      </c>
      <c r="S412" s="81"/>
      <c r="T412" s="132" t="str">
        <f ca="1">IF(AND('Inserimento dati'!$B$3=$H$2, Tabella3[[#This Row],[LUN]]="X"), "X",IF(AND('Inserimento dati'!$B$3=$I$2, Tabella3[[#This Row],[MAR]]="X"), "X", IF(AND('Inserimento dati'!$B$3=$J$2, Tabella3[[#This Row],[MER]]="X"), "X",IF(AND('Inserimento dati'!$B$3=$K$2, Tabella3[[#This Row],[GIO]]="X"), "X", IF(AND('Inserimento dati'!$B$3=$L$2, Tabella3[[#This Row],[VEN]]="X"), "X","")))))</f>
        <v/>
      </c>
      <c r="U412" s="66" t="str">
        <f t="shared" ca="1" si="14"/>
        <v>10231540</v>
      </c>
    </row>
    <row r="413" spans="1:21" ht="23.25" x14ac:dyDescent="0.25">
      <c r="A413" s="84"/>
      <c r="B413" s="84"/>
      <c r="C413" s="84" t="str">
        <f>IF(OR(Tabella3[[#This Row],[LUN]]="X",Tabella3[[#This Row],[MAR]]="X",Tabella3[[#This Row],[MER]]="X",Tabella3[[#This Row],[GIO]]="X",Tabella3[[#This Row],[VEN]]="X",),"X","")</f>
        <v/>
      </c>
      <c r="D413" s="85" t="s">
        <v>10</v>
      </c>
      <c r="E413" s="81" t="s">
        <v>2521</v>
      </c>
      <c r="F413" s="81">
        <v>1200</v>
      </c>
      <c r="G413" s="81" t="s">
        <v>2522</v>
      </c>
      <c r="H413" s="83"/>
      <c r="I413" s="83"/>
      <c r="J413" s="83"/>
      <c r="K413" s="83"/>
      <c r="L413" s="83"/>
      <c r="M413" s="81" t="s">
        <v>51</v>
      </c>
      <c r="N413" s="85"/>
      <c r="O413" s="85"/>
      <c r="P413" s="81"/>
      <c r="Q413" s="81"/>
      <c r="R413" s="82"/>
      <c r="S413" s="81"/>
      <c r="T413" s="132" t="str">
        <f ca="1">IF(AND('Inserimento dati'!$B$3=$H$2, Tabella3[[#This Row],[LUN]]="X"), "X",IF(AND('Inserimento dati'!$B$3=$I$2, Tabella3[[#This Row],[MAR]]="X"), "X", IF(AND('Inserimento dati'!$B$3=$J$2, Tabella3[[#This Row],[MER]]="X"), "X",IF(AND('Inserimento dati'!$B$3=$K$2, Tabella3[[#This Row],[GIO]]="X"), "X", IF(AND('Inserimento dati'!$B$3=$L$2, Tabella3[[#This Row],[VEN]]="X"), "X","")))))</f>
        <v/>
      </c>
      <c r="U413" s="66" t="str">
        <f t="shared" ca="1" si="14"/>
        <v/>
      </c>
    </row>
    <row r="414" spans="1:21" ht="23.25" x14ac:dyDescent="0.25">
      <c r="A414" s="84"/>
      <c r="B414" s="84"/>
      <c r="C414" s="84" t="str">
        <f>IF(OR(Tabella3[[#This Row],[LUN]]="X",Tabella3[[#This Row],[MAR]]="X",Tabella3[[#This Row],[MER]]="X",Tabella3[[#This Row],[GIO]]="X",Tabella3[[#This Row],[VEN]]="X",),"X","")</f>
        <v/>
      </c>
      <c r="D414" s="85" t="s">
        <v>10</v>
      </c>
      <c r="E414" s="81" t="s">
        <v>2523</v>
      </c>
      <c r="F414" s="81">
        <v>1800</v>
      </c>
      <c r="G414" s="81" t="s">
        <v>2524</v>
      </c>
      <c r="H414" s="83"/>
      <c r="I414" s="83"/>
      <c r="J414" s="83"/>
      <c r="K414" s="83"/>
      <c r="L414" s="83"/>
      <c r="M414" s="81" t="s">
        <v>51</v>
      </c>
      <c r="N414" s="85"/>
      <c r="O414" s="85" t="s">
        <v>8</v>
      </c>
      <c r="P414" s="81"/>
      <c r="Q414" s="81" t="s">
        <v>2525</v>
      </c>
      <c r="R414" s="82">
        <v>45929</v>
      </c>
      <c r="S414" s="81" t="s">
        <v>238</v>
      </c>
      <c r="T414" s="132" t="str">
        <f ca="1">IF(AND('Inserimento dati'!$B$3=$H$2, Tabella3[[#This Row],[LUN]]="X"), "X",IF(AND('Inserimento dati'!$B$3=$I$2, Tabella3[[#This Row],[MAR]]="X"), "X", IF(AND('Inserimento dati'!$B$3=$J$2, Tabella3[[#This Row],[MER]]="X"), "X",IF(AND('Inserimento dati'!$B$3=$K$2, Tabella3[[#This Row],[GIO]]="X"), "X", IF(AND('Inserimento dati'!$B$3=$L$2, Tabella3[[#This Row],[VEN]]="X"), "X","")))))</f>
        <v/>
      </c>
      <c r="U414" s="66" t="str">
        <f t="shared" ca="1" si="14"/>
        <v>10228396</v>
      </c>
    </row>
    <row r="415" spans="1:21" ht="30" x14ac:dyDescent="0.25">
      <c r="A415" s="84"/>
      <c r="B415" s="84"/>
      <c r="C415" s="84" t="str">
        <f>IF(OR(Tabella3[[#This Row],[LUN]]="X",Tabella3[[#This Row],[MAR]]="X",Tabella3[[#This Row],[MER]]="X",Tabella3[[#This Row],[GIO]]="X",Tabella3[[#This Row],[VEN]]="X",),"X","")</f>
        <v/>
      </c>
      <c r="D415" s="85" t="s">
        <v>10</v>
      </c>
      <c r="E415" s="81" t="s">
        <v>2526</v>
      </c>
      <c r="F415" s="81">
        <v>700</v>
      </c>
      <c r="G415" s="81" t="s">
        <v>2527</v>
      </c>
      <c r="H415" s="83"/>
      <c r="I415" s="83"/>
      <c r="J415" s="83"/>
      <c r="K415" s="83"/>
      <c r="L415" s="83"/>
      <c r="M415" s="81" t="s">
        <v>51</v>
      </c>
      <c r="N415" s="85"/>
      <c r="O415" s="85"/>
      <c r="P415" s="81"/>
      <c r="Q415" s="81" t="s">
        <v>2528</v>
      </c>
      <c r="R415" s="82">
        <v>45915</v>
      </c>
      <c r="S415" s="81" t="s">
        <v>238</v>
      </c>
      <c r="T415" s="132" t="str">
        <f ca="1">IF(AND('Inserimento dati'!$B$3=$H$2, Tabella3[[#This Row],[LUN]]="X"), "X",IF(AND('Inserimento dati'!$B$3=$I$2, Tabella3[[#This Row],[MAR]]="X"), "X", IF(AND('Inserimento dati'!$B$3=$J$2, Tabella3[[#This Row],[MER]]="X"), "X",IF(AND('Inserimento dati'!$B$3=$K$2, Tabella3[[#This Row],[GIO]]="X"), "X", IF(AND('Inserimento dati'!$B$3=$L$2, Tabella3[[#This Row],[VEN]]="X"), "X","")))))</f>
        <v/>
      </c>
      <c r="U415" s="66" t="str">
        <f t="shared" ca="1" si="14"/>
        <v>10230202</v>
      </c>
    </row>
    <row r="416" spans="1:21" ht="30" x14ac:dyDescent="0.25">
      <c r="A416" s="84"/>
      <c r="B416" s="84"/>
      <c r="C416" s="84" t="str">
        <f>IF(OR(Tabella3[[#This Row],[LUN]]="X",Tabella3[[#This Row],[MAR]]="X",Tabella3[[#This Row],[MER]]="X",Tabella3[[#This Row],[GIO]]="X",Tabella3[[#This Row],[VEN]]="X",),"X","")</f>
        <v/>
      </c>
      <c r="D416" s="85" t="s">
        <v>10</v>
      </c>
      <c r="E416" s="81" t="s">
        <v>2529</v>
      </c>
      <c r="F416" s="81">
        <v>700</v>
      </c>
      <c r="G416" s="81" t="s">
        <v>2530</v>
      </c>
      <c r="H416" s="83"/>
      <c r="I416" s="83"/>
      <c r="J416" s="83"/>
      <c r="K416" s="83"/>
      <c r="L416" s="83"/>
      <c r="M416" s="81" t="s">
        <v>51</v>
      </c>
      <c r="N416" s="85"/>
      <c r="O416" s="85"/>
      <c r="P416" s="81"/>
      <c r="Q416" s="81" t="s">
        <v>2528</v>
      </c>
      <c r="R416" s="82">
        <v>45915</v>
      </c>
      <c r="S416" s="81" t="s">
        <v>238</v>
      </c>
      <c r="T416" s="132" t="str">
        <f ca="1">IF(AND('Inserimento dati'!$B$3=$H$2, Tabella3[[#This Row],[LUN]]="X"), "X",IF(AND('Inserimento dati'!$B$3=$I$2, Tabella3[[#This Row],[MAR]]="X"), "X", IF(AND('Inserimento dati'!$B$3=$J$2, Tabella3[[#This Row],[MER]]="X"), "X",IF(AND('Inserimento dati'!$B$3=$K$2, Tabella3[[#This Row],[GIO]]="X"), "X", IF(AND('Inserimento dati'!$B$3=$L$2, Tabella3[[#This Row],[VEN]]="X"), "X","")))))</f>
        <v/>
      </c>
      <c r="U416" s="66" t="str">
        <f t="shared" ca="1" si="14"/>
        <v>10230203</v>
      </c>
    </row>
    <row r="417" spans="1:21" ht="30" x14ac:dyDescent="0.25">
      <c r="A417" s="84"/>
      <c r="B417" s="84"/>
      <c r="C417" s="84" t="str">
        <f>IF(OR(Tabella3[[#This Row],[LUN]]="X",Tabella3[[#This Row],[MAR]]="X",Tabella3[[#This Row],[MER]]="X",Tabella3[[#This Row],[GIO]]="X",Tabella3[[#This Row],[VEN]]="X",),"X","")</f>
        <v/>
      </c>
      <c r="D417" s="85" t="s">
        <v>10</v>
      </c>
      <c r="E417" s="81" t="s">
        <v>2531</v>
      </c>
      <c r="F417" s="81">
        <v>1100</v>
      </c>
      <c r="G417" s="81" t="s">
        <v>2532</v>
      </c>
      <c r="H417" s="83"/>
      <c r="I417" s="83"/>
      <c r="J417" s="83"/>
      <c r="K417" s="83"/>
      <c r="L417" s="83"/>
      <c r="M417" s="81" t="s">
        <v>51</v>
      </c>
      <c r="N417" s="85"/>
      <c r="O417" s="85"/>
      <c r="P417" s="81"/>
      <c r="Q417" s="81" t="s">
        <v>2533</v>
      </c>
      <c r="R417" s="82">
        <v>45917</v>
      </c>
      <c r="S417" s="81" t="s">
        <v>238</v>
      </c>
      <c r="T417" s="132" t="str">
        <f ca="1">IF(AND('Inserimento dati'!$B$3=$H$2, Tabella3[[#This Row],[LUN]]="X"), "X",IF(AND('Inserimento dati'!$B$3=$I$2, Tabella3[[#This Row],[MAR]]="X"), "X", IF(AND('Inserimento dati'!$B$3=$J$2, Tabella3[[#This Row],[MER]]="X"), "X",IF(AND('Inserimento dati'!$B$3=$K$2, Tabella3[[#This Row],[GIO]]="X"), "X", IF(AND('Inserimento dati'!$B$3=$L$2, Tabella3[[#This Row],[VEN]]="X"), "X","")))))</f>
        <v/>
      </c>
      <c r="U417" s="66" t="str">
        <f t="shared" ca="1" si="14"/>
        <v>10229177</v>
      </c>
    </row>
    <row r="418" spans="1:21" ht="60" x14ac:dyDescent="0.25">
      <c r="A418" s="84"/>
      <c r="B418" s="84"/>
      <c r="C418" s="84" t="str">
        <f>IF(OR(Tabella3[[#This Row],[LUN]]="X",Tabella3[[#This Row],[MAR]]="X",Tabella3[[#This Row],[MER]]="X",Tabella3[[#This Row],[GIO]]="X",Tabella3[[#This Row],[VEN]]="X",),"X","")</f>
        <v/>
      </c>
      <c r="D418" s="85" t="s">
        <v>10</v>
      </c>
      <c r="E418" s="81" t="s">
        <v>2534</v>
      </c>
      <c r="F418" s="81">
        <v>1200</v>
      </c>
      <c r="G418" s="81" t="s">
        <v>2535</v>
      </c>
      <c r="H418" s="83"/>
      <c r="I418" s="83"/>
      <c r="J418" s="83"/>
      <c r="K418" s="83"/>
      <c r="L418" s="83"/>
      <c r="M418" s="81" t="s">
        <v>51</v>
      </c>
      <c r="N418" s="85"/>
      <c r="O418" s="85"/>
      <c r="P418" s="81"/>
      <c r="Q418" s="81" t="s">
        <v>2536</v>
      </c>
      <c r="R418" s="82">
        <v>45916</v>
      </c>
      <c r="S418" s="81" t="s">
        <v>238</v>
      </c>
      <c r="T418" s="132" t="str">
        <f ca="1">IF(AND('Inserimento dati'!$B$3=$H$2, Tabella3[[#This Row],[LUN]]="X"), "X",IF(AND('Inserimento dati'!$B$3=$I$2, Tabella3[[#This Row],[MAR]]="X"), "X", IF(AND('Inserimento dati'!$B$3=$J$2, Tabella3[[#This Row],[MER]]="X"), "X",IF(AND('Inserimento dati'!$B$3=$K$2, Tabella3[[#This Row],[GIO]]="X"), "X", IF(AND('Inserimento dati'!$B$3=$L$2, Tabella3[[#This Row],[VEN]]="X"), "X","")))))</f>
        <v/>
      </c>
      <c r="U418" s="66" t="str">
        <f t="shared" ca="1" si="14"/>
        <v/>
      </c>
    </row>
    <row r="419" spans="1:21" ht="45" x14ac:dyDescent="0.25">
      <c r="A419" s="84"/>
      <c r="B419" s="84"/>
      <c r="C419" s="84" t="str">
        <f>IF(OR(Tabella3[[#This Row],[LUN]]="X",Tabella3[[#This Row],[MAR]]="X",Tabella3[[#This Row],[MER]]="X",Tabella3[[#This Row],[GIO]]="X",Tabella3[[#This Row],[VEN]]="X",),"X","")</f>
        <v/>
      </c>
      <c r="D419" s="85" t="s">
        <v>10</v>
      </c>
      <c r="E419" s="81" t="s">
        <v>2537</v>
      </c>
      <c r="F419" s="81">
        <v>1200</v>
      </c>
      <c r="G419" s="81" t="s">
        <v>2538</v>
      </c>
      <c r="H419" s="83"/>
      <c r="I419" s="83"/>
      <c r="J419" s="83"/>
      <c r="K419" s="83"/>
      <c r="L419" s="83"/>
      <c r="M419" s="81" t="s">
        <v>51</v>
      </c>
      <c r="N419" s="85"/>
      <c r="O419" s="85"/>
      <c r="P419" s="81"/>
      <c r="Q419" s="81" t="s">
        <v>2539</v>
      </c>
      <c r="R419" s="82">
        <v>45912</v>
      </c>
      <c r="S419" s="81" t="s">
        <v>238</v>
      </c>
      <c r="T419" s="132" t="str">
        <f ca="1">IF(AND('Inserimento dati'!$B$3=$H$2, Tabella3[[#This Row],[LUN]]="X"), "X",IF(AND('Inserimento dati'!$B$3=$I$2, Tabella3[[#This Row],[MAR]]="X"), "X", IF(AND('Inserimento dati'!$B$3=$J$2, Tabella3[[#This Row],[MER]]="X"), "X",IF(AND('Inserimento dati'!$B$3=$K$2, Tabella3[[#This Row],[GIO]]="X"), "X", IF(AND('Inserimento dati'!$B$3=$L$2, Tabella3[[#This Row],[VEN]]="X"), "X","")))))</f>
        <v/>
      </c>
      <c r="U419" s="66" t="str">
        <f t="shared" ca="1" si="14"/>
        <v>10230145</v>
      </c>
    </row>
    <row r="420" spans="1:21" ht="23.25" x14ac:dyDescent="0.25">
      <c r="A420" s="84"/>
      <c r="B420" s="84"/>
      <c r="C420" s="84" t="str">
        <f>IF(OR(Tabella3[[#This Row],[LUN]]="X",Tabella3[[#This Row],[MAR]]="X",Tabella3[[#This Row],[MER]]="X",Tabella3[[#This Row],[GIO]]="X",Tabella3[[#This Row],[VEN]]="X",),"X","")</f>
        <v/>
      </c>
      <c r="D420" s="85" t="s">
        <v>10</v>
      </c>
      <c r="E420" s="81" t="s">
        <v>2540</v>
      </c>
      <c r="F420" s="81">
        <v>1200</v>
      </c>
      <c r="G420" s="81" t="s">
        <v>2541</v>
      </c>
      <c r="H420" s="83"/>
      <c r="I420" s="83"/>
      <c r="J420" s="83"/>
      <c r="K420" s="83"/>
      <c r="L420" s="83"/>
      <c r="M420" s="81" t="s">
        <v>51</v>
      </c>
      <c r="N420" s="85"/>
      <c r="O420" s="85"/>
      <c r="P420" s="81"/>
      <c r="Q420" s="81" t="s">
        <v>2542</v>
      </c>
      <c r="R420" s="82">
        <v>45905</v>
      </c>
      <c r="S420" s="81" t="s">
        <v>238</v>
      </c>
      <c r="T420" s="132" t="str">
        <f ca="1">IF(AND('Inserimento dati'!$B$3=$H$2, Tabella3[[#This Row],[LUN]]="X"), "X",IF(AND('Inserimento dati'!$B$3=$I$2, Tabella3[[#This Row],[MAR]]="X"), "X", IF(AND('Inserimento dati'!$B$3=$J$2, Tabella3[[#This Row],[MER]]="X"), "X",IF(AND('Inserimento dati'!$B$3=$K$2, Tabella3[[#This Row],[GIO]]="X"), "X", IF(AND('Inserimento dati'!$B$3=$L$2, Tabella3[[#This Row],[VEN]]="X"), "X","")))))</f>
        <v/>
      </c>
      <c r="U420" s="66" t="str">
        <f t="shared" ca="1" si="14"/>
        <v/>
      </c>
    </row>
    <row r="421" spans="1:21" ht="23.25" x14ac:dyDescent="0.25">
      <c r="A421" s="84"/>
      <c r="B421" s="84"/>
      <c r="C421" s="84" t="str">
        <f>IF(OR(Tabella3[[#This Row],[LUN]]="X",Tabella3[[#This Row],[MAR]]="X",Tabella3[[#This Row],[MER]]="X",Tabella3[[#This Row],[GIO]]="X",Tabella3[[#This Row],[VEN]]="X",),"X","")</f>
        <v/>
      </c>
      <c r="D421" s="85" t="s">
        <v>10</v>
      </c>
      <c r="E421" s="81" t="s">
        <v>2543</v>
      </c>
      <c r="F421" s="81">
        <v>700</v>
      </c>
      <c r="G421" s="81" t="s">
        <v>2544</v>
      </c>
      <c r="H421" s="83"/>
      <c r="I421" s="83"/>
      <c r="J421" s="83"/>
      <c r="K421" s="83"/>
      <c r="L421" s="83"/>
      <c r="M421" s="81" t="s">
        <v>51</v>
      </c>
      <c r="N421" s="85"/>
      <c r="O421" s="85"/>
      <c r="P421" s="81"/>
      <c r="Q421" s="81"/>
      <c r="R421" s="82">
        <v>45905</v>
      </c>
      <c r="S421" s="81" t="s">
        <v>238</v>
      </c>
      <c r="T421" s="132" t="str">
        <f ca="1">IF(AND('Inserimento dati'!$B$3=$H$2, Tabella3[[#This Row],[LUN]]="X"), "X",IF(AND('Inserimento dati'!$B$3=$I$2, Tabella3[[#This Row],[MAR]]="X"), "X", IF(AND('Inserimento dati'!$B$3=$J$2, Tabella3[[#This Row],[MER]]="X"), "X",IF(AND('Inserimento dati'!$B$3=$K$2, Tabella3[[#This Row],[GIO]]="X"), "X", IF(AND('Inserimento dati'!$B$3=$L$2, Tabella3[[#This Row],[VEN]]="X"), "X","")))))</f>
        <v/>
      </c>
      <c r="U421" s="66" t="str">
        <f t="shared" ca="1" si="14"/>
        <v>10229879</v>
      </c>
    </row>
    <row r="422" spans="1:21" ht="30" x14ac:dyDescent="0.25">
      <c r="A422" s="84"/>
      <c r="B422" s="84"/>
      <c r="C422" s="84" t="str">
        <f>IF(OR(Tabella3[[#This Row],[LUN]]="X",Tabella3[[#This Row],[MAR]]="X",Tabella3[[#This Row],[MER]]="X",Tabella3[[#This Row],[GIO]]="X",Tabella3[[#This Row],[VEN]]="X",),"X","")</f>
        <v/>
      </c>
      <c r="D422" s="85" t="s">
        <v>10</v>
      </c>
      <c r="E422" s="81" t="s">
        <v>2545</v>
      </c>
      <c r="F422" s="81">
        <v>1200</v>
      </c>
      <c r="G422" s="81" t="s">
        <v>2546</v>
      </c>
      <c r="H422" s="83"/>
      <c r="I422" s="83"/>
      <c r="J422" s="83"/>
      <c r="K422" s="83"/>
      <c r="L422" s="83"/>
      <c r="M422" s="81" t="s">
        <v>51</v>
      </c>
      <c r="N422" s="85"/>
      <c r="O422" s="85"/>
      <c r="P422" s="81"/>
      <c r="Q422" s="81" t="s">
        <v>2547</v>
      </c>
      <c r="R422" s="82">
        <v>45896</v>
      </c>
      <c r="S422" s="81" t="s">
        <v>238</v>
      </c>
      <c r="T422" s="132" t="str">
        <f ca="1">IF(AND('Inserimento dati'!$B$3=$H$2, Tabella3[[#This Row],[LUN]]="X"), "X",IF(AND('Inserimento dati'!$B$3=$I$2, Tabella3[[#This Row],[MAR]]="X"), "X", IF(AND('Inserimento dati'!$B$3=$J$2, Tabella3[[#This Row],[MER]]="X"), "X",IF(AND('Inserimento dati'!$B$3=$K$2, Tabella3[[#This Row],[GIO]]="X"), "X", IF(AND('Inserimento dati'!$B$3=$L$2, Tabella3[[#This Row],[VEN]]="X"), "X","")))))</f>
        <v/>
      </c>
      <c r="U422" s="66" t="str">
        <f t="shared" ca="1" si="14"/>
        <v/>
      </c>
    </row>
    <row r="423" spans="1:21" ht="60" x14ac:dyDescent="0.25">
      <c r="A423" s="84"/>
      <c r="B423" s="84"/>
      <c r="C423" s="84" t="str">
        <f>IF(OR(Tabella3[[#This Row],[LUN]]="X",Tabella3[[#This Row],[MAR]]="X",Tabella3[[#This Row],[MER]]="X",Tabella3[[#This Row],[GIO]]="X",Tabella3[[#This Row],[VEN]]="X",),"X","")</f>
        <v/>
      </c>
      <c r="D423" s="85" t="s">
        <v>10</v>
      </c>
      <c r="E423" s="81" t="s">
        <v>2548</v>
      </c>
      <c r="F423" s="81" t="s">
        <v>160</v>
      </c>
      <c r="G423" s="81" t="s">
        <v>2549</v>
      </c>
      <c r="H423" s="83"/>
      <c r="I423" s="83"/>
      <c r="J423" s="83"/>
      <c r="K423" s="83"/>
      <c r="L423" s="83"/>
      <c r="M423" s="81" t="s">
        <v>51</v>
      </c>
      <c r="N423" s="85"/>
      <c r="O423" s="85" t="s">
        <v>8</v>
      </c>
      <c r="P423" s="81"/>
      <c r="Q423" s="81" t="s">
        <v>2550</v>
      </c>
      <c r="R423" s="82">
        <v>45866</v>
      </c>
      <c r="S423" s="81" t="s">
        <v>9</v>
      </c>
      <c r="T423" s="132" t="str">
        <f ca="1">IF(AND('Inserimento dati'!$B$3=$H$2, Tabella3[[#This Row],[LUN]]="X"), "X",IF(AND('Inserimento dati'!$B$3=$I$2, Tabella3[[#This Row],[MAR]]="X"), "X", IF(AND('Inserimento dati'!$B$3=$J$2, Tabella3[[#This Row],[MER]]="X"), "X",IF(AND('Inserimento dati'!$B$3=$K$2, Tabella3[[#This Row],[GIO]]="X"), "X", IF(AND('Inserimento dati'!$B$3=$L$2, Tabella3[[#This Row],[VEN]]="X"), "X","")))))</f>
        <v/>
      </c>
      <c r="U423" s="66" t="str">
        <f t="shared" ca="1" si="14"/>
        <v/>
      </c>
    </row>
    <row r="424" spans="1:21" ht="30" x14ac:dyDescent="0.25">
      <c r="A424" s="84"/>
      <c r="B424" s="84">
        <v>3</v>
      </c>
      <c r="C424" s="84" t="str">
        <f>IF(OR(Tabella3[[#This Row],[LUN]]="X",Tabella3[[#This Row],[MAR]]="X",Tabella3[[#This Row],[MER]]="X",Tabella3[[#This Row],[GIO]]="X",Tabella3[[#This Row],[VEN]]="X",),"X","")</f>
        <v/>
      </c>
      <c r="D424" s="85" t="s">
        <v>10</v>
      </c>
      <c r="E424" s="81" t="s">
        <v>2551</v>
      </c>
      <c r="F424" s="81" t="s">
        <v>203</v>
      </c>
      <c r="G424" s="81" t="s">
        <v>2552</v>
      </c>
      <c r="H424" s="83"/>
      <c r="I424" s="83"/>
      <c r="J424" s="83"/>
      <c r="K424" s="83"/>
      <c r="L424" s="83"/>
      <c r="M424" s="81" t="s">
        <v>51</v>
      </c>
      <c r="N424" s="85" t="s">
        <v>8</v>
      </c>
      <c r="O424" s="85"/>
      <c r="P424" s="81"/>
      <c r="Q424" s="81" t="s">
        <v>2553</v>
      </c>
      <c r="R424" s="82">
        <v>45856</v>
      </c>
      <c r="S424" s="81" t="s">
        <v>23</v>
      </c>
      <c r="T424" s="132" t="str">
        <f ca="1">IF(AND('Inserimento dati'!$B$3=$H$2, Tabella3[[#This Row],[LUN]]="X"), "X",IF(AND('Inserimento dati'!$B$3=$I$2, Tabella3[[#This Row],[MAR]]="X"), "X", IF(AND('Inserimento dati'!$B$3=$J$2, Tabella3[[#This Row],[MER]]="X"), "X",IF(AND('Inserimento dati'!$B$3=$K$2, Tabella3[[#This Row],[GIO]]="X"), "X", IF(AND('Inserimento dati'!$B$3=$L$2, Tabella3[[#This Row],[VEN]]="X"), "X","")))))</f>
        <v/>
      </c>
      <c r="U424" s="145" t="str">
        <f t="shared" ca="1" si="14"/>
        <v>10217843</v>
      </c>
    </row>
    <row r="425" spans="1:21" ht="30" x14ac:dyDescent="0.25">
      <c r="A425" s="84"/>
      <c r="B425" s="84"/>
      <c r="C425" s="84" t="str">
        <f>IF(OR(Tabella3[[#This Row],[LUN]]="X",Tabella3[[#This Row],[MAR]]="X",Tabella3[[#This Row],[MER]]="X",Tabella3[[#This Row],[GIO]]="X",Tabella3[[#This Row],[VEN]]="X",),"X","")</f>
        <v/>
      </c>
      <c r="D425" s="85" t="s">
        <v>10</v>
      </c>
      <c r="E425" s="81" t="s">
        <v>119</v>
      </c>
      <c r="F425" s="81" t="s">
        <v>160</v>
      </c>
      <c r="G425" s="81" t="s">
        <v>2554</v>
      </c>
      <c r="H425" s="83"/>
      <c r="I425" s="83"/>
      <c r="J425" s="83"/>
      <c r="K425" s="83"/>
      <c r="L425" s="83"/>
      <c r="M425" s="81" t="s">
        <v>51</v>
      </c>
      <c r="N425" s="85"/>
      <c r="O425" s="85" t="s">
        <v>8</v>
      </c>
      <c r="P425" s="81"/>
      <c r="Q425" s="81" t="s">
        <v>124</v>
      </c>
      <c r="R425" s="82">
        <v>45846</v>
      </c>
      <c r="S425" s="81" t="s">
        <v>45</v>
      </c>
      <c r="T425" s="132" t="str">
        <f ca="1">IF(AND('Inserimento dati'!$B$3=$H$2, Tabella3[[#This Row],[LUN]]="X"), "X",IF(AND('Inserimento dati'!$B$3=$I$2, Tabella3[[#This Row],[MAR]]="X"), "X", IF(AND('Inserimento dati'!$B$3=$J$2, Tabella3[[#This Row],[MER]]="X"), "X",IF(AND('Inserimento dati'!$B$3=$K$2, Tabella3[[#This Row],[GIO]]="X"), "X", IF(AND('Inserimento dati'!$B$3=$L$2, Tabella3[[#This Row],[VEN]]="X"), "X","")))))</f>
        <v/>
      </c>
      <c r="U425" s="149" t="str">
        <f t="shared" ca="1" si="14"/>
        <v>10226988</v>
      </c>
    </row>
    <row r="426" spans="1:21" ht="30" x14ac:dyDescent="0.25">
      <c r="A426" s="84"/>
      <c r="B426" s="84">
        <v>2</v>
      </c>
      <c r="C426" s="84" t="str">
        <f>IF(OR(Tabella3[[#This Row],[LUN]]="X",Tabella3[[#This Row],[MAR]]="X",Tabella3[[#This Row],[MER]]="X",Tabella3[[#This Row],[GIO]]="X",Tabella3[[#This Row],[VEN]]="X",),"X","")</f>
        <v/>
      </c>
      <c r="D426" s="85" t="s">
        <v>10</v>
      </c>
      <c r="E426" s="81" t="s">
        <v>68</v>
      </c>
      <c r="F426" s="81">
        <v>1800</v>
      </c>
      <c r="G426" s="81" t="s">
        <v>2555</v>
      </c>
      <c r="H426" s="83"/>
      <c r="I426" s="83"/>
      <c r="J426" s="83"/>
      <c r="K426" s="83"/>
      <c r="L426" s="83"/>
      <c r="M426" s="81" t="s">
        <v>51</v>
      </c>
      <c r="N426" s="85"/>
      <c r="O426" s="85"/>
      <c r="P426" s="81"/>
      <c r="Q426" s="81" t="s">
        <v>128</v>
      </c>
      <c r="R426" s="82">
        <v>45855</v>
      </c>
      <c r="S426" s="81" t="s">
        <v>20</v>
      </c>
      <c r="T426" s="150" t="str">
        <f ca="1">IF(AND('Inserimento dati'!$B$3=$H$2, Tabella3[[#This Row],[LUN]]="X"), "X",IF(AND('Inserimento dati'!$B$3=$I$2, Tabella3[[#This Row],[MAR]]="X"), "X", IF(AND('Inserimento dati'!$B$3=$J$2, Tabella3[[#This Row],[MER]]="X"), "X",IF(AND('Inserimento dati'!$B$3=$K$2, Tabella3[[#This Row],[GIO]]="X"), "X", IF(AND('Inserimento dati'!$B$3=$L$2, Tabella3[[#This Row],[VEN]]="X"), "X","")))))</f>
        <v/>
      </c>
      <c r="U426" s="154" t="str">
        <f t="shared" ca="1" si="14"/>
        <v>10223642</v>
      </c>
    </row>
    <row r="427" spans="1:21" ht="75" x14ac:dyDescent="0.25">
      <c r="A427" s="84"/>
      <c r="B427" s="84"/>
      <c r="C427" s="84" t="str">
        <f>IF(OR(Tabella3[[#This Row],[LUN]]="X",Tabella3[[#This Row],[MAR]]="X",Tabella3[[#This Row],[MER]]="X",Tabella3[[#This Row],[GIO]]="X",Tabella3[[#This Row],[VEN]]="X",),"X","")</f>
        <v/>
      </c>
      <c r="D427" s="85" t="s">
        <v>10</v>
      </c>
      <c r="E427" s="81" t="s">
        <v>2556</v>
      </c>
      <c r="F427" s="81">
        <v>700</v>
      </c>
      <c r="G427" s="81" t="s">
        <v>2557</v>
      </c>
      <c r="H427" s="83"/>
      <c r="I427" s="83"/>
      <c r="J427" s="83"/>
      <c r="K427" s="83"/>
      <c r="L427" s="83"/>
      <c r="M427" s="81" t="s">
        <v>51</v>
      </c>
      <c r="N427" s="85"/>
      <c r="O427" s="85"/>
      <c r="P427" s="81"/>
      <c r="Q427" s="81" t="s">
        <v>2558</v>
      </c>
      <c r="R427" s="82">
        <v>45846</v>
      </c>
      <c r="S427" s="81" t="s">
        <v>23</v>
      </c>
      <c r="T427" s="132" t="str">
        <f ca="1">IF(AND('Inserimento dati'!$B$3=$H$2, Tabella3[[#This Row],[LUN]]="X"), "X",IF(AND('Inserimento dati'!$B$3=$I$2, Tabella3[[#This Row],[MAR]]="X"), "X", IF(AND('Inserimento dati'!$B$3=$J$2, Tabella3[[#This Row],[MER]]="X"), "X",IF(AND('Inserimento dati'!$B$3=$K$2, Tabella3[[#This Row],[GIO]]="X"), "X", IF(AND('Inserimento dati'!$B$3=$L$2, Tabella3[[#This Row],[VEN]]="X"), "X","")))))</f>
        <v/>
      </c>
      <c r="U427" s="149" t="str">
        <f t="shared" ca="1" si="14"/>
        <v>10226807</v>
      </c>
    </row>
    <row r="428" spans="1:21" ht="120" x14ac:dyDescent="0.25">
      <c r="A428" s="84"/>
      <c r="B428" s="84"/>
      <c r="C428" s="84" t="str">
        <f>IF(OR(Tabella3[[#This Row],[LUN]]="X",Tabella3[[#This Row],[MAR]]="X",Tabella3[[#This Row],[MER]]="X",Tabella3[[#This Row],[GIO]]="X",Tabella3[[#This Row],[VEN]]="X",),"X","")</f>
        <v/>
      </c>
      <c r="D428" s="85" t="s">
        <v>10</v>
      </c>
      <c r="E428" s="81" t="s">
        <v>2559</v>
      </c>
      <c r="F428" s="81">
        <v>800</v>
      </c>
      <c r="G428" s="81" t="s">
        <v>2560</v>
      </c>
      <c r="H428" s="83"/>
      <c r="I428" s="83"/>
      <c r="J428" s="83"/>
      <c r="K428" s="83"/>
      <c r="L428" s="83"/>
      <c r="M428" s="81" t="s">
        <v>51</v>
      </c>
      <c r="N428" s="85"/>
      <c r="O428" s="85"/>
      <c r="P428" s="81"/>
      <c r="Q428" s="81" t="s">
        <v>2561</v>
      </c>
      <c r="R428" s="82">
        <v>45838</v>
      </c>
      <c r="S428" s="81" t="s">
        <v>2562</v>
      </c>
      <c r="T428" s="132" t="str">
        <f ca="1">IF(AND('Inserimento dati'!$B$3=$H$2, Tabella3[[#This Row],[LUN]]="X"), "X",IF(AND('Inserimento dati'!$B$3=$I$2, Tabella3[[#This Row],[MAR]]="X"), "X", IF(AND('Inserimento dati'!$B$3=$J$2, Tabella3[[#This Row],[MER]]="X"), "X",IF(AND('Inserimento dati'!$B$3=$K$2, Tabella3[[#This Row],[GIO]]="X"), "X", IF(AND('Inserimento dati'!$B$3=$L$2, Tabella3[[#This Row],[VEN]]="X"), "X","")))))</f>
        <v/>
      </c>
      <c r="U428" s="149" t="str">
        <f t="shared" ca="1" si="14"/>
        <v>10226576</v>
      </c>
    </row>
    <row r="429" spans="1:21" ht="30" x14ac:dyDescent="0.25">
      <c r="A429" s="84"/>
      <c r="B429" s="84">
        <v>2</v>
      </c>
      <c r="C429" s="84" t="str">
        <f>IF(OR(Tabella3[[#This Row],[LUN]]="X",Tabella3[[#This Row],[MAR]]="X",Tabella3[[#This Row],[MER]]="X",Tabella3[[#This Row],[GIO]]="X",Tabella3[[#This Row],[VEN]]="X",),"X","")</f>
        <v/>
      </c>
      <c r="D429" s="85" t="s">
        <v>10</v>
      </c>
      <c r="E429" s="81" t="s">
        <v>2563</v>
      </c>
      <c r="F429" s="81">
        <v>1800</v>
      </c>
      <c r="G429" s="81" t="s">
        <v>2564</v>
      </c>
      <c r="H429" s="83"/>
      <c r="I429" s="83"/>
      <c r="J429" s="83"/>
      <c r="K429" s="83"/>
      <c r="L429" s="83"/>
      <c r="M429" s="81" t="s">
        <v>51</v>
      </c>
      <c r="N429" s="85"/>
      <c r="O429" s="85"/>
      <c r="P429" s="81"/>
      <c r="Q429" s="81" t="s">
        <v>2565</v>
      </c>
      <c r="R429" s="82">
        <v>45824</v>
      </c>
      <c r="S429" s="81" t="s">
        <v>45</v>
      </c>
      <c r="T429" s="150" t="str">
        <f ca="1">IF(AND('Inserimento dati'!$B$3=$H$2, Tabella3[[#This Row],[LUN]]="X"), "X",IF(AND('Inserimento dati'!$B$3=$I$2, Tabella3[[#This Row],[MAR]]="X"), "X", IF(AND('Inserimento dati'!$B$3=$J$2, Tabella3[[#This Row],[MER]]="X"), "X",IF(AND('Inserimento dati'!$B$3=$K$2, Tabella3[[#This Row],[GIO]]="X"), "X", IF(AND('Inserimento dati'!$B$3=$L$2, Tabella3[[#This Row],[VEN]]="X"), "X","")))))</f>
        <v/>
      </c>
      <c r="U429" s="145" t="str">
        <f t="shared" ca="1" si="14"/>
        <v>10223641</v>
      </c>
    </row>
    <row r="430" spans="1:21" ht="45" x14ac:dyDescent="0.25">
      <c r="A430" s="84"/>
      <c r="B430" s="84">
        <v>3</v>
      </c>
      <c r="C430" s="84" t="str">
        <f>IF(OR(Tabella3[[#This Row],[LUN]]="X",Tabella3[[#This Row],[MAR]]="X",Tabella3[[#This Row],[MER]]="X",Tabella3[[#This Row],[GIO]]="X",Tabella3[[#This Row],[VEN]]="X",),"X","")</f>
        <v/>
      </c>
      <c r="D430" s="85" t="s">
        <v>10</v>
      </c>
      <c r="E430" s="81" t="s">
        <v>2566</v>
      </c>
      <c r="F430" s="81">
        <v>1400</v>
      </c>
      <c r="G430" s="81" t="s">
        <v>2567</v>
      </c>
      <c r="H430" s="83"/>
      <c r="I430" s="83"/>
      <c r="J430" s="83"/>
      <c r="K430" s="83"/>
      <c r="L430" s="83"/>
      <c r="M430" s="81" t="s">
        <v>51</v>
      </c>
      <c r="N430" s="85"/>
      <c r="O430" s="85" t="s">
        <v>8</v>
      </c>
      <c r="P430" s="85" t="s">
        <v>8</v>
      </c>
      <c r="Q430" s="81" t="s">
        <v>2568</v>
      </c>
      <c r="R430" s="82">
        <v>45824</v>
      </c>
      <c r="S430" s="81" t="s">
        <v>9</v>
      </c>
      <c r="T430" s="150" t="str">
        <f ca="1">IF(AND('Inserimento dati'!$B$3=$H$2, Tabella3[[#This Row],[LUN]]="X"), "X",IF(AND('Inserimento dati'!$B$3=$I$2, Tabella3[[#This Row],[MAR]]="X"), "X", IF(AND('Inserimento dati'!$B$3=$J$2, Tabella3[[#This Row],[MER]]="X"), "X",IF(AND('Inserimento dati'!$B$3=$K$2, Tabella3[[#This Row],[GIO]]="X"), "X", IF(AND('Inserimento dati'!$B$3=$L$2, Tabella3[[#This Row],[VEN]]="X"), "X","")))))</f>
        <v/>
      </c>
      <c r="U430" s="145" t="str">
        <f t="shared" ca="1" si="14"/>
        <v>10224410</v>
      </c>
    </row>
    <row r="431" spans="1:21" ht="30" x14ac:dyDescent="0.25">
      <c r="A431" s="84"/>
      <c r="B431" s="84">
        <v>2</v>
      </c>
      <c r="C431" s="84" t="str">
        <f>IF(OR(Tabella3[[#This Row],[LUN]]="X",Tabella3[[#This Row],[MAR]]="X",Tabella3[[#This Row],[MER]]="X",Tabella3[[#This Row],[GIO]]="X",Tabella3[[#This Row],[VEN]]="X",),"X","")</f>
        <v/>
      </c>
      <c r="D431" s="85" t="s">
        <v>10</v>
      </c>
      <c r="E431" s="81" t="s">
        <v>2569</v>
      </c>
      <c r="F431" s="81" t="s">
        <v>160</v>
      </c>
      <c r="G431" s="81" t="s">
        <v>2570</v>
      </c>
      <c r="H431" s="83"/>
      <c r="I431" s="83"/>
      <c r="J431" s="83"/>
      <c r="K431" s="83"/>
      <c r="L431" s="83"/>
      <c r="M431" s="81" t="s">
        <v>51</v>
      </c>
      <c r="N431" s="85" t="s">
        <v>8</v>
      </c>
      <c r="O431" s="85"/>
      <c r="P431" s="81"/>
      <c r="Q431" s="81" t="s">
        <v>2571</v>
      </c>
      <c r="R431" s="82">
        <v>45782</v>
      </c>
      <c r="S431" s="81" t="s">
        <v>623</v>
      </c>
      <c r="T431" s="138" t="str">
        <f ca="1">IF(AND('Inserimento dati'!$B$3=$H$2, Tabella3[[#This Row],[LUN]]="X"), "X",IF(AND('Inserimento dati'!$B$3=$I$2, Tabella3[[#This Row],[MAR]]="X"), "X", IF(AND('Inserimento dati'!$B$3=$J$2, Tabella3[[#This Row],[MER]]="X"), "X",IF(AND('Inserimento dati'!$B$3=$K$2, Tabella3[[#This Row],[GIO]]="X"), "X", IF(AND('Inserimento dati'!$B$3=$L$2, Tabella3[[#This Row],[VEN]]="X"), "X","")))))</f>
        <v/>
      </c>
      <c r="U431" s="154" t="str">
        <f t="shared" ca="1" si="14"/>
        <v>10221652</v>
      </c>
    </row>
    <row r="432" spans="1:21" ht="30" x14ac:dyDescent="0.25">
      <c r="A432" s="84"/>
      <c r="B432" s="84">
        <v>2</v>
      </c>
      <c r="C432" s="84" t="str">
        <f>IF(OR(Tabella3[[#This Row],[LUN]]="X",Tabella3[[#This Row],[MAR]]="X",Tabella3[[#This Row],[MER]]="X",Tabella3[[#This Row],[GIO]]="X",Tabella3[[#This Row],[VEN]]="X",),"X","")</f>
        <v/>
      </c>
      <c r="D432" s="85" t="s">
        <v>10</v>
      </c>
      <c r="E432" s="81" t="s">
        <v>2572</v>
      </c>
      <c r="F432" s="81" t="s">
        <v>160</v>
      </c>
      <c r="G432" s="81" t="s">
        <v>2573</v>
      </c>
      <c r="H432" s="83"/>
      <c r="I432" s="83"/>
      <c r="J432" s="83"/>
      <c r="K432" s="83"/>
      <c r="L432" s="83"/>
      <c r="M432" s="81" t="s">
        <v>51</v>
      </c>
      <c r="N432" s="85" t="s">
        <v>8</v>
      </c>
      <c r="O432" s="85"/>
      <c r="P432" s="81"/>
      <c r="Q432" s="81" t="s">
        <v>2571</v>
      </c>
      <c r="R432" s="82">
        <v>45782</v>
      </c>
      <c r="S432" s="81" t="s">
        <v>623</v>
      </c>
      <c r="T432" s="138" t="str">
        <f ca="1">IF(AND('Inserimento dati'!$B$3=$H$2, Tabella3[[#This Row],[LUN]]="X"), "X",IF(AND('Inserimento dati'!$B$3=$I$2, Tabella3[[#This Row],[MAR]]="X"), "X", IF(AND('Inserimento dati'!$B$3=$J$2, Tabella3[[#This Row],[MER]]="X"), "X",IF(AND('Inserimento dati'!$B$3=$K$2, Tabella3[[#This Row],[GIO]]="X"), "X", IF(AND('Inserimento dati'!$B$3=$L$2, Tabella3[[#This Row],[VEN]]="X"), "X","")))))</f>
        <v/>
      </c>
      <c r="U432" s="154" t="str">
        <f t="shared" ca="1" si="14"/>
        <v>10221651</v>
      </c>
    </row>
    <row r="433" spans="1:21" ht="135" x14ac:dyDescent="0.25">
      <c r="A433" s="84"/>
      <c r="B433" s="84">
        <v>1</v>
      </c>
      <c r="C433" s="84" t="str">
        <f>IF(OR(Tabella3[[#This Row],[LUN]]="X",Tabella3[[#This Row],[MAR]]="X",Tabella3[[#This Row],[MER]]="X",Tabella3[[#This Row],[GIO]]="X",Tabella3[[#This Row],[VEN]]="X",),"X","")</f>
        <v/>
      </c>
      <c r="D433" s="85" t="s">
        <v>10</v>
      </c>
      <c r="E433" s="81" t="s">
        <v>2574</v>
      </c>
      <c r="F433" s="81" t="s">
        <v>160</v>
      </c>
      <c r="G433" s="81" t="s">
        <v>2575</v>
      </c>
      <c r="H433" s="83"/>
      <c r="I433" s="83"/>
      <c r="J433" s="83"/>
      <c r="K433" s="83"/>
      <c r="L433" s="83"/>
      <c r="M433" s="81" t="s">
        <v>51</v>
      </c>
      <c r="N433" s="85" t="s">
        <v>8</v>
      </c>
      <c r="O433" s="85"/>
      <c r="P433" s="81"/>
      <c r="Q433" s="81" t="s">
        <v>108</v>
      </c>
      <c r="R433" s="82">
        <v>45817</v>
      </c>
      <c r="S433" s="81" t="s">
        <v>107</v>
      </c>
      <c r="T433" s="138" t="str">
        <f ca="1">IF(AND('Inserimento dati'!$B$3=$H$2, Tabella3[[#This Row],[LUN]]="X"), "X",IF(AND('Inserimento dati'!$B$3=$I$2, Tabella3[[#This Row],[MAR]]="X"), "X", IF(AND('Inserimento dati'!$B$3=$J$2, Tabella3[[#This Row],[MER]]="X"), "X",IF(AND('Inserimento dati'!$B$3=$K$2, Tabella3[[#This Row],[GIO]]="X"), "X", IF(AND('Inserimento dati'!$B$3=$L$2, Tabella3[[#This Row],[VEN]]="X"), "X","")))))</f>
        <v/>
      </c>
      <c r="U433" s="154" t="str">
        <f t="shared" ca="1" si="14"/>
        <v/>
      </c>
    </row>
    <row r="434" spans="1:21" ht="30" x14ac:dyDescent="0.25">
      <c r="A434" s="84"/>
      <c r="B434" s="84">
        <v>2</v>
      </c>
      <c r="C434" s="84" t="str">
        <f>IF(OR(Tabella3[[#This Row],[LUN]]="X",Tabella3[[#This Row],[MAR]]="X",Tabella3[[#This Row],[MER]]="X",Tabella3[[#This Row],[GIO]]="X",Tabella3[[#This Row],[VEN]]="X",),"X","")</f>
        <v/>
      </c>
      <c r="D434" s="85" t="s">
        <v>10</v>
      </c>
      <c r="E434" s="81" t="s">
        <v>59</v>
      </c>
      <c r="F434" s="81">
        <v>1100</v>
      </c>
      <c r="G434" s="81" t="s">
        <v>2576</v>
      </c>
      <c r="H434" s="83"/>
      <c r="I434" s="83"/>
      <c r="J434" s="83"/>
      <c r="K434" s="83"/>
      <c r="L434" s="83"/>
      <c r="M434" s="81" t="s">
        <v>51</v>
      </c>
      <c r="N434" s="85"/>
      <c r="O434" s="85" t="s">
        <v>8</v>
      </c>
      <c r="P434" s="81" t="s">
        <v>8</v>
      </c>
      <c r="Q434" s="81" t="s">
        <v>104</v>
      </c>
      <c r="R434" s="82">
        <v>45814</v>
      </c>
      <c r="S434" s="81" t="s">
        <v>9</v>
      </c>
      <c r="T434" s="152" t="str">
        <f ca="1">IF(AND('Inserimento dati'!$B$3=$H$2, Tabella3[[#This Row],[LUN]]="X"), "X",IF(AND('Inserimento dati'!$B$3=$I$2, Tabella3[[#This Row],[MAR]]="X"), "X", IF(AND('Inserimento dati'!$B$3=$J$2, Tabella3[[#This Row],[MER]]="X"), "X",IF(AND('Inserimento dati'!$B$3=$K$2, Tabella3[[#This Row],[GIO]]="X"), "X", IF(AND('Inserimento dati'!$B$3=$L$2, Tabella3[[#This Row],[VEN]]="X"), "X","")))))</f>
        <v/>
      </c>
      <c r="U434" s="154" t="str">
        <f t="shared" ca="1" si="14"/>
        <v>10223633</v>
      </c>
    </row>
    <row r="435" spans="1:21" ht="45" x14ac:dyDescent="0.25">
      <c r="A435" s="84"/>
      <c r="B435" s="84">
        <v>3</v>
      </c>
      <c r="C435" s="84" t="str">
        <f>IF(OR(Tabella3[[#This Row],[LUN]]="X",Tabella3[[#This Row],[MAR]]="X",Tabella3[[#This Row],[MER]]="X",Tabella3[[#This Row],[GIO]]="X",Tabella3[[#This Row],[VEN]]="X",),"X","")</f>
        <v/>
      </c>
      <c r="D435" s="85" t="s">
        <v>10</v>
      </c>
      <c r="E435" s="81" t="s">
        <v>2577</v>
      </c>
      <c r="F435" s="81" t="s">
        <v>200</v>
      </c>
      <c r="G435" s="81" t="s">
        <v>2578</v>
      </c>
      <c r="H435" s="83"/>
      <c r="I435" s="83"/>
      <c r="J435" s="83"/>
      <c r="K435" s="83"/>
      <c r="L435" s="83"/>
      <c r="M435" s="81" t="s">
        <v>51</v>
      </c>
      <c r="N435" s="85"/>
      <c r="O435" s="85"/>
      <c r="P435" s="81"/>
      <c r="Q435" s="81" t="s">
        <v>2579</v>
      </c>
      <c r="R435" s="82"/>
      <c r="S435" s="81"/>
      <c r="T435" s="150" t="str">
        <f ca="1">IF(AND('Inserimento dati'!$B$3=$H$2, Tabella3[[#This Row],[LUN]]="X"), "X",IF(AND('Inserimento dati'!$B$3=$I$2, Tabella3[[#This Row],[MAR]]="X"), "X", IF(AND('Inserimento dati'!$B$3=$J$2, Tabella3[[#This Row],[MER]]="X"), "X",IF(AND('Inserimento dati'!$B$3=$K$2, Tabella3[[#This Row],[GIO]]="X"), "X", IF(AND('Inserimento dati'!$B$3=$L$2, Tabella3[[#This Row],[VEN]]="X"), "X","")))))</f>
        <v/>
      </c>
      <c r="U435" s="145" t="str">
        <f t="shared" ca="1" si="14"/>
        <v>10224189</v>
      </c>
    </row>
    <row r="436" spans="1:21" ht="30" x14ac:dyDescent="0.25">
      <c r="A436" s="84"/>
      <c r="B436" s="84">
        <v>4</v>
      </c>
      <c r="C436" s="84" t="str">
        <f>IF(OR(Tabella3[[#This Row],[LUN]]="X",Tabella3[[#This Row],[MAR]]="X",Tabella3[[#This Row],[MER]]="X",Tabella3[[#This Row],[GIO]]="X",Tabella3[[#This Row],[VEN]]="X",),"X","")</f>
        <v/>
      </c>
      <c r="D436" s="85" t="s">
        <v>10</v>
      </c>
      <c r="E436" s="81" t="s">
        <v>2580</v>
      </c>
      <c r="F436" s="81" t="s">
        <v>199</v>
      </c>
      <c r="G436" s="81" t="s">
        <v>2581</v>
      </c>
      <c r="H436" s="83"/>
      <c r="I436" s="83"/>
      <c r="J436" s="83"/>
      <c r="K436" s="83"/>
      <c r="L436" s="83"/>
      <c r="M436" s="81" t="s">
        <v>51</v>
      </c>
      <c r="N436" s="85"/>
      <c r="O436" s="85"/>
      <c r="P436" s="81"/>
      <c r="Q436" s="81" t="s">
        <v>2582</v>
      </c>
      <c r="R436" s="82">
        <v>45791</v>
      </c>
      <c r="S436" s="81" t="s">
        <v>23</v>
      </c>
      <c r="T436" s="150" t="str">
        <f ca="1">IF(AND('Inserimento dati'!$B$3=$H$2, Tabella3[[#This Row],[LUN]]="X"), "X",IF(AND('Inserimento dati'!$B$3=$I$2, Tabella3[[#This Row],[MAR]]="X"), "X", IF(AND('Inserimento dati'!$B$3=$J$2, Tabella3[[#This Row],[MER]]="X"), "X",IF(AND('Inserimento dati'!$B$3=$K$2, Tabella3[[#This Row],[GIO]]="X"), "X", IF(AND('Inserimento dati'!$B$3=$L$2, Tabella3[[#This Row],[VEN]]="X"), "X","")))))</f>
        <v/>
      </c>
      <c r="U436" s="154" t="str">
        <f t="shared" ca="1" si="14"/>
        <v>10223786</v>
      </c>
    </row>
    <row r="437" spans="1:21" ht="30" x14ac:dyDescent="0.25">
      <c r="A437" s="84"/>
      <c r="B437" s="84">
        <v>4</v>
      </c>
      <c r="C437" s="84" t="str">
        <f>IF(OR(Tabella3[[#This Row],[LUN]]="X",Tabella3[[#This Row],[MAR]]="X",Tabella3[[#This Row],[MER]]="X",Tabella3[[#This Row],[GIO]]="X",Tabella3[[#This Row],[VEN]]="X",),"X","")</f>
        <v/>
      </c>
      <c r="D437" s="85" t="s">
        <v>10</v>
      </c>
      <c r="E437" s="81" t="s">
        <v>2583</v>
      </c>
      <c r="F437" s="81">
        <v>1400</v>
      </c>
      <c r="G437" s="81" t="s">
        <v>2584</v>
      </c>
      <c r="H437" s="83"/>
      <c r="I437" s="83"/>
      <c r="J437" s="83"/>
      <c r="K437" s="83"/>
      <c r="L437" s="83"/>
      <c r="M437" s="81" t="s">
        <v>51</v>
      </c>
      <c r="N437" s="85" t="s">
        <v>8</v>
      </c>
      <c r="O437" s="85"/>
      <c r="P437" s="81"/>
      <c r="Q437" s="81" t="s">
        <v>2585</v>
      </c>
      <c r="R437" s="82"/>
      <c r="S437" s="81"/>
      <c r="T437" s="138" t="str">
        <f ca="1">IF(AND('Inserimento dati'!$B$3=$H$2, Tabella3[[#This Row],[LUN]]="X"), "X",IF(AND('Inserimento dati'!$B$3=$I$2, Tabella3[[#This Row],[MAR]]="X"), "X", IF(AND('Inserimento dati'!$B$3=$J$2, Tabella3[[#This Row],[MER]]="X"), "X",IF(AND('Inserimento dati'!$B$3=$K$2, Tabella3[[#This Row],[GIO]]="X"), "X", IF(AND('Inserimento dati'!$B$3=$L$2, Tabella3[[#This Row],[VEN]]="X"), "X","")))))</f>
        <v/>
      </c>
      <c r="U437" s="154" t="str">
        <f t="shared" ca="1" si="14"/>
        <v>10217184</v>
      </c>
    </row>
    <row r="438" spans="1:21" ht="30" x14ac:dyDescent="0.25">
      <c r="A438" s="84"/>
      <c r="B438" s="84">
        <v>4</v>
      </c>
      <c r="C438" s="84" t="str">
        <f>IF(OR(Tabella3[[#This Row],[LUN]]="X",Tabella3[[#This Row],[MAR]]="X",Tabella3[[#This Row],[MER]]="X",Tabella3[[#This Row],[GIO]]="X",Tabella3[[#This Row],[VEN]]="X",),"X","")</f>
        <v/>
      </c>
      <c r="D438" s="85" t="s">
        <v>10</v>
      </c>
      <c r="E438" s="81" t="s">
        <v>2586</v>
      </c>
      <c r="F438" s="81">
        <v>800</v>
      </c>
      <c r="G438" s="81" t="s">
        <v>2587</v>
      </c>
      <c r="H438" s="83"/>
      <c r="I438" s="83"/>
      <c r="J438" s="83"/>
      <c r="K438" s="83"/>
      <c r="L438" s="83"/>
      <c r="M438" s="81" t="s">
        <v>51</v>
      </c>
      <c r="N438" s="85"/>
      <c r="O438" s="85"/>
      <c r="P438" s="81"/>
      <c r="Q438" s="81"/>
      <c r="R438" s="82"/>
      <c r="S438" s="81"/>
      <c r="T438" s="138" t="str">
        <f ca="1">IF(AND('Inserimento dati'!$B$3=$H$2, Tabella3[[#This Row],[LUN]]="X"), "X",IF(AND('Inserimento dati'!$B$3=$I$2, Tabella3[[#This Row],[MAR]]="X"), "X", IF(AND('Inserimento dati'!$B$3=$J$2, Tabella3[[#This Row],[MER]]="X"), "X",IF(AND('Inserimento dati'!$B$3=$K$2, Tabella3[[#This Row],[GIO]]="X"), "X", IF(AND('Inserimento dati'!$B$3=$L$2, Tabella3[[#This Row],[VEN]]="X"), "X","")))))</f>
        <v/>
      </c>
      <c r="U438" s="154" t="str">
        <f t="shared" ca="1" si="14"/>
        <v>10220466</v>
      </c>
    </row>
    <row r="439" spans="1:21" ht="30" x14ac:dyDescent="0.25">
      <c r="A439" s="84"/>
      <c r="B439" s="84">
        <v>4</v>
      </c>
      <c r="C439" s="84" t="str">
        <f>IF(OR(Tabella3[[#This Row],[LUN]]="X",Tabella3[[#This Row],[MAR]]="X",Tabella3[[#This Row],[MER]]="X",Tabella3[[#This Row],[GIO]]="X",Tabella3[[#This Row],[VEN]]="X",),"X","")</f>
        <v/>
      </c>
      <c r="D439" s="85" t="s">
        <v>10</v>
      </c>
      <c r="E439" s="81" t="s">
        <v>2588</v>
      </c>
      <c r="F439" s="81" t="s">
        <v>201</v>
      </c>
      <c r="G439" s="81" t="s">
        <v>2589</v>
      </c>
      <c r="H439" s="83"/>
      <c r="I439" s="83"/>
      <c r="J439" s="83"/>
      <c r="K439" s="83"/>
      <c r="L439" s="83"/>
      <c r="M439" s="81" t="s">
        <v>51</v>
      </c>
      <c r="N439" s="85" t="s">
        <v>8</v>
      </c>
      <c r="O439" s="85"/>
      <c r="P439" s="81"/>
      <c r="Q439" s="81" t="s">
        <v>2590</v>
      </c>
      <c r="R439" s="82">
        <v>45775</v>
      </c>
      <c r="S439" s="81" t="s">
        <v>242</v>
      </c>
      <c r="T439" s="138" t="str">
        <f ca="1">IF(AND('Inserimento dati'!$B$3=$H$2, Tabella3[[#This Row],[LUN]]="X"), "X",IF(AND('Inserimento dati'!$B$3=$I$2, Tabella3[[#This Row],[MAR]]="X"), "X", IF(AND('Inserimento dati'!$B$3=$J$2, Tabella3[[#This Row],[MER]]="X"), "X",IF(AND('Inserimento dati'!$B$3=$K$2, Tabella3[[#This Row],[GIO]]="X"), "X", IF(AND('Inserimento dati'!$B$3=$L$2, Tabella3[[#This Row],[VEN]]="X"), "X","")))))</f>
        <v/>
      </c>
      <c r="U439" s="154" t="str">
        <f t="shared" ca="1" si="14"/>
        <v>10218827</v>
      </c>
    </row>
    <row r="440" spans="1:21" ht="23.25" x14ac:dyDescent="0.25">
      <c r="A440" s="84"/>
      <c r="B440" s="84">
        <v>4</v>
      </c>
      <c r="C440" s="84" t="str">
        <f>IF(OR(Tabella3[[#This Row],[LUN]]="X",Tabella3[[#This Row],[MAR]]="X",Tabella3[[#This Row],[MER]]="X",Tabella3[[#This Row],[GIO]]="X",Tabella3[[#This Row],[VEN]]="X",),"X","")</f>
        <v/>
      </c>
      <c r="D440" s="85" t="s">
        <v>10</v>
      </c>
      <c r="E440" s="81" t="s">
        <v>2591</v>
      </c>
      <c r="F440" s="81" t="s">
        <v>203</v>
      </c>
      <c r="G440" s="81" t="s">
        <v>2592</v>
      </c>
      <c r="H440" s="83"/>
      <c r="I440" s="83"/>
      <c r="J440" s="83"/>
      <c r="K440" s="83"/>
      <c r="L440" s="83"/>
      <c r="M440" s="81" t="s">
        <v>51</v>
      </c>
      <c r="N440" s="85"/>
      <c r="O440" s="85"/>
      <c r="P440" s="81"/>
      <c r="Q440" s="81" t="s">
        <v>2593</v>
      </c>
      <c r="R440" s="82"/>
      <c r="S440" s="82"/>
      <c r="T440" s="84" t="str">
        <f ca="1">IF(AND('Inserimento dati'!$B$3=$H$2, Tabella3[[#This Row],[LUN]]="X"), "X",IF(AND('Inserimento dati'!$B$3=$I$2, Tabella3[[#This Row],[MAR]]="X"), "X", IF(AND('Inserimento dati'!$B$3=$J$2, Tabella3[[#This Row],[MER]]="X"), "X",IF(AND('Inserimento dati'!$B$3=$K$2, Tabella3[[#This Row],[GIO]]="X"), "X", IF(AND('Inserimento dati'!$B$3=$L$2, Tabella3[[#This Row],[VEN]]="X"), "X","")))))</f>
        <v/>
      </c>
      <c r="U440" s="154" t="str">
        <f t="shared" ca="1" si="14"/>
        <v>10215992</v>
      </c>
    </row>
    <row r="441" spans="1:21" ht="30" x14ac:dyDescent="0.25">
      <c r="A441" s="84"/>
      <c r="B441" s="84">
        <v>4</v>
      </c>
      <c r="C441" s="84" t="str">
        <f>IF(OR(Tabella3[[#This Row],[LUN]]="X",Tabella3[[#This Row],[MAR]]="X",Tabella3[[#This Row],[MER]]="X",Tabella3[[#This Row],[GIO]]="X",Tabella3[[#This Row],[VEN]]="X",),"X","")</f>
        <v/>
      </c>
      <c r="D441" s="85" t="s">
        <v>10</v>
      </c>
      <c r="E441" s="81" t="s">
        <v>2594</v>
      </c>
      <c r="F441" s="81">
        <v>1800</v>
      </c>
      <c r="G441" s="81" t="s">
        <v>2595</v>
      </c>
      <c r="H441" s="83"/>
      <c r="I441" s="83"/>
      <c r="J441" s="83"/>
      <c r="K441" s="83"/>
      <c r="L441" s="83"/>
      <c r="M441" s="81" t="s">
        <v>51</v>
      </c>
      <c r="N441" s="85"/>
      <c r="O441" s="85"/>
      <c r="P441" s="81"/>
      <c r="Q441" s="81" t="s">
        <v>2596</v>
      </c>
      <c r="R441" s="82">
        <v>45715</v>
      </c>
      <c r="S441" s="81" t="s">
        <v>11</v>
      </c>
      <c r="T441" s="138" t="str">
        <f ca="1">IF(AND('Inserimento dati'!$B$3=$H$2, Tabella3[[#This Row],[LUN]]="X"), "X",IF(AND('Inserimento dati'!$B$3=$I$2, Tabella3[[#This Row],[MAR]]="X"), "X", IF(AND('Inserimento dati'!$B$3=$J$2, Tabella3[[#This Row],[MER]]="X"), "X",IF(AND('Inserimento dati'!$B$3=$K$2, Tabella3[[#This Row],[GIO]]="X"), "X", IF(AND('Inserimento dati'!$B$3=$L$2, Tabella3[[#This Row],[VEN]]="X"), "X","")))))</f>
        <v/>
      </c>
      <c r="U441" s="154" t="str">
        <f t="shared" ca="1" si="14"/>
        <v/>
      </c>
    </row>
    <row r="442" spans="1:21" ht="45" x14ac:dyDescent="0.25">
      <c r="A442" s="84"/>
      <c r="B442" s="84">
        <v>4</v>
      </c>
      <c r="C442" s="84" t="str">
        <f>IF(OR(Tabella3[[#This Row],[LUN]]="X",Tabella3[[#This Row],[MAR]]="X",Tabella3[[#This Row],[MER]]="X",Tabella3[[#This Row],[GIO]]="X",Tabella3[[#This Row],[VEN]]="X",),"X","")</f>
        <v/>
      </c>
      <c r="D442" s="85" t="s">
        <v>10</v>
      </c>
      <c r="E442" s="81" t="s">
        <v>2597</v>
      </c>
      <c r="F442" s="81">
        <v>1800</v>
      </c>
      <c r="G442" s="81" t="s">
        <v>2598</v>
      </c>
      <c r="H442" s="83"/>
      <c r="I442" s="83"/>
      <c r="J442" s="83"/>
      <c r="K442" s="83"/>
      <c r="L442" s="83"/>
      <c r="M442" s="81" t="s">
        <v>51</v>
      </c>
      <c r="N442" s="85"/>
      <c r="O442" s="85"/>
      <c r="P442" s="81"/>
      <c r="Q442" s="81" t="s">
        <v>2599</v>
      </c>
      <c r="R442" s="82">
        <v>45756</v>
      </c>
      <c r="S442" s="81" t="s">
        <v>674</v>
      </c>
      <c r="T442" s="138" t="str">
        <f ca="1">IF(AND('Inserimento dati'!$B$3=$H$2, Tabella3[[#This Row],[LUN]]="X"), "X",IF(AND('Inserimento dati'!$B$3=$I$2, Tabella3[[#This Row],[MAR]]="X"), "X", IF(AND('Inserimento dati'!$B$3=$J$2, Tabella3[[#This Row],[MER]]="X"), "X",IF(AND('Inserimento dati'!$B$3=$K$2, Tabella3[[#This Row],[GIO]]="X"), "X", IF(AND('Inserimento dati'!$B$3=$L$2, Tabella3[[#This Row],[VEN]]="X"), "X","")))))</f>
        <v/>
      </c>
      <c r="U442" s="154" t="str">
        <f t="shared" ca="1" si="14"/>
        <v/>
      </c>
    </row>
    <row r="443" spans="1:21" ht="30" x14ac:dyDescent="0.25">
      <c r="A443" s="84"/>
      <c r="B443" s="84">
        <v>4</v>
      </c>
      <c r="C443" s="84" t="str">
        <f>IF(OR(Tabella3[[#This Row],[LUN]]="X",Tabella3[[#This Row],[MAR]]="X",Tabella3[[#This Row],[MER]]="X",Tabella3[[#This Row],[GIO]]="X",Tabella3[[#This Row],[VEN]]="X",),"X","")</f>
        <v/>
      </c>
      <c r="D443" s="85" t="s">
        <v>10</v>
      </c>
      <c r="E443" s="81" t="s">
        <v>2600</v>
      </c>
      <c r="F443" s="81" t="s">
        <v>199</v>
      </c>
      <c r="G443" s="81" t="s">
        <v>2601</v>
      </c>
      <c r="H443" s="83"/>
      <c r="I443" s="83"/>
      <c r="J443" s="83"/>
      <c r="K443" s="83"/>
      <c r="L443" s="83"/>
      <c r="M443" s="81" t="s">
        <v>51</v>
      </c>
      <c r="N443" s="85"/>
      <c r="O443" s="85"/>
      <c r="P443" s="81"/>
      <c r="Q443" s="81" t="s">
        <v>2602</v>
      </c>
      <c r="R443" s="82">
        <v>45726</v>
      </c>
      <c r="S443" s="81" t="s">
        <v>238</v>
      </c>
      <c r="T443" s="138" t="str">
        <f ca="1">IF(AND('Inserimento dati'!$B$3=$H$2, Tabella3[[#This Row],[LUN]]="X"), "X",IF(AND('Inserimento dati'!$B$3=$I$2, Tabella3[[#This Row],[MAR]]="X"), "X", IF(AND('Inserimento dati'!$B$3=$J$2, Tabella3[[#This Row],[MER]]="X"), "X",IF(AND('Inserimento dati'!$B$3=$K$2, Tabella3[[#This Row],[GIO]]="X"), "X", IF(AND('Inserimento dati'!$B$3=$L$2, Tabella3[[#This Row],[VEN]]="X"), "X","")))))</f>
        <v/>
      </c>
      <c r="U443" s="154" t="str">
        <f t="shared" ca="1" si="14"/>
        <v/>
      </c>
    </row>
    <row r="444" spans="1:21" ht="30" x14ac:dyDescent="0.25">
      <c r="A444" s="84"/>
      <c r="B444" s="84">
        <v>4</v>
      </c>
      <c r="C444" s="84" t="str">
        <f>IF(OR(Tabella3[[#This Row],[LUN]]="X",Tabella3[[#This Row],[MAR]]="X",Tabella3[[#This Row],[MER]]="X",Tabella3[[#This Row],[GIO]]="X",Tabella3[[#This Row],[VEN]]="X",),"X","")</f>
        <v/>
      </c>
      <c r="D444" s="85" t="s">
        <v>10</v>
      </c>
      <c r="E444" s="81" t="s">
        <v>2603</v>
      </c>
      <c r="F444" s="81">
        <v>1100</v>
      </c>
      <c r="G444" s="81" t="s">
        <v>2604</v>
      </c>
      <c r="H444" s="83"/>
      <c r="I444" s="83"/>
      <c r="J444" s="83"/>
      <c r="K444" s="83"/>
      <c r="L444" s="83"/>
      <c r="M444" s="81" t="s">
        <v>51</v>
      </c>
      <c r="N444" s="85"/>
      <c r="O444" s="85"/>
      <c r="P444" s="81"/>
      <c r="Q444" s="81" t="s">
        <v>2605</v>
      </c>
      <c r="R444" s="82">
        <v>45720</v>
      </c>
      <c r="S444" s="81" t="s">
        <v>1690</v>
      </c>
      <c r="T444" s="138" t="str">
        <f ca="1">IF(AND('Inserimento dati'!$B$3=$H$2, Tabella3[[#This Row],[LUN]]="X"), "X",IF(AND('Inserimento dati'!$B$3=$I$2, Tabella3[[#This Row],[MAR]]="X"), "X", IF(AND('Inserimento dati'!$B$3=$J$2, Tabella3[[#This Row],[MER]]="X"), "X",IF(AND('Inserimento dati'!$B$3=$K$2, Tabella3[[#This Row],[GIO]]="X"), "X", IF(AND('Inserimento dati'!$B$3=$L$2, Tabella3[[#This Row],[VEN]]="X"), "X","")))))</f>
        <v/>
      </c>
      <c r="U444" s="154" t="str">
        <f t="shared" ca="1" si="14"/>
        <v/>
      </c>
    </row>
    <row r="445" spans="1:21" ht="30" x14ac:dyDescent="0.25">
      <c r="A445" s="84"/>
      <c r="B445" s="84">
        <v>4</v>
      </c>
      <c r="C445" s="84" t="str">
        <f>IF(OR(Tabella3[[#This Row],[LUN]]="X",Tabella3[[#This Row],[MAR]]="X",Tabella3[[#This Row],[MER]]="X",Tabella3[[#This Row],[GIO]]="X",Tabella3[[#This Row],[VEN]]="X",),"X","")</f>
        <v/>
      </c>
      <c r="D445" s="85" t="s">
        <v>10</v>
      </c>
      <c r="E445" s="81" t="s">
        <v>2606</v>
      </c>
      <c r="F445" s="81">
        <v>800</v>
      </c>
      <c r="G445" s="81" t="s">
        <v>2607</v>
      </c>
      <c r="H445" s="83"/>
      <c r="I445" s="83"/>
      <c r="J445" s="83"/>
      <c r="K445" s="83"/>
      <c r="L445" s="83"/>
      <c r="M445" s="81" t="s">
        <v>51</v>
      </c>
      <c r="N445" s="85"/>
      <c r="O445" s="85"/>
      <c r="P445" s="81"/>
      <c r="Q445" s="81" t="s">
        <v>2608</v>
      </c>
      <c r="R445" s="82">
        <v>45719</v>
      </c>
      <c r="S445" s="81" t="s">
        <v>1690</v>
      </c>
      <c r="T445" s="138" t="str">
        <f ca="1">IF(AND('Inserimento dati'!$B$3=$H$2, Tabella3[[#This Row],[LUN]]="X"), "X",IF(AND('Inserimento dati'!$B$3=$I$2, Tabella3[[#This Row],[MAR]]="X"), "X", IF(AND('Inserimento dati'!$B$3=$J$2, Tabella3[[#This Row],[MER]]="X"), "X",IF(AND('Inserimento dati'!$B$3=$K$2, Tabella3[[#This Row],[GIO]]="X"), "X", IF(AND('Inserimento dati'!$B$3=$L$2, Tabella3[[#This Row],[VEN]]="X"), "X","")))))</f>
        <v/>
      </c>
      <c r="U445" s="154" t="str">
        <f t="shared" ca="1" si="14"/>
        <v/>
      </c>
    </row>
    <row r="446" spans="1:21" ht="30" x14ac:dyDescent="0.25">
      <c r="A446" s="84"/>
      <c r="B446" s="84">
        <v>4</v>
      </c>
      <c r="C446" s="84" t="str">
        <f>IF(OR(Tabella3[[#This Row],[LUN]]="X",Tabella3[[#This Row],[MAR]]="X",Tabella3[[#This Row],[MER]]="X",Tabella3[[#This Row],[GIO]]="X",Tabella3[[#This Row],[VEN]]="X",),"X","")</f>
        <v/>
      </c>
      <c r="D446" s="85" t="s">
        <v>10</v>
      </c>
      <c r="E446" s="81" t="s">
        <v>2609</v>
      </c>
      <c r="F446" s="81">
        <v>800</v>
      </c>
      <c r="G446" s="81" t="s">
        <v>2610</v>
      </c>
      <c r="H446" s="83"/>
      <c r="I446" s="83"/>
      <c r="J446" s="83"/>
      <c r="K446" s="83"/>
      <c r="L446" s="83"/>
      <c r="M446" s="81" t="s">
        <v>51</v>
      </c>
      <c r="N446" s="85" t="s">
        <v>8</v>
      </c>
      <c r="O446" s="85"/>
      <c r="P446" s="81"/>
      <c r="Q446" s="81" t="s">
        <v>2611</v>
      </c>
      <c r="R446" s="82">
        <v>45707</v>
      </c>
      <c r="S446" s="81" t="s">
        <v>1750</v>
      </c>
      <c r="T446" s="138" t="str">
        <f ca="1">IF(AND('Inserimento dati'!$B$3=$H$2, Tabella3[[#This Row],[LUN]]="X"), "X",IF(AND('Inserimento dati'!$B$3=$I$2, Tabella3[[#This Row],[MAR]]="X"), "X", IF(AND('Inserimento dati'!$B$3=$J$2, Tabella3[[#This Row],[MER]]="X"), "X",IF(AND('Inserimento dati'!$B$3=$K$2, Tabella3[[#This Row],[GIO]]="X"), "X", IF(AND('Inserimento dati'!$B$3=$L$2, Tabella3[[#This Row],[VEN]]="X"), "X","")))))</f>
        <v/>
      </c>
      <c r="U446" s="154" t="str">
        <f t="shared" ca="1" si="14"/>
        <v/>
      </c>
    </row>
    <row r="447" spans="1:21" ht="30" x14ac:dyDescent="0.25">
      <c r="A447" s="84"/>
      <c r="B447" s="84">
        <v>4</v>
      </c>
      <c r="C447" s="84" t="str">
        <f>IF(OR(Tabella3[[#This Row],[LUN]]="X",Tabella3[[#This Row],[MAR]]="X",Tabella3[[#This Row],[MER]]="X",Tabella3[[#This Row],[GIO]]="X",Tabella3[[#This Row],[VEN]]="X",),"X","")</f>
        <v/>
      </c>
      <c r="D447" s="85" t="s">
        <v>10</v>
      </c>
      <c r="E447" s="81" t="s">
        <v>2612</v>
      </c>
      <c r="F447" s="81" t="s">
        <v>202</v>
      </c>
      <c r="G447" s="81" t="s">
        <v>2613</v>
      </c>
      <c r="H447" s="83"/>
      <c r="I447" s="83"/>
      <c r="J447" s="83"/>
      <c r="K447" s="83"/>
      <c r="L447" s="83"/>
      <c r="M447" s="81" t="s">
        <v>51</v>
      </c>
      <c r="N447" s="85" t="s">
        <v>8</v>
      </c>
      <c r="O447" s="85" t="s">
        <v>8</v>
      </c>
      <c r="P447" s="81"/>
      <c r="Q447" s="81" t="s">
        <v>2614</v>
      </c>
      <c r="R447" s="82">
        <v>45694</v>
      </c>
      <c r="S447" s="82" t="s">
        <v>9</v>
      </c>
      <c r="T447" s="138" t="str">
        <f ca="1">IF(AND('Inserimento dati'!$B$3=$H$2, Tabella3[[#This Row],[LUN]]="X"), "X",IF(AND('Inserimento dati'!$B$3=$I$2, Tabella3[[#This Row],[MAR]]="X"), "X", IF(AND('Inserimento dati'!$B$3=$J$2, Tabella3[[#This Row],[MER]]="X"), "X",IF(AND('Inserimento dati'!$B$3=$K$2, Tabella3[[#This Row],[GIO]]="X"), "X", IF(AND('Inserimento dati'!$B$3=$L$2, Tabella3[[#This Row],[VEN]]="X"), "X","")))))</f>
        <v/>
      </c>
      <c r="U447" s="154" t="str">
        <f t="shared" ca="1" si="14"/>
        <v/>
      </c>
    </row>
    <row r="448" spans="1:21" ht="30" x14ac:dyDescent="0.25">
      <c r="A448" s="84"/>
      <c r="B448" s="84">
        <v>4</v>
      </c>
      <c r="C448" s="84" t="str">
        <f>IF(OR(Tabella3[[#This Row],[LUN]]="X",Tabella3[[#This Row],[MAR]]="X",Tabella3[[#This Row],[MER]]="X",Tabella3[[#This Row],[GIO]]="X",Tabella3[[#This Row],[VEN]]="X",),"X","")</f>
        <v/>
      </c>
      <c r="D448" s="85" t="s">
        <v>10</v>
      </c>
      <c r="E448" s="81" t="s">
        <v>2615</v>
      </c>
      <c r="F448" s="81" t="s">
        <v>200</v>
      </c>
      <c r="G448" s="81" t="s">
        <v>2616</v>
      </c>
      <c r="H448" s="83"/>
      <c r="I448" s="83"/>
      <c r="J448" s="83"/>
      <c r="K448" s="83"/>
      <c r="L448" s="83"/>
      <c r="M448" s="81" t="s">
        <v>51</v>
      </c>
      <c r="N448" s="85"/>
      <c r="O448" s="85" t="s">
        <v>8</v>
      </c>
      <c r="P448" s="81"/>
      <c r="Q448" s="81" t="s">
        <v>2617</v>
      </c>
      <c r="R448" s="82">
        <v>45694</v>
      </c>
      <c r="S448" s="82" t="s">
        <v>9</v>
      </c>
      <c r="T448" s="84" t="str">
        <f ca="1">IF(AND('Inserimento dati'!$B$3=$H$2, Tabella3[[#This Row],[LUN]]="X"), "X",IF(AND('Inserimento dati'!$B$3=$I$2, Tabella3[[#This Row],[MAR]]="X"), "X", IF(AND('Inserimento dati'!$B$3=$J$2, Tabella3[[#This Row],[MER]]="X"), "X",IF(AND('Inserimento dati'!$B$3=$K$2, Tabella3[[#This Row],[GIO]]="X"), "X", IF(AND('Inserimento dati'!$B$3=$L$2, Tabella3[[#This Row],[VEN]]="X"), "X","")))))</f>
        <v/>
      </c>
      <c r="U448" s="154" t="str">
        <f t="shared" ca="1" si="14"/>
        <v/>
      </c>
    </row>
    <row r="449" spans="1:21" ht="30" x14ac:dyDescent="0.25">
      <c r="A449" s="84"/>
      <c r="B449" s="84">
        <v>4</v>
      </c>
      <c r="C449" s="84" t="str">
        <f>IF(OR(Tabella3[[#This Row],[LUN]]="X",Tabella3[[#This Row],[MAR]]="X",Tabella3[[#This Row],[MER]]="X",Tabella3[[#This Row],[GIO]]="X",Tabella3[[#This Row],[VEN]]="X",),"X","")</f>
        <v/>
      </c>
      <c r="D449" s="85" t="s">
        <v>10</v>
      </c>
      <c r="E449" s="81" t="s">
        <v>2618</v>
      </c>
      <c r="F449" s="81" t="s">
        <v>200</v>
      </c>
      <c r="G449" s="81" t="s">
        <v>2619</v>
      </c>
      <c r="H449" s="83"/>
      <c r="I449" s="83"/>
      <c r="J449" s="83"/>
      <c r="K449" s="83"/>
      <c r="L449" s="83"/>
      <c r="M449" s="81" t="s">
        <v>51</v>
      </c>
      <c r="N449" s="85" t="s">
        <v>8</v>
      </c>
      <c r="O449" s="85" t="s">
        <v>8</v>
      </c>
      <c r="P449" s="81"/>
      <c r="Q449" s="81" t="s">
        <v>2620</v>
      </c>
      <c r="R449" s="82">
        <v>45694</v>
      </c>
      <c r="S449" s="82" t="s">
        <v>9</v>
      </c>
      <c r="T449" s="84" t="str">
        <f ca="1">IF(AND('Inserimento dati'!$B$3=$H$2, Tabella3[[#This Row],[LUN]]="X"), "X",IF(AND('Inserimento dati'!$B$3=$I$2, Tabella3[[#This Row],[MAR]]="X"), "X", IF(AND('Inserimento dati'!$B$3=$J$2, Tabella3[[#This Row],[MER]]="X"), "X",IF(AND('Inserimento dati'!$B$3=$K$2, Tabella3[[#This Row],[GIO]]="X"), "X", IF(AND('Inserimento dati'!$B$3=$L$2, Tabella3[[#This Row],[VEN]]="X"), "X","")))))</f>
        <v/>
      </c>
      <c r="U449" s="154" t="str">
        <f t="shared" ca="1" si="14"/>
        <v/>
      </c>
    </row>
    <row r="450" spans="1:21" ht="30" x14ac:dyDescent="0.25">
      <c r="A450" s="84"/>
      <c r="B450" s="84">
        <v>4</v>
      </c>
      <c r="C450" s="84" t="str">
        <f>IF(OR(Tabella3[[#This Row],[LUN]]="X",Tabella3[[#This Row],[MAR]]="X",Tabella3[[#This Row],[MER]]="X",Tabella3[[#This Row],[GIO]]="X",Tabella3[[#This Row],[VEN]]="X",),"X","")</f>
        <v/>
      </c>
      <c r="D450" s="85" t="s">
        <v>10</v>
      </c>
      <c r="E450" s="81" t="s">
        <v>2621</v>
      </c>
      <c r="F450" s="81" t="s">
        <v>203</v>
      </c>
      <c r="G450" s="81" t="s">
        <v>2622</v>
      </c>
      <c r="H450" s="83"/>
      <c r="I450" s="83"/>
      <c r="J450" s="83"/>
      <c r="K450" s="83"/>
      <c r="L450" s="83"/>
      <c r="M450" s="81" t="s">
        <v>51</v>
      </c>
      <c r="N450" s="85"/>
      <c r="O450" s="85"/>
      <c r="P450" s="81" t="s">
        <v>8</v>
      </c>
      <c r="Q450" s="81" t="s">
        <v>2623</v>
      </c>
      <c r="R450" s="82">
        <v>45694</v>
      </c>
      <c r="S450" s="82" t="s">
        <v>9</v>
      </c>
      <c r="T450" s="84" t="str">
        <f ca="1">IF(AND('Inserimento dati'!$B$3=$H$2, Tabella3[[#This Row],[LUN]]="X"), "X",IF(AND('Inserimento dati'!$B$3=$I$2, Tabella3[[#This Row],[MAR]]="X"), "X", IF(AND('Inserimento dati'!$B$3=$J$2, Tabella3[[#This Row],[MER]]="X"), "X",IF(AND('Inserimento dati'!$B$3=$K$2, Tabella3[[#This Row],[GIO]]="X"), "X", IF(AND('Inserimento dati'!$B$3=$L$2, Tabella3[[#This Row],[VEN]]="X"), "X","")))))</f>
        <v/>
      </c>
      <c r="U450" s="154" t="str">
        <f t="shared" ca="1" si="14"/>
        <v/>
      </c>
    </row>
    <row r="451" spans="1:21" ht="45" x14ac:dyDescent="0.25">
      <c r="A451" s="84"/>
      <c r="B451" s="84">
        <v>4</v>
      </c>
      <c r="C451" s="84" t="str">
        <f>IF(OR(Tabella3[[#This Row],[LUN]]="X",Tabella3[[#This Row],[MAR]]="X",Tabella3[[#This Row],[MER]]="X",Tabella3[[#This Row],[GIO]]="X",Tabella3[[#This Row],[VEN]]="X",),"X","")</f>
        <v/>
      </c>
      <c r="D451" s="85" t="s">
        <v>10</v>
      </c>
      <c r="E451" s="81" t="s">
        <v>2624</v>
      </c>
      <c r="F451" s="81" t="s">
        <v>200</v>
      </c>
      <c r="G451" s="81" t="s">
        <v>2625</v>
      </c>
      <c r="H451" s="83"/>
      <c r="I451" s="83"/>
      <c r="J451" s="83"/>
      <c r="K451" s="83"/>
      <c r="L451" s="83"/>
      <c r="M451" s="81" t="s">
        <v>51</v>
      </c>
      <c r="N451" s="85" t="s">
        <v>8</v>
      </c>
      <c r="O451" s="85"/>
      <c r="P451" s="81"/>
      <c r="Q451" s="81" t="s">
        <v>2626</v>
      </c>
      <c r="R451" s="82">
        <v>45673</v>
      </c>
      <c r="S451" s="82" t="s">
        <v>1750</v>
      </c>
      <c r="T451" s="84" t="str">
        <f ca="1">IF(AND('Inserimento dati'!$B$3=$H$2, Tabella3[[#This Row],[LUN]]="X"), "X",IF(AND('Inserimento dati'!$B$3=$I$2, Tabella3[[#This Row],[MAR]]="X"), "X", IF(AND('Inserimento dati'!$B$3=$J$2, Tabella3[[#This Row],[MER]]="X"), "X",IF(AND('Inserimento dati'!$B$3=$K$2, Tabella3[[#This Row],[GIO]]="X"), "X", IF(AND('Inserimento dati'!$B$3=$L$2, Tabella3[[#This Row],[VEN]]="X"), "X","")))))</f>
        <v/>
      </c>
      <c r="U451" s="154" t="str">
        <f t="shared" ca="1" si="14"/>
        <v/>
      </c>
    </row>
    <row r="452" spans="1:21" ht="45" x14ac:dyDescent="0.25">
      <c r="A452" s="84"/>
      <c r="B452" s="84">
        <v>4</v>
      </c>
      <c r="C452" s="84" t="str">
        <f>IF(OR(Tabella3[[#This Row],[LUN]]="X",Tabella3[[#This Row],[MAR]]="X",Tabella3[[#This Row],[MER]]="X",Tabella3[[#This Row],[GIO]]="X",Tabella3[[#This Row],[VEN]]="X",),"X","")</f>
        <v/>
      </c>
      <c r="D452" s="85" t="s">
        <v>10</v>
      </c>
      <c r="E452" s="81" t="s">
        <v>2627</v>
      </c>
      <c r="F452" s="81" t="s">
        <v>201</v>
      </c>
      <c r="G452" s="81" t="s">
        <v>2628</v>
      </c>
      <c r="H452" s="83"/>
      <c r="I452" s="83"/>
      <c r="J452" s="83"/>
      <c r="K452" s="83"/>
      <c r="L452" s="83"/>
      <c r="M452" s="81" t="s">
        <v>51</v>
      </c>
      <c r="N452" s="85"/>
      <c r="O452" s="85"/>
      <c r="P452" s="81" t="s">
        <v>8</v>
      </c>
      <c r="Q452" s="81" t="s">
        <v>2629</v>
      </c>
      <c r="R452" s="82">
        <v>45621</v>
      </c>
      <c r="S452" s="82" t="s">
        <v>546</v>
      </c>
      <c r="T452" s="138" t="str">
        <f ca="1">IF(AND('Inserimento dati'!$B$3=$H$2, Tabella3[[#This Row],[LUN]]="X"), "X",IF(AND('Inserimento dati'!$B$3=$I$2, Tabella3[[#This Row],[MAR]]="X"), "X", IF(AND('Inserimento dati'!$B$3=$J$2, Tabella3[[#This Row],[MER]]="X"), "X",IF(AND('Inserimento dati'!$B$3=$K$2, Tabella3[[#This Row],[GIO]]="X"), "X", IF(AND('Inserimento dati'!$B$3=$L$2, Tabella3[[#This Row],[VEN]]="X"), "X","")))))</f>
        <v/>
      </c>
      <c r="U452" s="154" t="str">
        <f t="shared" ref="U452:U487" ca="1" si="15">IFERROR(MID(G452,_xlfn.AGGREGATE(15,6,(ROW(INDIRECT("1:"&amp;LEN(G452)-7)))/(ISNUMBER(--MID(G452,ROW(INDIRECT("1:"&amp;LEN(G452)-7)),8))),1),8),"")</f>
        <v/>
      </c>
    </row>
    <row r="453" spans="1:21" ht="30" x14ac:dyDescent="0.25">
      <c r="A453" s="84"/>
      <c r="B453" s="84">
        <v>4</v>
      </c>
      <c r="C453" s="84" t="str">
        <f>IF(OR(Tabella3[[#This Row],[LUN]]="X",Tabella3[[#This Row],[MAR]]="X",Tabella3[[#This Row],[MER]]="X",Tabella3[[#This Row],[GIO]]="X",Tabella3[[#This Row],[VEN]]="X",),"X","")</f>
        <v/>
      </c>
      <c r="D453" s="85" t="s">
        <v>10</v>
      </c>
      <c r="E453" s="81" t="s">
        <v>2630</v>
      </c>
      <c r="F453" s="81">
        <v>1100</v>
      </c>
      <c r="G453" s="81" t="s">
        <v>2631</v>
      </c>
      <c r="H453" s="83"/>
      <c r="I453" s="83"/>
      <c r="J453" s="83"/>
      <c r="K453" s="83"/>
      <c r="L453" s="83"/>
      <c r="M453" s="81" t="s">
        <v>51</v>
      </c>
      <c r="N453" s="85"/>
      <c r="O453" s="85" t="s">
        <v>8</v>
      </c>
      <c r="P453" s="81" t="s">
        <v>8</v>
      </c>
      <c r="Q453" s="81" t="s">
        <v>2632</v>
      </c>
      <c r="R453" s="82">
        <v>45693</v>
      </c>
      <c r="S453" s="82" t="s">
        <v>9</v>
      </c>
      <c r="T453" s="84" t="str">
        <f ca="1">IF(AND('Inserimento dati'!$B$3=$H$2, Tabella3[[#This Row],[LUN]]="X"), "X",IF(AND('Inserimento dati'!$B$3=$I$2, Tabella3[[#This Row],[MAR]]="X"), "X", IF(AND('Inserimento dati'!$B$3=$J$2, Tabella3[[#This Row],[MER]]="X"), "X",IF(AND('Inserimento dati'!$B$3=$K$2, Tabella3[[#This Row],[GIO]]="X"), "X", IF(AND('Inserimento dati'!$B$3=$L$2, Tabella3[[#This Row],[VEN]]="X"), "X","")))))</f>
        <v/>
      </c>
      <c r="U453" s="154" t="str">
        <f t="shared" ca="1" si="15"/>
        <v/>
      </c>
    </row>
    <row r="454" spans="1:21" ht="30" x14ac:dyDescent="0.25">
      <c r="A454" s="84"/>
      <c r="B454" s="84">
        <v>4</v>
      </c>
      <c r="C454" s="84" t="str">
        <f>IF(OR(Tabella3[[#This Row],[LUN]]="X",Tabella3[[#This Row],[MAR]]="X",Tabella3[[#This Row],[MER]]="X",Tabella3[[#This Row],[GIO]]="X",Tabella3[[#This Row],[VEN]]="X",),"X","")</f>
        <v/>
      </c>
      <c r="D454" s="85" t="s">
        <v>10</v>
      </c>
      <c r="E454" s="81" t="s">
        <v>2633</v>
      </c>
      <c r="F454" s="81">
        <v>1100</v>
      </c>
      <c r="G454" s="81" t="s">
        <v>2634</v>
      </c>
      <c r="H454" s="83"/>
      <c r="I454" s="83"/>
      <c r="J454" s="83"/>
      <c r="K454" s="83"/>
      <c r="L454" s="83"/>
      <c r="M454" s="81" t="s">
        <v>51</v>
      </c>
      <c r="N454" s="85"/>
      <c r="O454" s="85" t="s">
        <v>8</v>
      </c>
      <c r="P454" s="81" t="s">
        <v>8</v>
      </c>
      <c r="Q454" s="81" t="s">
        <v>2632</v>
      </c>
      <c r="R454" s="82">
        <v>45693</v>
      </c>
      <c r="S454" s="82" t="s">
        <v>9</v>
      </c>
      <c r="T454" s="84" t="str">
        <f ca="1">IF(AND('Inserimento dati'!$B$3=$H$2, Tabella3[[#This Row],[LUN]]="X"), "X",IF(AND('Inserimento dati'!$B$3=$I$2, Tabella3[[#This Row],[MAR]]="X"), "X", IF(AND('Inserimento dati'!$B$3=$J$2, Tabella3[[#This Row],[MER]]="X"), "X",IF(AND('Inserimento dati'!$B$3=$K$2, Tabella3[[#This Row],[GIO]]="X"), "X", IF(AND('Inserimento dati'!$B$3=$L$2, Tabella3[[#This Row],[VEN]]="X"), "X","")))))</f>
        <v/>
      </c>
      <c r="U454" s="154" t="str">
        <f t="shared" ca="1" si="15"/>
        <v/>
      </c>
    </row>
    <row r="455" spans="1:21" ht="45" x14ac:dyDescent="0.25">
      <c r="A455" s="84"/>
      <c r="B455" s="84">
        <v>4</v>
      </c>
      <c r="C455" s="84" t="str">
        <f>IF(OR(Tabella3[[#This Row],[LUN]]="X",Tabella3[[#This Row],[MAR]]="X",Tabella3[[#This Row],[MER]]="X",Tabella3[[#This Row],[GIO]]="X",Tabella3[[#This Row],[VEN]]="X",),"X","")</f>
        <v/>
      </c>
      <c r="D455" s="85" t="s">
        <v>10</v>
      </c>
      <c r="E455" s="81" t="s">
        <v>2635</v>
      </c>
      <c r="F455" s="81">
        <v>1400</v>
      </c>
      <c r="G455" s="81" t="s">
        <v>2636</v>
      </c>
      <c r="H455" s="83"/>
      <c r="I455" s="83"/>
      <c r="J455" s="83"/>
      <c r="K455" s="83"/>
      <c r="L455" s="83"/>
      <c r="M455" s="81" t="s">
        <v>51</v>
      </c>
      <c r="N455" s="85"/>
      <c r="O455" s="85"/>
      <c r="P455" s="81" t="s">
        <v>8</v>
      </c>
      <c r="Q455" s="81" t="s">
        <v>2637</v>
      </c>
      <c r="R455" s="82">
        <v>45688</v>
      </c>
      <c r="S455" s="81" t="s">
        <v>9</v>
      </c>
      <c r="T455" s="84" t="str">
        <f ca="1">IF(AND('Inserimento dati'!$B$3=$H$2, Tabella3[[#This Row],[LUN]]="X"), "X",IF(AND('Inserimento dati'!$B$3=$I$2, Tabella3[[#This Row],[MAR]]="X"), "X", IF(AND('Inserimento dati'!$B$3=$J$2, Tabella3[[#This Row],[MER]]="X"), "X",IF(AND('Inserimento dati'!$B$3=$K$2, Tabella3[[#This Row],[GIO]]="X"), "X", IF(AND('Inserimento dati'!$B$3=$L$2, Tabella3[[#This Row],[VEN]]="X"), "X","")))))</f>
        <v/>
      </c>
      <c r="U455" s="154" t="str">
        <f t="shared" ca="1" si="15"/>
        <v/>
      </c>
    </row>
    <row r="456" spans="1:21" ht="30" x14ac:dyDescent="0.25">
      <c r="A456" s="84"/>
      <c r="B456" s="84">
        <v>4</v>
      </c>
      <c r="C456" s="84" t="str">
        <f>IF(OR(Tabella3[[#This Row],[LUN]]="X",Tabella3[[#This Row],[MAR]]="X",Tabella3[[#This Row],[MER]]="X",Tabella3[[#This Row],[GIO]]="X",Tabella3[[#This Row],[VEN]]="X",),"X","")</f>
        <v/>
      </c>
      <c r="D456" s="85" t="s">
        <v>10</v>
      </c>
      <c r="E456" s="81" t="s">
        <v>2638</v>
      </c>
      <c r="F456" s="81">
        <v>1800</v>
      </c>
      <c r="G456" s="81" t="s">
        <v>2639</v>
      </c>
      <c r="H456" s="83"/>
      <c r="I456" s="83"/>
      <c r="J456" s="83"/>
      <c r="K456" s="83"/>
      <c r="L456" s="83"/>
      <c r="M456" s="81" t="s">
        <v>51</v>
      </c>
      <c r="N456" s="85"/>
      <c r="O456" s="85" t="s">
        <v>8</v>
      </c>
      <c r="P456" s="81"/>
      <c r="Q456" s="81" t="s">
        <v>2640</v>
      </c>
      <c r="R456" s="82">
        <v>45687</v>
      </c>
      <c r="S456" s="81" t="s">
        <v>20</v>
      </c>
      <c r="T456" s="138" t="str">
        <f ca="1">IF(AND('Inserimento dati'!$B$3=$H$2, Tabella3[[#This Row],[LUN]]="X"), "X",IF(AND('Inserimento dati'!$B$3=$I$2, Tabella3[[#This Row],[MAR]]="X"), "X", IF(AND('Inserimento dati'!$B$3=$J$2, Tabella3[[#This Row],[MER]]="X"), "X",IF(AND('Inserimento dati'!$B$3=$K$2, Tabella3[[#This Row],[GIO]]="X"), "X", IF(AND('Inserimento dati'!$B$3=$L$2, Tabella3[[#This Row],[VEN]]="X"), "X","")))))</f>
        <v/>
      </c>
      <c r="U456" s="154" t="str">
        <f t="shared" ca="1" si="15"/>
        <v/>
      </c>
    </row>
    <row r="457" spans="1:21" ht="30" x14ac:dyDescent="0.25">
      <c r="A457" s="84"/>
      <c r="B457" s="84">
        <v>4</v>
      </c>
      <c r="C457" s="84" t="str">
        <f>IF(OR(Tabella3[[#This Row],[LUN]]="X",Tabella3[[#This Row],[MAR]]="X",Tabella3[[#This Row],[MER]]="X",Tabella3[[#This Row],[GIO]]="X",Tabella3[[#This Row],[VEN]]="X",),"X","")</f>
        <v/>
      </c>
      <c r="D457" s="85" t="s">
        <v>10</v>
      </c>
      <c r="E457" s="81" t="s">
        <v>2641</v>
      </c>
      <c r="F457" s="81">
        <v>1800</v>
      </c>
      <c r="G457" s="81" t="s">
        <v>2642</v>
      </c>
      <c r="H457" s="83"/>
      <c r="I457" s="83"/>
      <c r="J457" s="83"/>
      <c r="K457" s="83"/>
      <c r="L457" s="83"/>
      <c r="M457" s="81" t="s">
        <v>51</v>
      </c>
      <c r="N457" s="85"/>
      <c r="O457" s="85" t="s">
        <v>8</v>
      </c>
      <c r="P457" s="81"/>
      <c r="Q457" s="81" t="s">
        <v>2640</v>
      </c>
      <c r="R457" s="82">
        <v>45687</v>
      </c>
      <c r="S457" s="81" t="s">
        <v>20</v>
      </c>
      <c r="T457" s="138" t="str">
        <f ca="1">IF(AND('Inserimento dati'!$B$3=$H$2, Tabella3[[#This Row],[LUN]]="X"), "X",IF(AND('Inserimento dati'!$B$3=$I$2, Tabella3[[#This Row],[MAR]]="X"), "X", IF(AND('Inserimento dati'!$B$3=$J$2, Tabella3[[#This Row],[MER]]="X"), "X",IF(AND('Inserimento dati'!$B$3=$K$2, Tabella3[[#This Row],[GIO]]="X"), "X", IF(AND('Inserimento dati'!$B$3=$L$2, Tabella3[[#This Row],[VEN]]="X"), "X","")))))</f>
        <v/>
      </c>
      <c r="U457" s="155" t="str">
        <f t="shared" ca="1" si="15"/>
        <v/>
      </c>
    </row>
    <row r="458" spans="1:21" ht="30" x14ac:dyDescent="0.25">
      <c r="A458" s="84"/>
      <c r="B458" s="84">
        <v>4</v>
      </c>
      <c r="C458" s="84" t="str">
        <f>IF(OR(Tabella3[[#This Row],[LUN]]="X",Tabella3[[#This Row],[MAR]]="X",Tabella3[[#This Row],[MER]]="X",Tabella3[[#This Row],[GIO]]="X",Tabella3[[#This Row],[VEN]]="X",),"X","")</f>
        <v/>
      </c>
      <c r="D458" s="85" t="s">
        <v>10</v>
      </c>
      <c r="E458" s="81" t="s">
        <v>2643</v>
      </c>
      <c r="F458" s="81">
        <v>1800</v>
      </c>
      <c r="G458" s="81" t="s">
        <v>2644</v>
      </c>
      <c r="H458" s="83"/>
      <c r="I458" s="83"/>
      <c r="J458" s="83"/>
      <c r="K458" s="83"/>
      <c r="L458" s="83"/>
      <c r="M458" s="81" t="s">
        <v>51</v>
      </c>
      <c r="N458" s="85"/>
      <c r="O458" s="85" t="s">
        <v>8</v>
      </c>
      <c r="P458" s="81"/>
      <c r="Q458" s="81" t="s">
        <v>2640</v>
      </c>
      <c r="R458" s="82">
        <v>45687</v>
      </c>
      <c r="S458" s="81" t="s">
        <v>20</v>
      </c>
      <c r="T458" s="138" t="str">
        <f ca="1">IF(AND('Inserimento dati'!$B$3=$H$2, Tabella3[[#This Row],[LUN]]="X"), "X",IF(AND('Inserimento dati'!$B$3=$I$2, Tabella3[[#This Row],[MAR]]="X"), "X", IF(AND('Inserimento dati'!$B$3=$J$2, Tabella3[[#This Row],[MER]]="X"), "X",IF(AND('Inserimento dati'!$B$3=$K$2, Tabella3[[#This Row],[GIO]]="X"), "X", IF(AND('Inserimento dati'!$B$3=$L$2, Tabella3[[#This Row],[VEN]]="X"), "X","")))))</f>
        <v/>
      </c>
      <c r="U458" s="155" t="str">
        <f t="shared" ca="1" si="15"/>
        <v/>
      </c>
    </row>
    <row r="459" spans="1:21" ht="45" x14ac:dyDescent="0.25">
      <c r="A459" s="84"/>
      <c r="B459" s="84">
        <v>4</v>
      </c>
      <c r="C459" s="84" t="str">
        <f>IF(OR(Tabella3[[#This Row],[LUN]]="X",Tabella3[[#This Row],[MAR]]="X",Tabella3[[#This Row],[MER]]="X",Tabella3[[#This Row],[GIO]]="X",Tabella3[[#This Row],[VEN]]="X",),"X","")</f>
        <v/>
      </c>
      <c r="D459" s="85" t="s">
        <v>10</v>
      </c>
      <c r="E459" s="81" t="s">
        <v>2645</v>
      </c>
      <c r="F459" s="81">
        <v>1400</v>
      </c>
      <c r="G459" s="81" t="s">
        <v>2646</v>
      </c>
      <c r="H459" s="83"/>
      <c r="I459" s="83"/>
      <c r="J459" s="83"/>
      <c r="K459" s="83"/>
      <c r="L459" s="83"/>
      <c r="M459" s="81" t="s">
        <v>51</v>
      </c>
      <c r="N459" s="85"/>
      <c r="O459" s="85"/>
      <c r="P459" s="81" t="s">
        <v>8</v>
      </c>
      <c r="Q459" s="81" t="s">
        <v>2647</v>
      </c>
      <c r="R459" s="82">
        <v>45686</v>
      </c>
      <c r="S459" s="82" t="s">
        <v>238</v>
      </c>
      <c r="T459" s="84" t="str">
        <f ca="1">IF(AND('Inserimento dati'!$B$3=$H$2, Tabella3[[#This Row],[LUN]]="X"), "X",IF(AND('Inserimento dati'!$B$3=$I$2, Tabella3[[#This Row],[MAR]]="X"), "X", IF(AND('Inserimento dati'!$B$3=$J$2, Tabella3[[#This Row],[MER]]="X"), "X",IF(AND('Inserimento dati'!$B$3=$K$2, Tabella3[[#This Row],[GIO]]="X"), "X", IF(AND('Inserimento dati'!$B$3=$L$2, Tabella3[[#This Row],[VEN]]="X"), "X","")))))</f>
        <v/>
      </c>
      <c r="U459" s="155" t="str">
        <f t="shared" ca="1" si="15"/>
        <v/>
      </c>
    </row>
    <row r="460" spans="1:21" ht="45" x14ac:dyDescent="0.25">
      <c r="A460" s="84"/>
      <c r="B460" s="84">
        <v>4</v>
      </c>
      <c r="C460" s="84" t="str">
        <f>IF(OR(Tabella3[[#This Row],[LUN]]="X",Tabella3[[#This Row],[MAR]]="X",Tabella3[[#This Row],[MER]]="X",Tabella3[[#This Row],[GIO]]="X",Tabella3[[#This Row],[VEN]]="X",),"X","")</f>
        <v/>
      </c>
      <c r="D460" s="85" t="s">
        <v>10</v>
      </c>
      <c r="E460" s="81" t="s">
        <v>2648</v>
      </c>
      <c r="F460" s="81" t="s">
        <v>160</v>
      </c>
      <c r="G460" s="81" t="s">
        <v>2649</v>
      </c>
      <c r="H460" s="83"/>
      <c r="I460" s="83"/>
      <c r="J460" s="83"/>
      <c r="K460" s="83"/>
      <c r="L460" s="83"/>
      <c r="M460" s="81" t="s">
        <v>51</v>
      </c>
      <c r="N460" s="85" t="s">
        <v>8</v>
      </c>
      <c r="O460" s="85"/>
      <c r="P460" s="81"/>
      <c r="Q460" s="81" t="s">
        <v>2650</v>
      </c>
      <c r="R460" s="82">
        <v>45674</v>
      </c>
      <c r="S460" s="82" t="s">
        <v>20</v>
      </c>
      <c r="T460" s="84" t="str">
        <f ca="1">IF(AND('Inserimento dati'!$B$3=$H$2, Tabella3[[#This Row],[LUN]]="X"), "X",IF(AND('Inserimento dati'!$B$3=$I$2, Tabella3[[#This Row],[MAR]]="X"), "X", IF(AND('Inserimento dati'!$B$3=$J$2, Tabella3[[#This Row],[MER]]="X"), "X",IF(AND('Inserimento dati'!$B$3=$K$2, Tabella3[[#This Row],[GIO]]="X"), "X", IF(AND('Inserimento dati'!$B$3=$L$2, Tabella3[[#This Row],[VEN]]="X"), "X","")))))</f>
        <v/>
      </c>
      <c r="U460" s="155" t="str">
        <f t="shared" ca="1" si="15"/>
        <v/>
      </c>
    </row>
    <row r="461" spans="1:21" ht="60" x14ac:dyDescent="0.25">
      <c r="A461" s="84"/>
      <c r="B461" s="84">
        <v>4</v>
      </c>
      <c r="C461" s="84" t="str">
        <f>IF(OR(Tabella3[[#This Row],[LUN]]="X",Tabella3[[#This Row],[MAR]]="X",Tabella3[[#This Row],[MER]]="X",Tabella3[[#This Row],[GIO]]="X",Tabella3[[#This Row],[VEN]]="X",),"X","")</f>
        <v/>
      </c>
      <c r="D461" s="85" t="s">
        <v>10</v>
      </c>
      <c r="E461" s="81" t="s">
        <v>2651</v>
      </c>
      <c r="F461" s="81" t="s">
        <v>2652</v>
      </c>
      <c r="G461" s="81" t="s">
        <v>2653</v>
      </c>
      <c r="H461" s="83"/>
      <c r="I461" s="83"/>
      <c r="J461" s="83"/>
      <c r="K461" s="83"/>
      <c r="L461" s="83"/>
      <c r="M461" s="81" t="s">
        <v>51</v>
      </c>
      <c r="N461" s="85" t="s">
        <v>8</v>
      </c>
      <c r="O461" s="85"/>
      <c r="P461" s="81"/>
      <c r="Q461" s="81" t="s">
        <v>2654</v>
      </c>
      <c r="R461" s="82">
        <v>45679</v>
      </c>
      <c r="S461" s="82" t="s">
        <v>20</v>
      </c>
      <c r="T461" s="84" t="str">
        <f ca="1">IF(AND('Inserimento dati'!$B$3=$H$2, Tabella3[[#This Row],[LUN]]="X"), "X",IF(AND('Inserimento dati'!$B$3=$I$2, Tabella3[[#This Row],[MAR]]="X"), "X", IF(AND('Inserimento dati'!$B$3=$J$2, Tabella3[[#This Row],[MER]]="X"), "X",IF(AND('Inserimento dati'!$B$3=$K$2, Tabella3[[#This Row],[GIO]]="X"), "X", IF(AND('Inserimento dati'!$B$3=$L$2, Tabella3[[#This Row],[VEN]]="X"), "X","")))))</f>
        <v/>
      </c>
      <c r="U461" s="155" t="str">
        <f t="shared" ca="1" si="15"/>
        <v xml:space="preserve"> 1021448</v>
      </c>
    </row>
    <row r="462" spans="1:21" ht="90" x14ac:dyDescent="0.25">
      <c r="A462" s="84"/>
      <c r="B462" s="84">
        <v>4</v>
      </c>
      <c r="C462" s="84" t="str">
        <f>IF(OR(Tabella3[[#This Row],[LUN]]="X",Tabella3[[#This Row],[MAR]]="X",Tabella3[[#This Row],[MER]]="X",Tabella3[[#This Row],[GIO]]="X",Tabella3[[#This Row],[VEN]]="X",),"X","")</f>
        <v/>
      </c>
      <c r="D462" s="85" t="s">
        <v>10</v>
      </c>
      <c r="E462" s="81" t="s">
        <v>2655</v>
      </c>
      <c r="F462" s="81">
        <v>800</v>
      </c>
      <c r="G462" s="81" t="s">
        <v>2656</v>
      </c>
      <c r="H462" s="83"/>
      <c r="I462" s="83"/>
      <c r="J462" s="83"/>
      <c r="K462" s="83"/>
      <c r="L462" s="83"/>
      <c r="M462" s="81" t="s">
        <v>51</v>
      </c>
      <c r="N462" s="85"/>
      <c r="O462" s="85" t="s">
        <v>8</v>
      </c>
      <c r="P462" s="81"/>
      <c r="Q462" s="81" t="s">
        <v>2657</v>
      </c>
      <c r="R462" s="82">
        <v>45679</v>
      </c>
      <c r="S462" s="81" t="s">
        <v>20</v>
      </c>
      <c r="T462" s="84" t="str">
        <f ca="1">IF(AND('Inserimento dati'!$B$3=$H$2, Tabella3[[#This Row],[LUN]]="X"), "X",IF(AND('Inserimento dati'!$B$3=$I$2, Tabella3[[#This Row],[MAR]]="X"), "X", IF(AND('Inserimento dati'!$B$3=$J$2, Tabella3[[#This Row],[MER]]="X"), "X",IF(AND('Inserimento dati'!$B$3=$K$2, Tabella3[[#This Row],[GIO]]="X"), "X", IF(AND('Inserimento dati'!$B$3=$L$2, Tabella3[[#This Row],[VEN]]="X"), "X","")))))</f>
        <v/>
      </c>
      <c r="U462" s="155" t="str">
        <f t="shared" ca="1" si="15"/>
        <v/>
      </c>
    </row>
    <row r="463" spans="1:21" ht="30" x14ac:dyDescent="0.25">
      <c r="A463" s="84"/>
      <c r="B463" s="84">
        <v>4</v>
      </c>
      <c r="C463" s="84" t="str">
        <f>IF(OR(Tabella3[[#This Row],[LUN]]="X",Tabella3[[#This Row],[MAR]]="X",Tabella3[[#This Row],[MER]]="X",Tabella3[[#This Row],[GIO]]="X",Tabella3[[#This Row],[VEN]]="X",),"X","")</f>
        <v/>
      </c>
      <c r="D463" s="85" t="s">
        <v>10</v>
      </c>
      <c r="E463" s="81" t="s">
        <v>2658</v>
      </c>
      <c r="F463" s="81">
        <v>2400</v>
      </c>
      <c r="G463" s="81" t="s">
        <v>2659</v>
      </c>
      <c r="H463" s="83"/>
      <c r="I463" s="83"/>
      <c r="J463" s="83"/>
      <c r="K463" s="83"/>
      <c r="L463" s="83"/>
      <c r="M463" s="81" t="s">
        <v>51</v>
      </c>
      <c r="N463" s="85" t="s">
        <v>8</v>
      </c>
      <c r="O463" s="85"/>
      <c r="P463" s="81"/>
      <c r="Q463" s="81" t="s">
        <v>2660</v>
      </c>
      <c r="R463" s="82"/>
      <c r="S463" s="82"/>
      <c r="T463" s="84" t="str">
        <f ca="1">IF(AND('Inserimento dati'!$B$3=$H$2, Tabella3[[#This Row],[LUN]]="X"), "X",IF(AND('Inserimento dati'!$B$3=$I$2, Tabella3[[#This Row],[MAR]]="X"), "X", IF(AND('Inserimento dati'!$B$3=$J$2, Tabella3[[#This Row],[MER]]="X"), "X",IF(AND('Inserimento dati'!$B$3=$K$2, Tabella3[[#This Row],[GIO]]="X"), "X", IF(AND('Inserimento dati'!$B$3=$L$2, Tabella3[[#This Row],[VEN]]="X"), "X","")))))</f>
        <v/>
      </c>
      <c r="U463" s="155" t="str">
        <f t="shared" ca="1" si="15"/>
        <v>10212837</v>
      </c>
    </row>
    <row r="464" spans="1:21" ht="45" x14ac:dyDescent="0.25">
      <c r="A464" s="84"/>
      <c r="B464" s="84">
        <v>4</v>
      </c>
      <c r="C464" s="84" t="str">
        <f>IF(OR(Tabella3[[#This Row],[LUN]]="X",Tabella3[[#This Row],[MAR]]="X",Tabella3[[#This Row],[MER]]="X",Tabella3[[#This Row],[GIO]]="X",Tabella3[[#This Row],[VEN]]="X",),"X","")</f>
        <v/>
      </c>
      <c r="D464" s="85" t="s">
        <v>10</v>
      </c>
      <c r="E464" s="81" t="s">
        <v>2661</v>
      </c>
      <c r="F464" s="81" t="s">
        <v>203</v>
      </c>
      <c r="G464" s="81" t="s">
        <v>2662</v>
      </c>
      <c r="H464" s="83"/>
      <c r="I464" s="83"/>
      <c r="J464" s="83"/>
      <c r="K464" s="83"/>
      <c r="L464" s="83"/>
      <c r="M464" s="81" t="s">
        <v>51</v>
      </c>
      <c r="N464" s="85"/>
      <c r="O464" s="85" t="s">
        <v>8</v>
      </c>
      <c r="P464" s="81" t="s">
        <v>8</v>
      </c>
      <c r="Q464" s="81" t="s">
        <v>2663</v>
      </c>
      <c r="R464" s="82">
        <v>45645</v>
      </c>
      <c r="S464" s="82" t="s">
        <v>20</v>
      </c>
      <c r="T464" s="138" t="str">
        <f ca="1">IF(AND('Inserimento dati'!$B$3=$H$2, Tabella3[[#This Row],[LUN]]="X"), "X",IF(AND('Inserimento dati'!$B$3=$I$2, Tabella3[[#This Row],[MAR]]="X"), "X", IF(AND('Inserimento dati'!$B$3=$J$2, Tabella3[[#This Row],[MER]]="X"), "X",IF(AND('Inserimento dati'!$B$3=$K$2, Tabella3[[#This Row],[GIO]]="X"), "X", IF(AND('Inserimento dati'!$B$3=$L$2, Tabella3[[#This Row],[VEN]]="X"), "X","")))))</f>
        <v/>
      </c>
      <c r="U464" s="155" t="str">
        <f t="shared" ca="1" si="15"/>
        <v/>
      </c>
    </row>
    <row r="465" spans="1:21" ht="23.25" x14ac:dyDescent="0.25">
      <c r="A465" s="84"/>
      <c r="B465" s="84">
        <v>4</v>
      </c>
      <c r="C465" s="84" t="str">
        <f>IF(OR(Tabella3[[#This Row],[LUN]]="X",Tabella3[[#This Row],[MAR]]="X",Tabella3[[#This Row],[MER]]="X",Tabella3[[#This Row],[GIO]]="X",Tabella3[[#This Row],[VEN]]="X",),"X","")</f>
        <v/>
      </c>
      <c r="D465" s="85" t="s">
        <v>10</v>
      </c>
      <c r="E465" s="81" t="s">
        <v>2664</v>
      </c>
      <c r="F465" s="81" t="s">
        <v>199</v>
      </c>
      <c r="G465" s="81" t="s">
        <v>2665</v>
      </c>
      <c r="H465" s="83"/>
      <c r="I465" s="83"/>
      <c r="J465" s="83"/>
      <c r="K465" s="83"/>
      <c r="L465" s="83"/>
      <c r="M465" s="81" t="s">
        <v>51</v>
      </c>
      <c r="N465" s="85" t="s">
        <v>8</v>
      </c>
      <c r="O465" s="85"/>
      <c r="P465" s="81"/>
      <c r="Q465" s="81" t="s">
        <v>2666</v>
      </c>
      <c r="R465" s="82">
        <v>45642</v>
      </c>
      <c r="S465" s="82" t="s">
        <v>1838</v>
      </c>
      <c r="T465" s="138" t="str">
        <f ca="1">IF(AND('Inserimento dati'!$B$3=$H$2, Tabella3[[#This Row],[LUN]]="X"), "X",IF(AND('Inserimento dati'!$B$3=$I$2, Tabella3[[#This Row],[MAR]]="X"), "X", IF(AND('Inserimento dati'!$B$3=$J$2, Tabella3[[#This Row],[MER]]="X"), "X",IF(AND('Inserimento dati'!$B$3=$K$2, Tabella3[[#This Row],[GIO]]="X"), "X", IF(AND('Inserimento dati'!$B$3=$L$2, Tabella3[[#This Row],[VEN]]="X"), "X","")))))</f>
        <v/>
      </c>
      <c r="U465" s="155" t="str">
        <f t="shared" ca="1" si="15"/>
        <v/>
      </c>
    </row>
    <row r="466" spans="1:21" ht="45" x14ac:dyDescent="0.25">
      <c r="A466" s="84"/>
      <c r="B466" s="84">
        <v>4</v>
      </c>
      <c r="C466" s="84" t="str">
        <f>IF(OR(Tabella3[[#This Row],[LUN]]="X",Tabella3[[#This Row],[MAR]]="X",Tabella3[[#This Row],[MER]]="X",Tabella3[[#This Row],[GIO]]="X",Tabella3[[#This Row],[VEN]]="X",),"X","")</f>
        <v/>
      </c>
      <c r="D466" s="85" t="s">
        <v>10</v>
      </c>
      <c r="E466" s="81" t="s">
        <v>2667</v>
      </c>
      <c r="F466" s="81" t="s">
        <v>200</v>
      </c>
      <c r="G466" s="81" t="s">
        <v>2668</v>
      </c>
      <c r="H466" s="83"/>
      <c r="I466" s="83"/>
      <c r="J466" s="83"/>
      <c r="K466" s="83"/>
      <c r="L466" s="83"/>
      <c r="M466" s="81" t="s">
        <v>51</v>
      </c>
      <c r="N466" s="85" t="s">
        <v>8</v>
      </c>
      <c r="O466" s="85"/>
      <c r="P466" s="81"/>
      <c r="Q466" s="81" t="s">
        <v>2669</v>
      </c>
      <c r="R466" s="82">
        <v>45629</v>
      </c>
      <c r="S466" s="82" t="s">
        <v>1750</v>
      </c>
      <c r="T466" s="138" t="str">
        <f ca="1">IF(AND('Inserimento dati'!$B$3=$H$2, Tabella3[[#This Row],[LUN]]="X"), "X",IF(AND('Inserimento dati'!$B$3=$I$2, Tabella3[[#This Row],[MAR]]="X"), "X", IF(AND('Inserimento dati'!$B$3=$J$2, Tabella3[[#This Row],[MER]]="X"), "X",IF(AND('Inserimento dati'!$B$3=$K$2, Tabella3[[#This Row],[GIO]]="X"), "X", IF(AND('Inserimento dati'!$B$3=$L$2, Tabella3[[#This Row],[VEN]]="X"), "X","")))))</f>
        <v/>
      </c>
      <c r="U466" s="155" t="str">
        <f t="shared" ca="1" si="15"/>
        <v/>
      </c>
    </row>
    <row r="467" spans="1:21" ht="45" x14ac:dyDescent="0.25">
      <c r="A467" s="84"/>
      <c r="B467" s="84">
        <v>4</v>
      </c>
      <c r="C467" s="84" t="str">
        <f>IF(OR(Tabella3[[#This Row],[LUN]]="X",Tabella3[[#This Row],[MAR]]="X",Tabella3[[#This Row],[MER]]="X",Tabella3[[#This Row],[GIO]]="X",Tabella3[[#This Row],[VEN]]="X",),"X","")</f>
        <v/>
      </c>
      <c r="D467" s="85" t="s">
        <v>10</v>
      </c>
      <c r="E467" s="81" t="s">
        <v>2670</v>
      </c>
      <c r="F467" s="81" t="s">
        <v>200</v>
      </c>
      <c r="G467" s="81" t="s">
        <v>2671</v>
      </c>
      <c r="H467" s="83"/>
      <c r="I467" s="83"/>
      <c r="J467" s="83"/>
      <c r="K467" s="83"/>
      <c r="L467" s="83"/>
      <c r="M467" s="81" t="s">
        <v>51</v>
      </c>
      <c r="N467" s="85" t="s">
        <v>8</v>
      </c>
      <c r="O467" s="85"/>
      <c r="P467" s="81"/>
      <c r="Q467" s="81" t="s">
        <v>2669</v>
      </c>
      <c r="R467" s="82">
        <v>45636</v>
      </c>
      <c r="S467" s="82" t="s">
        <v>1750</v>
      </c>
      <c r="T467" s="138" t="str">
        <f ca="1">IF(AND('Inserimento dati'!$B$3=$H$2, Tabella3[[#This Row],[LUN]]="X"), "X",IF(AND('Inserimento dati'!$B$3=$I$2, Tabella3[[#This Row],[MAR]]="X"), "X", IF(AND('Inserimento dati'!$B$3=$J$2, Tabella3[[#This Row],[MER]]="X"), "X",IF(AND('Inserimento dati'!$B$3=$K$2, Tabella3[[#This Row],[GIO]]="X"), "X", IF(AND('Inserimento dati'!$B$3=$L$2, Tabella3[[#This Row],[VEN]]="X"), "X","")))))</f>
        <v/>
      </c>
      <c r="U467" s="155" t="str">
        <f t="shared" ca="1" si="15"/>
        <v/>
      </c>
    </row>
    <row r="468" spans="1:21" ht="45" x14ac:dyDescent="0.25">
      <c r="A468" s="84"/>
      <c r="B468" s="84">
        <v>4</v>
      </c>
      <c r="C468" s="84" t="str">
        <f>IF(OR(Tabella3[[#This Row],[LUN]]="X",Tabella3[[#This Row],[MAR]]="X",Tabella3[[#This Row],[MER]]="X",Tabella3[[#This Row],[GIO]]="X",Tabella3[[#This Row],[VEN]]="X",),"X","")</f>
        <v/>
      </c>
      <c r="D468" s="85" t="s">
        <v>10</v>
      </c>
      <c r="E468" s="81" t="s">
        <v>2672</v>
      </c>
      <c r="F468" s="81" t="s">
        <v>200</v>
      </c>
      <c r="G468" s="81" t="s">
        <v>2673</v>
      </c>
      <c r="H468" s="83"/>
      <c r="I468" s="83"/>
      <c r="J468" s="83"/>
      <c r="K468" s="83"/>
      <c r="L468" s="83"/>
      <c r="M468" s="81" t="s">
        <v>51</v>
      </c>
      <c r="N468" s="85" t="s">
        <v>8</v>
      </c>
      <c r="O468" s="85"/>
      <c r="P468" s="81"/>
      <c r="Q468" s="81" t="s">
        <v>2669</v>
      </c>
      <c r="R468" s="82">
        <v>45629</v>
      </c>
      <c r="S468" s="82" t="s">
        <v>1750</v>
      </c>
      <c r="T468" s="138" t="str">
        <f ca="1">IF(AND('Inserimento dati'!$B$3=$H$2, Tabella3[[#This Row],[LUN]]="X"), "X",IF(AND('Inserimento dati'!$B$3=$I$2, Tabella3[[#This Row],[MAR]]="X"), "X", IF(AND('Inserimento dati'!$B$3=$J$2, Tabella3[[#This Row],[MER]]="X"), "X",IF(AND('Inserimento dati'!$B$3=$K$2, Tabella3[[#This Row],[GIO]]="X"), "X", IF(AND('Inserimento dati'!$B$3=$L$2, Tabella3[[#This Row],[VEN]]="X"), "X","")))))</f>
        <v/>
      </c>
      <c r="U468" s="155" t="str">
        <f t="shared" ca="1" si="15"/>
        <v/>
      </c>
    </row>
    <row r="469" spans="1:21" ht="45" x14ac:dyDescent="0.25">
      <c r="A469" s="84"/>
      <c r="B469" s="84">
        <v>4</v>
      </c>
      <c r="C469" s="84" t="str">
        <f>IF(OR(Tabella3[[#This Row],[LUN]]="X",Tabella3[[#This Row],[MAR]]="X",Tabella3[[#This Row],[MER]]="X",Tabella3[[#This Row],[GIO]]="X",Tabella3[[#This Row],[VEN]]="X",),"X","")</f>
        <v/>
      </c>
      <c r="D469" s="85" t="s">
        <v>10</v>
      </c>
      <c r="E469" s="81" t="s">
        <v>2674</v>
      </c>
      <c r="F469" s="81" t="s">
        <v>200</v>
      </c>
      <c r="G469" s="81" t="s">
        <v>2675</v>
      </c>
      <c r="H469" s="83"/>
      <c r="I469" s="83"/>
      <c r="J469" s="83"/>
      <c r="K469" s="83"/>
      <c r="L469" s="83"/>
      <c r="M469" s="81" t="s">
        <v>51</v>
      </c>
      <c r="N469" s="85" t="s">
        <v>8</v>
      </c>
      <c r="O469" s="85"/>
      <c r="P469" s="81"/>
      <c r="Q469" s="81" t="s">
        <v>2669</v>
      </c>
      <c r="R469" s="82">
        <v>45636</v>
      </c>
      <c r="S469" s="82" t="s">
        <v>1750</v>
      </c>
      <c r="T469" s="138" t="str">
        <f ca="1">IF(AND('Inserimento dati'!$B$3=$H$2, Tabella3[[#This Row],[LUN]]="X"), "X",IF(AND('Inserimento dati'!$B$3=$I$2, Tabella3[[#This Row],[MAR]]="X"), "X", IF(AND('Inserimento dati'!$B$3=$J$2, Tabella3[[#This Row],[MER]]="X"), "X",IF(AND('Inserimento dati'!$B$3=$K$2, Tabella3[[#This Row],[GIO]]="X"), "X", IF(AND('Inserimento dati'!$B$3=$L$2, Tabella3[[#This Row],[VEN]]="X"), "X","")))))</f>
        <v/>
      </c>
      <c r="U469" s="155" t="str">
        <f t="shared" ca="1" si="15"/>
        <v/>
      </c>
    </row>
    <row r="470" spans="1:21" ht="23.25" x14ac:dyDescent="0.25">
      <c r="A470" s="84"/>
      <c r="B470" s="84">
        <v>4</v>
      </c>
      <c r="C470" s="84" t="str">
        <f>IF(OR(Tabella3[[#This Row],[LUN]]="X",Tabella3[[#This Row],[MAR]]="X",Tabella3[[#This Row],[MER]]="X",Tabella3[[#This Row],[GIO]]="X",Tabella3[[#This Row],[VEN]]="X",),"X","")</f>
        <v/>
      </c>
      <c r="D470" s="85" t="s">
        <v>10</v>
      </c>
      <c r="E470" s="81" t="s">
        <v>2676</v>
      </c>
      <c r="F470" s="81">
        <v>700</v>
      </c>
      <c r="G470" s="81" t="s">
        <v>2677</v>
      </c>
      <c r="H470" s="83"/>
      <c r="I470" s="83"/>
      <c r="J470" s="83"/>
      <c r="K470" s="83"/>
      <c r="L470" s="83"/>
      <c r="M470" s="81" t="s">
        <v>51</v>
      </c>
      <c r="N470" s="85"/>
      <c r="O470" s="85" t="s">
        <v>8</v>
      </c>
      <c r="P470" s="81"/>
      <c r="Q470" s="81" t="s">
        <v>2678</v>
      </c>
      <c r="R470" s="82">
        <v>45579</v>
      </c>
      <c r="S470" s="82"/>
      <c r="T470" s="138" t="str">
        <f ca="1">IF(AND('Inserimento dati'!$B$3=$H$2, Tabella3[[#This Row],[LUN]]="X"), "X",IF(AND('Inserimento dati'!$B$3=$I$2, Tabella3[[#This Row],[MAR]]="X"), "X", IF(AND('Inserimento dati'!$B$3=$J$2, Tabella3[[#This Row],[MER]]="X"), "X",IF(AND('Inserimento dati'!$B$3=$K$2, Tabella3[[#This Row],[GIO]]="X"), "X", IF(AND('Inserimento dati'!$B$3=$L$2, Tabella3[[#This Row],[VEN]]="X"), "X","")))))</f>
        <v/>
      </c>
      <c r="U470" s="155" t="str">
        <f t="shared" ca="1" si="15"/>
        <v/>
      </c>
    </row>
    <row r="471" spans="1:21" ht="60" x14ac:dyDescent="0.25">
      <c r="A471" s="84"/>
      <c r="B471" s="84">
        <v>4</v>
      </c>
      <c r="C471" s="84" t="str">
        <f>IF(OR(Tabella3[[#This Row],[LUN]]="X",Tabella3[[#This Row],[MAR]]="X",Tabella3[[#This Row],[MER]]="X",Tabella3[[#This Row],[GIO]]="X",Tabella3[[#This Row],[VEN]]="X",),"X","")</f>
        <v/>
      </c>
      <c r="D471" s="85" t="s">
        <v>10</v>
      </c>
      <c r="E471" s="81" t="s">
        <v>2679</v>
      </c>
      <c r="F471" s="81">
        <v>700</v>
      </c>
      <c r="G471" s="81" t="s">
        <v>2680</v>
      </c>
      <c r="H471" s="83"/>
      <c r="I471" s="83"/>
      <c r="J471" s="83"/>
      <c r="K471" s="83"/>
      <c r="L471" s="83"/>
      <c r="M471" s="81" t="s">
        <v>51</v>
      </c>
      <c r="N471" s="85" t="s">
        <v>8</v>
      </c>
      <c r="O471" s="85"/>
      <c r="P471" s="81"/>
      <c r="Q471" s="81" t="s">
        <v>2681</v>
      </c>
      <c r="R471" s="82">
        <v>45582</v>
      </c>
      <c r="S471" s="82" t="s">
        <v>813</v>
      </c>
      <c r="T471" s="138" t="str">
        <f ca="1">IF(AND('Inserimento dati'!$B$3=$H$2, Tabella3[[#This Row],[LUN]]="X"), "X",IF(AND('Inserimento dati'!$B$3=$I$2, Tabella3[[#This Row],[MAR]]="X"), "X", IF(AND('Inserimento dati'!$B$3=$J$2, Tabella3[[#This Row],[MER]]="X"), "X",IF(AND('Inserimento dati'!$B$3=$K$2, Tabella3[[#This Row],[GIO]]="X"), "X", IF(AND('Inserimento dati'!$B$3=$L$2, Tabella3[[#This Row],[VEN]]="X"), "X","")))))</f>
        <v/>
      </c>
      <c r="U471" s="155" t="str">
        <f t="shared" ca="1" si="15"/>
        <v/>
      </c>
    </row>
    <row r="472" spans="1:21" ht="23.25" x14ac:dyDescent="0.25">
      <c r="A472" s="84"/>
      <c r="B472" s="84">
        <v>4</v>
      </c>
      <c r="C472" s="84" t="str">
        <f>IF(OR(Tabella3[[#This Row],[LUN]]="X",Tabella3[[#This Row],[MAR]]="X",Tabella3[[#This Row],[MER]]="X",Tabella3[[#This Row],[GIO]]="X",Tabella3[[#This Row],[VEN]]="X",),"X","")</f>
        <v/>
      </c>
      <c r="D472" s="85" t="s">
        <v>10</v>
      </c>
      <c r="E472" s="81" t="s">
        <v>2682</v>
      </c>
      <c r="F472" s="81">
        <v>1800</v>
      </c>
      <c r="G472" s="81" t="s">
        <v>2683</v>
      </c>
      <c r="H472" s="83"/>
      <c r="I472" s="83"/>
      <c r="J472" s="83"/>
      <c r="K472" s="83"/>
      <c r="L472" s="83"/>
      <c r="M472" s="81" t="s">
        <v>51</v>
      </c>
      <c r="N472" s="85"/>
      <c r="O472" s="85" t="s">
        <v>8</v>
      </c>
      <c r="P472" s="81"/>
      <c r="Q472" s="81" t="s">
        <v>2684</v>
      </c>
      <c r="R472" s="82">
        <v>45580</v>
      </c>
      <c r="S472" s="82"/>
      <c r="T472" s="138" t="str">
        <f ca="1">IF(AND('Inserimento dati'!$B$3=$H$2, Tabella3[[#This Row],[LUN]]="X"), "X",IF(AND('Inserimento dati'!$B$3=$I$2, Tabella3[[#This Row],[MAR]]="X"), "X", IF(AND('Inserimento dati'!$B$3=$J$2, Tabella3[[#This Row],[MER]]="X"), "X",IF(AND('Inserimento dati'!$B$3=$K$2, Tabella3[[#This Row],[GIO]]="X"), "X", IF(AND('Inserimento dati'!$B$3=$L$2, Tabella3[[#This Row],[VEN]]="X"), "X","")))))</f>
        <v/>
      </c>
      <c r="U472" s="155" t="str">
        <f t="shared" ca="1" si="15"/>
        <v/>
      </c>
    </row>
    <row r="473" spans="1:21" ht="23.25" x14ac:dyDescent="0.25">
      <c r="A473" s="84"/>
      <c r="B473" s="84">
        <v>4</v>
      </c>
      <c r="C473" s="84" t="str">
        <f>IF(OR(Tabella3[[#This Row],[LUN]]="X",Tabella3[[#This Row],[MAR]]="X",Tabella3[[#This Row],[MER]]="X",Tabella3[[#This Row],[GIO]]="X",Tabella3[[#This Row],[VEN]]="X",),"X","")</f>
        <v/>
      </c>
      <c r="D473" s="85" t="s">
        <v>10</v>
      </c>
      <c r="E473" s="81" t="s">
        <v>2685</v>
      </c>
      <c r="F473" s="81" t="s">
        <v>201</v>
      </c>
      <c r="G473" s="81" t="s">
        <v>2686</v>
      </c>
      <c r="H473" s="83"/>
      <c r="I473" s="83"/>
      <c r="J473" s="83"/>
      <c r="K473" s="83"/>
      <c r="L473" s="83"/>
      <c r="M473" s="81" t="s">
        <v>51</v>
      </c>
      <c r="N473" s="85"/>
      <c r="O473" s="85" t="s">
        <v>8</v>
      </c>
      <c r="P473" s="81"/>
      <c r="Q473" s="81" t="s">
        <v>2687</v>
      </c>
      <c r="R473" s="82">
        <v>45616</v>
      </c>
      <c r="S473" s="82"/>
      <c r="T473" s="138" t="str">
        <f ca="1">IF(AND('Inserimento dati'!$B$3=$H$2, Tabella3[[#This Row],[LUN]]="X"), "X",IF(AND('Inserimento dati'!$B$3=$I$2, Tabella3[[#This Row],[MAR]]="X"), "X", IF(AND('Inserimento dati'!$B$3=$J$2, Tabella3[[#This Row],[MER]]="X"), "X",IF(AND('Inserimento dati'!$B$3=$K$2, Tabella3[[#This Row],[GIO]]="X"), "X", IF(AND('Inserimento dati'!$B$3=$L$2, Tabella3[[#This Row],[VEN]]="X"), "X","")))))</f>
        <v/>
      </c>
      <c r="U473" s="155" t="str">
        <f t="shared" ca="1" si="15"/>
        <v xml:space="preserve"> 1021159</v>
      </c>
    </row>
    <row r="474" spans="1:21" ht="30" x14ac:dyDescent="0.25">
      <c r="A474" s="84"/>
      <c r="B474" s="84">
        <v>4</v>
      </c>
      <c r="C474" s="84" t="str">
        <f>IF(OR(Tabella3[[#This Row],[LUN]]="X",Tabella3[[#This Row],[MAR]]="X",Tabella3[[#This Row],[MER]]="X",Tabella3[[#This Row],[GIO]]="X",Tabella3[[#This Row],[VEN]]="X",),"X","")</f>
        <v/>
      </c>
      <c r="D474" s="85" t="s">
        <v>10</v>
      </c>
      <c r="E474" s="81" t="s">
        <v>2688</v>
      </c>
      <c r="F474" s="81" t="s">
        <v>203</v>
      </c>
      <c r="G474" s="81" t="s">
        <v>2689</v>
      </c>
      <c r="H474" s="83"/>
      <c r="I474" s="83"/>
      <c r="J474" s="83"/>
      <c r="K474" s="83"/>
      <c r="L474" s="83"/>
      <c r="M474" s="81" t="s">
        <v>51</v>
      </c>
      <c r="N474" s="85"/>
      <c r="O474" s="85"/>
      <c r="P474" s="81" t="s">
        <v>8</v>
      </c>
      <c r="Q474" s="81" t="s">
        <v>2690</v>
      </c>
      <c r="R474" s="82">
        <v>45615</v>
      </c>
      <c r="S474" s="82" t="s">
        <v>9</v>
      </c>
      <c r="T474" s="138" t="str">
        <f ca="1">IF(AND('Inserimento dati'!$B$3=$H$2, Tabella3[[#This Row],[LUN]]="X"), "X",IF(AND('Inserimento dati'!$B$3=$I$2, Tabella3[[#This Row],[MAR]]="X"), "X", IF(AND('Inserimento dati'!$B$3=$J$2, Tabella3[[#This Row],[MER]]="X"), "X",IF(AND('Inserimento dati'!$B$3=$K$2, Tabella3[[#This Row],[GIO]]="X"), "X", IF(AND('Inserimento dati'!$B$3=$L$2, Tabella3[[#This Row],[VEN]]="X"), "X","")))))</f>
        <v/>
      </c>
      <c r="U474" s="155" t="str">
        <f t="shared" ca="1" si="15"/>
        <v/>
      </c>
    </row>
    <row r="475" spans="1:21" ht="30" x14ac:dyDescent="0.25">
      <c r="A475" s="84"/>
      <c r="B475" s="84">
        <v>4</v>
      </c>
      <c r="C475" s="84" t="str">
        <f>IF(OR(Tabella3[[#This Row],[LUN]]="X",Tabella3[[#This Row],[MAR]]="X",Tabella3[[#This Row],[MER]]="X",Tabella3[[#This Row],[GIO]]="X",Tabella3[[#This Row],[VEN]]="X",),"X","")</f>
        <v/>
      </c>
      <c r="D475" s="85" t="s">
        <v>10</v>
      </c>
      <c r="E475" s="81" t="s">
        <v>2691</v>
      </c>
      <c r="F475" s="81" t="s">
        <v>198</v>
      </c>
      <c r="G475" s="81" t="s">
        <v>2692</v>
      </c>
      <c r="H475" s="83"/>
      <c r="I475" s="83"/>
      <c r="J475" s="83"/>
      <c r="K475" s="83"/>
      <c r="L475" s="83"/>
      <c r="M475" s="81" t="s">
        <v>51</v>
      </c>
      <c r="N475" s="85" t="s">
        <v>8</v>
      </c>
      <c r="O475" s="85"/>
      <c r="P475" s="81"/>
      <c r="Q475" s="81" t="s">
        <v>2693</v>
      </c>
      <c r="R475" s="82">
        <v>45595</v>
      </c>
      <c r="S475" s="82" t="s">
        <v>9</v>
      </c>
      <c r="T475" s="138" t="str">
        <f ca="1">IF(AND('Inserimento dati'!$B$3=$H$2, Tabella3[[#This Row],[LUN]]="X"), "X",IF(AND('Inserimento dati'!$B$3=$I$2, Tabella3[[#This Row],[MAR]]="X"), "X", IF(AND('Inserimento dati'!$B$3=$J$2, Tabella3[[#This Row],[MER]]="X"), "X",IF(AND('Inserimento dati'!$B$3=$K$2, Tabella3[[#This Row],[GIO]]="X"), "X", IF(AND('Inserimento dati'!$B$3=$L$2, Tabella3[[#This Row],[VEN]]="X"), "X","")))))</f>
        <v/>
      </c>
      <c r="U475" s="155" t="str">
        <f t="shared" ca="1" si="15"/>
        <v>1: 1200/</v>
      </c>
    </row>
    <row r="476" spans="1:21" ht="45" x14ac:dyDescent="0.25">
      <c r="A476" s="84"/>
      <c r="B476" s="84">
        <v>4</v>
      </c>
      <c r="C476" s="84" t="str">
        <f>IF(OR(Tabella3[[#This Row],[LUN]]="X",Tabella3[[#This Row],[MAR]]="X",Tabella3[[#This Row],[MER]]="X",Tabella3[[#This Row],[GIO]]="X",Tabella3[[#This Row],[VEN]]="X",),"X","")</f>
        <v/>
      </c>
      <c r="D476" s="85" t="s">
        <v>10</v>
      </c>
      <c r="E476" s="81" t="s">
        <v>2694</v>
      </c>
      <c r="F476" s="81" t="s">
        <v>201</v>
      </c>
      <c r="G476" s="81" t="s">
        <v>2695</v>
      </c>
      <c r="H476" s="83"/>
      <c r="I476" s="83"/>
      <c r="J476" s="83"/>
      <c r="K476" s="83"/>
      <c r="L476" s="83"/>
      <c r="M476" s="81" t="s">
        <v>51</v>
      </c>
      <c r="N476" s="85" t="s">
        <v>8</v>
      </c>
      <c r="O476" s="85"/>
      <c r="P476" s="81"/>
      <c r="Q476" s="81" t="s">
        <v>2696</v>
      </c>
      <c r="R476" s="82">
        <v>45664</v>
      </c>
      <c r="S476" s="82" t="s">
        <v>623</v>
      </c>
      <c r="T476" s="84" t="str">
        <f ca="1">IF(AND('Inserimento dati'!$B$3=$H$2, Tabella3[[#This Row],[LUN]]="X"), "X",IF(AND('Inserimento dati'!$B$3=$I$2, Tabella3[[#This Row],[MAR]]="X"), "X", IF(AND('Inserimento dati'!$B$3=$J$2, Tabella3[[#This Row],[MER]]="X"), "X",IF(AND('Inserimento dati'!$B$3=$K$2, Tabella3[[#This Row],[GIO]]="X"), "X", IF(AND('Inserimento dati'!$B$3=$L$2, Tabella3[[#This Row],[VEN]]="X"), "X","")))))</f>
        <v/>
      </c>
      <c r="U476" s="155" t="str">
        <f t="shared" ca="1" si="15"/>
        <v xml:space="preserve"> 1021378</v>
      </c>
    </row>
    <row r="477" spans="1:21" ht="30" x14ac:dyDescent="0.25">
      <c r="A477" s="84"/>
      <c r="B477" s="84"/>
      <c r="C477" s="84" t="str">
        <f>IF(OR(Tabella3[[#This Row],[LUN]]="X",Tabella3[[#This Row],[MAR]]="X",Tabella3[[#This Row],[MER]]="X",Tabella3[[#This Row],[GIO]]="X",Tabella3[[#This Row],[VEN]]="X",),"X","")</f>
        <v/>
      </c>
      <c r="D477" s="85" t="s">
        <v>10</v>
      </c>
      <c r="E477" s="81" t="s">
        <v>2697</v>
      </c>
      <c r="F477" s="81">
        <v>800</v>
      </c>
      <c r="G477" s="81" t="s">
        <v>2698</v>
      </c>
      <c r="H477" s="83"/>
      <c r="I477" s="83"/>
      <c r="J477" s="83"/>
      <c r="K477" s="83"/>
      <c r="L477" s="83"/>
      <c r="M477" s="81" t="s">
        <v>51</v>
      </c>
      <c r="N477" s="85"/>
      <c r="O477" s="85"/>
      <c r="P477" s="81"/>
      <c r="Q477" s="81" t="s">
        <v>2372</v>
      </c>
      <c r="R477" s="82">
        <v>45848</v>
      </c>
      <c r="S477" s="81" t="s">
        <v>23</v>
      </c>
      <c r="T477" s="132" t="str">
        <f ca="1">IF(AND('Inserimento dati'!$B$3=$H$2, Tabella3[[#This Row],[LUN]]="X"), "X",IF(AND('Inserimento dati'!$B$3=$I$2, Tabella3[[#This Row],[MAR]]="X"), "X", IF(AND('Inserimento dati'!$B$3=$J$2, Tabella3[[#This Row],[MER]]="X"), "X",IF(AND('Inserimento dati'!$B$3=$K$2, Tabella3[[#This Row],[GIO]]="X"), "X", IF(AND('Inserimento dati'!$B$3=$L$2, Tabella3[[#This Row],[VEN]]="X"), "X","")))))</f>
        <v/>
      </c>
      <c r="U477" s="149" t="str">
        <f t="shared" ca="1" si="15"/>
        <v>10226577</v>
      </c>
    </row>
    <row r="478" spans="1:21" ht="45" x14ac:dyDescent="0.25">
      <c r="A478" s="84"/>
      <c r="B478" s="84">
        <v>3</v>
      </c>
      <c r="C478" s="84" t="str">
        <f>IF(OR(Tabella3[[#This Row],[LUN]]="X",Tabella3[[#This Row],[MAR]]="X",Tabella3[[#This Row],[MER]]="X",Tabella3[[#This Row],[GIO]]="X",Tabella3[[#This Row],[VEN]]="X",),"X","")</f>
        <v/>
      </c>
      <c r="D478" s="85" t="s">
        <v>10</v>
      </c>
      <c r="E478" s="81" t="s">
        <v>2699</v>
      </c>
      <c r="F478" s="81">
        <v>1400</v>
      </c>
      <c r="G478" s="81" t="s">
        <v>2700</v>
      </c>
      <c r="H478" s="83"/>
      <c r="I478" s="83"/>
      <c r="J478" s="83"/>
      <c r="K478" s="83"/>
      <c r="L478" s="83"/>
      <c r="M478" s="81" t="s">
        <v>51</v>
      </c>
      <c r="N478" s="85"/>
      <c r="O478" s="85" t="s">
        <v>8</v>
      </c>
      <c r="P478" s="85" t="s">
        <v>8</v>
      </c>
      <c r="Q478" s="81" t="s">
        <v>2568</v>
      </c>
      <c r="R478" s="82">
        <v>45824</v>
      </c>
      <c r="S478" s="81" t="s">
        <v>9</v>
      </c>
      <c r="T478" s="132" t="str">
        <f ca="1">IF(AND('Inserimento dati'!$B$3=$H$2, Tabella3[[#This Row],[LUN]]="X"), "X",IF(AND('Inserimento dati'!$B$3=$I$2, Tabella3[[#This Row],[MAR]]="X"), "X", IF(AND('Inserimento dati'!$B$3=$J$2, Tabella3[[#This Row],[MER]]="X"), "X",IF(AND('Inserimento dati'!$B$3=$K$2, Tabella3[[#This Row],[GIO]]="X"), "X", IF(AND('Inserimento dati'!$B$3=$L$2, Tabella3[[#This Row],[VEN]]="X"), "X","")))))</f>
        <v/>
      </c>
      <c r="U478" s="145" t="str">
        <f t="shared" ca="1" si="15"/>
        <v>10224411</v>
      </c>
    </row>
    <row r="479" spans="1:21" ht="23.25" x14ac:dyDescent="0.25">
      <c r="A479" s="84"/>
      <c r="B479" s="84"/>
      <c r="C479" s="84" t="str">
        <f>IF(OR(Tabella3[[#This Row],[LUN]]="X",Tabella3[[#This Row],[MAR]]="X",Tabella3[[#This Row],[MER]]="X",Tabella3[[#This Row],[GIO]]="X",Tabella3[[#This Row],[VEN]]="X",),"X","")</f>
        <v/>
      </c>
      <c r="D479" s="85" t="s">
        <v>10</v>
      </c>
      <c r="E479" s="81" t="s">
        <v>3543</v>
      </c>
      <c r="F479" s="81" t="s">
        <v>160</v>
      </c>
      <c r="G479" s="81" t="s">
        <v>3544</v>
      </c>
      <c r="H479" s="83"/>
      <c r="I479" s="83"/>
      <c r="J479" s="83"/>
      <c r="K479" s="83"/>
      <c r="L479" s="83"/>
      <c r="M479" s="81" t="s">
        <v>146</v>
      </c>
      <c r="N479" s="85"/>
      <c r="O479" s="85"/>
      <c r="P479" s="81"/>
      <c r="Q479" s="81"/>
      <c r="R479" s="82"/>
      <c r="S479" s="81"/>
      <c r="T479" s="132" t="str">
        <f ca="1">IF(AND('Inserimento dati'!$B$3=$H$2, Tabella3[[#This Row],[LUN]]="X"), "X",IF(AND('Inserimento dati'!$B$3=$I$2, Tabella3[[#This Row],[MAR]]="X"), "X", IF(AND('Inserimento dati'!$B$3=$J$2, Tabella3[[#This Row],[MER]]="X"), "X",IF(AND('Inserimento dati'!$B$3=$K$2, Tabella3[[#This Row],[GIO]]="X"), "X", IF(AND('Inserimento dati'!$B$3=$L$2, Tabella3[[#This Row],[VEN]]="X"), "X","")))))</f>
        <v/>
      </c>
      <c r="U479" s="177" t="str">
        <f t="shared" ca="1" si="15"/>
        <v>00000007</v>
      </c>
    </row>
    <row r="480" spans="1:21" ht="23.25" x14ac:dyDescent="0.25">
      <c r="A480" s="84"/>
      <c r="B480" s="84"/>
      <c r="C480" s="84" t="str">
        <f>IF(OR(Tabella3[[#This Row],[LUN]]="X",Tabella3[[#This Row],[MAR]]="X",Tabella3[[#This Row],[MER]]="X",Tabella3[[#This Row],[GIO]]="X",Tabella3[[#This Row],[VEN]]="X",),"X","")</f>
        <v/>
      </c>
      <c r="D480" s="85" t="s">
        <v>10</v>
      </c>
      <c r="E480" s="81" t="s">
        <v>3539</v>
      </c>
      <c r="F480" s="81">
        <v>700</v>
      </c>
      <c r="G480" s="81" t="s">
        <v>3542</v>
      </c>
      <c r="H480" s="83"/>
      <c r="I480" s="83"/>
      <c r="J480" s="83"/>
      <c r="K480" s="83"/>
      <c r="L480" s="83"/>
      <c r="M480" s="81" t="s">
        <v>146</v>
      </c>
      <c r="N480" s="85"/>
      <c r="O480" s="85"/>
      <c r="P480" s="81"/>
      <c r="Q480" s="81"/>
      <c r="R480" s="82"/>
      <c r="S480" s="81"/>
      <c r="T480" s="132" t="str">
        <f ca="1">IF(AND('Inserimento dati'!$B$3=$H$2, Tabella3[[#This Row],[LUN]]="X"), "X",IF(AND('Inserimento dati'!$B$3=$I$2, Tabella3[[#This Row],[MAR]]="X"), "X", IF(AND('Inserimento dati'!$B$3=$J$2, Tabella3[[#This Row],[MER]]="X"), "X",IF(AND('Inserimento dati'!$B$3=$K$2, Tabella3[[#This Row],[GIO]]="X"), "X", IF(AND('Inserimento dati'!$B$3=$L$2, Tabella3[[#This Row],[VEN]]="X"), "X","")))))</f>
        <v/>
      </c>
      <c r="U480" s="177" t="str">
        <f t="shared" ca="1" si="15"/>
        <v>00000006</v>
      </c>
    </row>
    <row r="481" spans="1:21" ht="23.25" x14ac:dyDescent="0.25">
      <c r="A481" s="84"/>
      <c r="B481" s="84"/>
      <c r="C481" s="84" t="str">
        <f>IF(OR(Tabella3[[#This Row],[LUN]]="X",Tabella3[[#This Row],[MAR]]="X",Tabella3[[#This Row],[MER]]="X",Tabella3[[#This Row],[GIO]]="X",Tabella3[[#This Row],[VEN]]="X",),"X","")</f>
        <v/>
      </c>
      <c r="D481" s="85" t="s">
        <v>10</v>
      </c>
      <c r="E481" s="81" t="s">
        <v>3538</v>
      </c>
      <c r="F481" s="81">
        <v>1800</v>
      </c>
      <c r="G481" s="81" t="s">
        <v>3537</v>
      </c>
      <c r="H481" s="83"/>
      <c r="I481" s="83"/>
      <c r="J481" s="83"/>
      <c r="K481" s="83"/>
      <c r="L481" s="83"/>
      <c r="M481" s="81" t="s">
        <v>146</v>
      </c>
      <c r="N481" s="85"/>
      <c r="O481" s="85"/>
      <c r="P481" s="81"/>
      <c r="Q481" s="81"/>
      <c r="R481" s="82"/>
      <c r="S481" s="81"/>
      <c r="T481" s="132" t="str">
        <f ca="1">IF(AND('Inserimento dati'!$B$3=$H$2, Tabella3[[#This Row],[LUN]]="X"), "X",IF(AND('Inserimento dati'!$B$3=$I$2, Tabella3[[#This Row],[MAR]]="X"), "X", IF(AND('Inserimento dati'!$B$3=$J$2, Tabella3[[#This Row],[MER]]="X"), "X",IF(AND('Inserimento dati'!$B$3=$K$2, Tabella3[[#This Row],[GIO]]="X"), "X", IF(AND('Inserimento dati'!$B$3=$L$2, Tabella3[[#This Row],[VEN]]="X"), "X","")))))</f>
        <v/>
      </c>
      <c r="U481" s="66" t="str">
        <f t="shared" ca="1" si="15"/>
        <v>10232689</v>
      </c>
    </row>
    <row r="482" spans="1:21" ht="23.25" x14ac:dyDescent="0.25">
      <c r="A482" s="84"/>
      <c r="B482" s="84"/>
      <c r="C482" s="84" t="str">
        <f>IF(OR(Tabella3[[#This Row],[LUN]]="X",Tabella3[[#This Row],[MAR]]="X",Tabella3[[#This Row],[MER]]="X",Tabella3[[#This Row],[GIO]]="X",Tabella3[[#This Row],[VEN]]="X",),"X","")</f>
        <v/>
      </c>
      <c r="D482" s="85" t="s">
        <v>10</v>
      </c>
      <c r="E482" s="81" t="s">
        <v>3551</v>
      </c>
      <c r="F482" s="81" t="s">
        <v>160</v>
      </c>
      <c r="G482" s="81" t="s">
        <v>2335</v>
      </c>
      <c r="H482" s="83"/>
      <c r="I482" s="83"/>
      <c r="J482" s="83"/>
      <c r="K482" s="83"/>
      <c r="L482" s="83"/>
      <c r="M482" s="81" t="s">
        <v>146</v>
      </c>
      <c r="N482" s="85"/>
      <c r="O482" s="85"/>
      <c r="P482" s="81"/>
      <c r="Q482" s="81"/>
      <c r="R482" s="82"/>
      <c r="S482" s="81"/>
      <c r="T482" s="132" t="str">
        <f ca="1">IF(AND('Inserimento dati'!$B$3=$H$2, Tabella3[[#This Row],[LUN]]="X"), "X",IF(AND('Inserimento dati'!$B$3=$I$2, Tabella3[[#This Row],[MAR]]="X"), "X", IF(AND('Inserimento dati'!$B$3=$J$2, Tabella3[[#This Row],[MER]]="X"), "X",IF(AND('Inserimento dati'!$B$3=$K$2, Tabella3[[#This Row],[GIO]]="X"), "X", IF(AND('Inserimento dati'!$B$3=$L$2, Tabella3[[#This Row],[VEN]]="X"), "X","")))))</f>
        <v/>
      </c>
      <c r="U482" s="66" t="str">
        <f t="shared" ca="1" si="15"/>
        <v>10228364</v>
      </c>
    </row>
    <row r="483" spans="1:21" ht="23.25" x14ac:dyDescent="0.25">
      <c r="A483" s="84"/>
      <c r="B483" s="84"/>
      <c r="C483" s="84" t="str">
        <f>IF(OR(Tabella3[[#This Row],[LUN]]="X",Tabella3[[#This Row],[MAR]]="X",Tabella3[[#This Row],[MER]]="X",Tabella3[[#This Row],[GIO]]="X",Tabella3[[#This Row],[VEN]]="X",),"X","")</f>
        <v/>
      </c>
      <c r="D483" s="85" t="s">
        <v>10</v>
      </c>
      <c r="E483" s="81" t="s">
        <v>3470</v>
      </c>
      <c r="F483" s="81">
        <v>700</v>
      </c>
      <c r="G483" s="81" t="s">
        <v>3471</v>
      </c>
      <c r="H483" s="83"/>
      <c r="I483" s="83"/>
      <c r="J483" s="83"/>
      <c r="K483" s="83"/>
      <c r="L483" s="83"/>
      <c r="M483" s="81" t="s">
        <v>146</v>
      </c>
      <c r="N483" s="85"/>
      <c r="O483" s="85"/>
      <c r="P483" s="81"/>
      <c r="Q483" s="81"/>
      <c r="R483" s="82"/>
      <c r="S483" s="81"/>
      <c r="T483" s="132" t="str">
        <f ca="1">IF(AND('Inserimento dati'!$B$3=$H$2, Tabella3[[#This Row],[LUN]]="X"), "X",IF(AND('Inserimento dati'!$B$3=$I$2, Tabella3[[#This Row],[MAR]]="X"), "X", IF(AND('Inserimento dati'!$B$3=$J$2, Tabella3[[#This Row],[MER]]="X"), "X",IF(AND('Inserimento dati'!$B$3=$K$2, Tabella3[[#This Row],[GIO]]="X"), "X", IF(AND('Inserimento dati'!$B$3=$L$2, Tabella3[[#This Row],[VEN]]="X"), "X","")))))</f>
        <v/>
      </c>
      <c r="U483" s="66" t="str">
        <f t="shared" ca="1" si="15"/>
        <v>10224484</v>
      </c>
    </row>
    <row r="484" spans="1:21" ht="23.25" x14ac:dyDescent="0.25">
      <c r="A484" s="84"/>
      <c r="B484" s="84"/>
      <c r="C484" s="84" t="str">
        <f>IF(OR(Tabella3[[#This Row],[LUN]]="X",Tabella3[[#This Row],[MAR]]="X",Tabella3[[#This Row],[MER]]="X",Tabella3[[#This Row],[GIO]]="X",Tabella3[[#This Row],[VEN]]="X",),"X","")</f>
        <v/>
      </c>
      <c r="D484" s="85" t="s">
        <v>10</v>
      </c>
      <c r="E484" s="81" t="s">
        <v>3472</v>
      </c>
      <c r="F484" s="81">
        <v>700</v>
      </c>
      <c r="G484" s="81" t="s">
        <v>3473</v>
      </c>
      <c r="H484" s="83"/>
      <c r="I484" s="83"/>
      <c r="J484" s="83"/>
      <c r="K484" s="83"/>
      <c r="L484" s="83"/>
      <c r="M484" s="81" t="s">
        <v>146</v>
      </c>
      <c r="N484" s="85"/>
      <c r="O484" s="85"/>
      <c r="P484" s="81"/>
      <c r="Q484" s="81"/>
      <c r="R484" s="82"/>
      <c r="S484" s="81"/>
      <c r="T484" s="132" t="str">
        <f ca="1">IF(AND('Inserimento dati'!$B$3=$H$2, Tabella3[[#This Row],[LUN]]="X"), "X",IF(AND('Inserimento dati'!$B$3=$I$2, Tabella3[[#This Row],[MAR]]="X"), "X", IF(AND('Inserimento dati'!$B$3=$J$2, Tabella3[[#This Row],[MER]]="X"), "X",IF(AND('Inserimento dati'!$B$3=$K$2, Tabella3[[#This Row],[GIO]]="X"), "X", IF(AND('Inserimento dati'!$B$3=$L$2, Tabella3[[#This Row],[VEN]]="X"), "X","")))))</f>
        <v/>
      </c>
      <c r="U484" s="66" t="str">
        <f t="shared" ca="1" si="15"/>
        <v>10226908</v>
      </c>
    </row>
    <row r="485" spans="1:21" ht="23.25" x14ac:dyDescent="0.25">
      <c r="A485" s="84"/>
      <c r="B485" s="84"/>
      <c r="C485" s="84" t="str">
        <f>IF(OR(Tabella3[[#This Row],[LUN]]="X",Tabella3[[#This Row],[MAR]]="X",Tabella3[[#This Row],[MER]]="X",Tabella3[[#This Row],[GIO]]="X",Tabella3[[#This Row],[VEN]]="X",),"X","")</f>
        <v/>
      </c>
      <c r="D485" s="85" t="s">
        <v>10</v>
      </c>
      <c r="E485" s="81" t="s">
        <v>3295</v>
      </c>
      <c r="F485" s="81">
        <v>700</v>
      </c>
      <c r="G485" s="81" t="s">
        <v>3296</v>
      </c>
      <c r="H485" s="83"/>
      <c r="I485" s="83"/>
      <c r="J485" s="83"/>
      <c r="K485" s="83"/>
      <c r="L485" s="83"/>
      <c r="M485" s="81" t="s">
        <v>146</v>
      </c>
      <c r="N485" s="85"/>
      <c r="O485" s="85"/>
      <c r="P485" s="81"/>
      <c r="Q485" s="81"/>
      <c r="R485" s="82"/>
      <c r="S485" s="81"/>
      <c r="T485" s="132" t="str">
        <f ca="1">IF(AND('Inserimento dati'!$B$3=$H$2, Tabella3[[#This Row],[LUN]]="X"), "X",IF(AND('Inserimento dati'!$B$3=$I$2, Tabella3[[#This Row],[MAR]]="X"), "X", IF(AND('Inserimento dati'!$B$3=$J$2, Tabella3[[#This Row],[MER]]="X"), "X",IF(AND('Inserimento dati'!$B$3=$K$2, Tabella3[[#This Row],[GIO]]="X"), "X", IF(AND('Inserimento dati'!$B$3=$L$2, Tabella3[[#This Row],[VEN]]="X"), "X","")))))</f>
        <v/>
      </c>
      <c r="U485" s="66" t="str">
        <f t="shared" ca="1" si="15"/>
        <v>10224478</v>
      </c>
    </row>
    <row r="486" spans="1:21" ht="30" x14ac:dyDescent="0.25">
      <c r="A486" s="84"/>
      <c r="B486" s="84"/>
      <c r="C486" s="84" t="str">
        <f>IF(OR(Tabella3[[#This Row],[LUN]]="X",Tabella3[[#This Row],[MAR]]="X",Tabella3[[#This Row],[MER]]="X",Tabella3[[#This Row],[GIO]]="X",Tabella3[[#This Row],[VEN]]="X",),"X","")</f>
        <v/>
      </c>
      <c r="D486" s="85" t="s">
        <v>10</v>
      </c>
      <c r="E486" s="81" t="s">
        <v>3552</v>
      </c>
      <c r="F486" s="81">
        <v>700</v>
      </c>
      <c r="G486" s="81" t="s">
        <v>3528</v>
      </c>
      <c r="H486" s="83"/>
      <c r="I486" s="83"/>
      <c r="J486" s="83"/>
      <c r="K486" s="83"/>
      <c r="L486" s="83"/>
      <c r="M486" s="81" t="s">
        <v>146</v>
      </c>
      <c r="N486" s="85"/>
      <c r="O486" s="85"/>
      <c r="P486" s="81"/>
      <c r="Q486" s="81" t="s">
        <v>2701</v>
      </c>
      <c r="R486" s="82"/>
      <c r="S486" s="81"/>
      <c r="T486" s="132" t="str">
        <f ca="1">IF(AND('Inserimento dati'!$B$3=$H$2, Tabella3[[#This Row],[LUN]]="X"), "X",IF(AND('Inserimento dati'!$B$3=$I$2, Tabella3[[#This Row],[MAR]]="X"), "X", IF(AND('Inserimento dati'!$B$3=$J$2, Tabella3[[#This Row],[MER]]="X"), "X",IF(AND('Inserimento dati'!$B$3=$K$2, Tabella3[[#This Row],[GIO]]="X"), "X", IF(AND('Inserimento dati'!$B$3=$L$2, Tabella3[[#This Row],[VEN]]="X"), "X","")))))</f>
        <v/>
      </c>
      <c r="U486" s="125" t="str">
        <f t="shared" ca="1" si="15"/>
        <v>10228362</v>
      </c>
    </row>
    <row r="487" spans="1:21" ht="23.25" x14ac:dyDescent="0.25">
      <c r="A487" s="84"/>
      <c r="B487" s="84"/>
      <c r="C487" s="84" t="str">
        <f>IF(OR(Tabella3[[#This Row],[LUN]]="X",Tabella3[[#This Row],[MAR]]="X",Tabella3[[#This Row],[MER]]="X",Tabella3[[#This Row],[GIO]]="X",Tabella3[[#This Row],[VEN]]="X",),"X","")</f>
        <v/>
      </c>
      <c r="D487" s="85" t="s">
        <v>10</v>
      </c>
      <c r="E487" s="81" t="s">
        <v>2702</v>
      </c>
      <c r="F487" s="81">
        <v>700</v>
      </c>
      <c r="G487" s="81" t="s">
        <v>2703</v>
      </c>
      <c r="H487" s="83"/>
      <c r="I487" s="83"/>
      <c r="J487" s="83"/>
      <c r="K487" s="83"/>
      <c r="L487" s="83"/>
      <c r="M487" s="81" t="s">
        <v>146</v>
      </c>
      <c r="N487" s="85"/>
      <c r="O487" s="85"/>
      <c r="P487" s="81"/>
      <c r="Q487" s="81" t="s">
        <v>2704</v>
      </c>
      <c r="R487" s="82"/>
      <c r="S487" s="81"/>
      <c r="T487" s="132" t="str">
        <f ca="1">IF(AND('Inserimento dati'!$B$3=$H$2, Tabella3[[#This Row],[LUN]]="X"), "X",IF(AND('Inserimento dati'!$B$3=$I$2, Tabella3[[#This Row],[MAR]]="X"), "X", IF(AND('Inserimento dati'!$B$3=$J$2, Tabella3[[#This Row],[MER]]="X"), "X",IF(AND('Inserimento dati'!$B$3=$K$2, Tabella3[[#This Row],[GIO]]="X"), "X", IF(AND('Inserimento dati'!$B$3=$L$2, Tabella3[[#This Row],[VEN]]="X"), "X","")))))</f>
        <v/>
      </c>
      <c r="U487" s="125" t="str">
        <f t="shared" ca="1" si="15"/>
        <v>10229281</v>
      </c>
    </row>
  </sheetData>
  <mergeCells count="2">
    <mergeCell ref="A1:D1"/>
    <mergeCell ref="N2:P2"/>
  </mergeCells>
  <phoneticPr fontId="14" type="noConversion"/>
  <conditionalFormatting sqref="M48:S487 E48:G487">
    <cfRule type="expression" dxfId="5100" priority="3799">
      <formula>SEARCH("IN CORSO",$M48)&gt;0</formula>
    </cfRule>
    <cfRule type="expression" dxfId="5099" priority="3800">
      <formula>SEARCH("CHIUSO",$M48)&gt;0</formula>
    </cfRule>
    <cfRule type="expression" dxfId="5098" priority="3801">
      <formula>SEARCH("EMESSO",$M48)&gt;0</formula>
    </cfRule>
    <cfRule type="expression" dxfId="5097" priority="3802">
      <formula>SEARCH("RICHIESTO",$M48)&gt;0</formula>
    </cfRule>
    <cfRule type="expression" dxfId="5096" priority="3803">
      <formula>SEARCH("DA CHIUDERE",$M48)&gt;0</formula>
    </cfRule>
    <cfRule type="expression" dxfId="5095" priority="3804">
      <formula>SEARCH("INTERROTTO",$M48)&gt;0</formula>
    </cfRule>
  </conditionalFormatting>
  <conditionalFormatting sqref="E47:F47 N47:S47">
    <cfRule type="expression" dxfId="5094" priority="805">
      <formula>SEARCH("IN CORSO",$M47)&gt;0</formula>
    </cfRule>
    <cfRule type="expression" dxfId="5093" priority="806">
      <formula>SEARCH("CHIUSO",$M47)&gt;0</formula>
    </cfRule>
    <cfRule type="expression" dxfId="5092" priority="807">
      <formula>SEARCH("EMESSO",$M47)&gt;0</formula>
    </cfRule>
    <cfRule type="expression" dxfId="5091" priority="808">
      <formula>SEARCH("RICHIESTO",$M47)&gt;0</formula>
    </cfRule>
    <cfRule type="expression" dxfId="5090" priority="809">
      <formula>SEARCH("DA CHIUDERE",$M47)&gt;0</formula>
    </cfRule>
    <cfRule type="expression" dxfId="5089" priority="810">
      <formula>SEARCH("INTERROTTO",$M47)&gt;0</formula>
    </cfRule>
  </conditionalFormatting>
  <conditionalFormatting sqref="G47">
    <cfRule type="expression" dxfId="5088" priority="799">
      <formula>SEARCH("IN CORSO",$M47)&gt;0</formula>
    </cfRule>
    <cfRule type="expression" dxfId="5087" priority="800">
      <formula>SEARCH("CHIUSO",$M47)&gt;0</formula>
    </cfRule>
    <cfRule type="expression" dxfId="5086" priority="801">
      <formula>SEARCH("EMESSO",$M47)&gt;0</formula>
    </cfRule>
    <cfRule type="expression" dxfId="5085" priority="802">
      <formula>SEARCH("RICHIESTO",$M47)&gt;0</formula>
    </cfRule>
    <cfRule type="expression" dxfId="5084" priority="803">
      <formula>SEARCH("DA CHIUDERE",$M47)&gt;0</formula>
    </cfRule>
    <cfRule type="expression" dxfId="5083" priority="804">
      <formula>SEARCH("INTERROTTO",$M47)&gt;0</formula>
    </cfRule>
  </conditionalFormatting>
  <conditionalFormatting sqref="M47">
    <cfRule type="expression" dxfId="5082" priority="793">
      <formula>SEARCH("IN CORSO",$M47)&gt;0</formula>
    </cfRule>
    <cfRule type="expression" dxfId="5081" priority="794">
      <formula>SEARCH("CHIUSO",$M47)&gt;0</formula>
    </cfRule>
    <cfRule type="expression" dxfId="5080" priority="795">
      <formula>SEARCH("EMESSO",$M47)&gt;0</formula>
    </cfRule>
    <cfRule type="expression" dxfId="5079" priority="796">
      <formula>SEARCH("RICHIESTO",$M47)&gt;0</formula>
    </cfRule>
    <cfRule type="expression" dxfId="5078" priority="797">
      <formula>SEARCH("DA CHIUDERE",$M47)&gt;0</formula>
    </cfRule>
    <cfRule type="expression" dxfId="5077" priority="798">
      <formula>SEARCH("INTERROTTO",$M47)&gt;0</formula>
    </cfRule>
  </conditionalFormatting>
  <conditionalFormatting sqref="E46:F46 N46:S46">
    <cfRule type="expression" dxfId="5076" priority="787">
      <formula>SEARCH("IN CORSO",$M46)&gt;0</formula>
    </cfRule>
    <cfRule type="expression" dxfId="5075" priority="788">
      <formula>SEARCH("CHIUSO",$M46)&gt;0</formula>
    </cfRule>
    <cfRule type="expression" dxfId="5074" priority="789">
      <formula>SEARCH("EMESSO",$M46)&gt;0</formula>
    </cfRule>
    <cfRule type="expression" dxfId="5073" priority="790">
      <formula>SEARCH("RICHIESTO",$M46)&gt;0</formula>
    </cfRule>
    <cfRule type="expression" dxfId="5072" priority="791">
      <formula>SEARCH("DA CHIUDERE",$M46)&gt;0</formula>
    </cfRule>
    <cfRule type="expression" dxfId="5071" priority="792">
      <formula>SEARCH("INTERROTTO",$M46)&gt;0</formula>
    </cfRule>
  </conditionalFormatting>
  <conditionalFormatting sqref="G46">
    <cfRule type="expression" dxfId="5070" priority="781">
      <formula>SEARCH("IN CORSO",$M46)&gt;0</formula>
    </cfRule>
    <cfRule type="expression" dxfId="5069" priority="782">
      <formula>SEARCH("CHIUSO",$M46)&gt;0</formula>
    </cfRule>
    <cfRule type="expression" dxfId="5068" priority="783">
      <formula>SEARCH("EMESSO",$M46)&gt;0</formula>
    </cfRule>
    <cfRule type="expression" dxfId="5067" priority="784">
      <formula>SEARCH("RICHIESTO",$M46)&gt;0</formula>
    </cfRule>
    <cfRule type="expression" dxfId="5066" priority="785">
      <formula>SEARCH("DA CHIUDERE",$M46)&gt;0</formula>
    </cfRule>
    <cfRule type="expression" dxfId="5065" priority="786">
      <formula>SEARCH("INTERROTTO",$M46)&gt;0</formula>
    </cfRule>
  </conditionalFormatting>
  <conditionalFormatting sqref="M46">
    <cfRule type="expression" dxfId="5064" priority="775">
      <formula>SEARCH("IN CORSO",$M46)&gt;0</formula>
    </cfRule>
    <cfRule type="expression" dxfId="5063" priority="776">
      <formula>SEARCH("CHIUSO",$M46)&gt;0</formula>
    </cfRule>
    <cfRule type="expression" dxfId="5062" priority="777">
      <formula>SEARCH("EMESSO",$M46)&gt;0</formula>
    </cfRule>
    <cfRule type="expression" dxfId="5061" priority="778">
      <formula>SEARCH("RICHIESTO",$M46)&gt;0</formula>
    </cfRule>
    <cfRule type="expression" dxfId="5060" priority="779">
      <formula>SEARCH("DA CHIUDERE",$M46)&gt;0</formula>
    </cfRule>
    <cfRule type="expression" dxfId="5059" priority="780">
      <formula>SEARCH("INTERROTTO",$M46)&gt;0</formula>
    </cfRule>
  </conditionalFormatting>
  <conditionalFormatting sqref="E45:F45 N45:S45">
    <cfRule type="expression" dxfId="5058" priority="769">
      <formula>SEARCH("IN CORSO",$M45)&gt;0</formula>
    </cfRule>
    <cfRule type="expression" dxfId="5057" priority="770">
      <formula>SEARCH("CHIUSO",$M45)&gt;0</formula>
    </cfRule>
    <cfRule type="expression" dxfId="5056" priority="771">
      <formula>SEARCH("EMESSO",$M45)&gt;0</formula>
    </cfRule>
    <cfRule type="expression" dxfId="5055" priority="772">
      <formula>SEARCH("RICHIESTO",$M45)&gt;0</formula>
    </cfRule>
    <cfRule type="expression" dxfId="5054" priority="773">
      <formula>SEARCH("DA CHIUDERE",$M45)&gt;0</formula>
    </cfRule>
    <cfRule type="expression" dxfId="5053" priority="774">
      <formula>SEARCH("INTERROTTO",$M45)&gt;0</formula>
    </cfRule>
  </conditionalFormatting>
  <conditionalFormatting sqref="G45">
    <cfRule type="expression" dxfId="5052" priority="763">
      <formula>SEARCH("IN CORSO",$M45)&gt;0</formula>
    </cfRule>
    <cfRule type="expression" dxfId="5051" priority="764">
      <formula>SEARCH("CHIUSO",$M45)&gt;0</formula>
    </cfRule>
    <cfRule type="expression" dxfId="5050" priority="765">
      <formula>SEARCH("EMESSO",$M45)&gt;0</formula>
    </cfRule>
    <cfRule type="expression" dxfId="5049" priority="766">
      <formula>SEARCH("RICHIESTO",$M45)&gt;0</formula>
    </cfRule>
    <cfRule type="expression" dxfId="5048" priority="767">
      <formula>SEARCH("DA CHIUDERE",$M45)&gt;0</formula>
    </cfRule>
    <cfRule type="expression" dxfId="5047" priority="768">
      <formula>SEARCH("INTERROTTO",$M45)&gt;0</formula>
    </cfRule>
  </conditionalFormatting>
  <conditionalFormatting sqref="M45">
    <cfRule type="expression" dxfId="5046" priority="757">
      <formula>SEARCH("IN CORSO",$M45)&gt;0</formula>
    </cfRule>
    <cfRule type="expression" dxfId="5045" priority="758">
      <formula>SEARCH("CHIUSO",$M45)&gt;0</formula>
    </cfRule>
    <cfRule type="expression" dxfId="5044" priority="759">
      <formula>SEARCH("EMESSO",$M45)&gt;0</formula>
    </cfRule>
    <cfRule type="expression" dxfId="5043" priority="760">
      <formula>SEARCH("RICHIESTO",$M45)&gt;0</formula>
    </cfRule>
    <cfRule type="expression" dxfId="5042" priority="761">
      <formula>SEARCH("DA CHIUDERE",$M45)&gt;0</formula>
    </cfRule>
    <cfRule type="expression" dxfId="5041" priority="762">
      <formula>SEARCH("INTERROTTO",$M45)&gt;0</formula>
    </cfRule>
  </conditionalFormatting>
  <conditionalFormatting sqref="E44:F44 N44:S44">
    <cfRule type="expression" dxfId="5040" priority="751">
      <formula>SEARCH("IN CORSO",$M44)&gt;0</formula>
    </cfRule>
    <cfRule type="expression" dxfId="5039" priority="752">
      <formula>SEARCH("CHIUSO",$M44)&gt;0</formula>
    </cfRule>
    <cfRule type="expression" dxfId="5038" priority="753">
      <formula>SEARCH("EMESSO",$M44)&gt;0</formula>
    </cfRule>
    <cfRule type="expression" dxfId="5037" priority="754">
      <formula>SEARCH("RICHIESTO",$M44)&gt;0</formula>
    </cfRule>
    <cfRule type="expression" dxfId="5036" priority="755">
      <formula>SEARCH("DA CHIUDERE",$M44)&gt;0</formula>
    </cfRule>
    <cfRule type="expression" dxfId="5035" priority="756">
      <formula>SEARCH("INTERROTTO",$M44)&gt;0</formula>
    </cfRule>
  </conditionalFormatting>
  <conditionalFormatting sqref="G44">
    <cfRule type="expression" dxfId="5034" priority="745">
      <formula>SEARCH("IN CORSO",$M44)&gt;0</formula>
    </cfRule>
    <cfRule type="expression" dxfId="5033" priority="746">
      <formula>SEARCH("CHIUSO",$M44)&gt;0</formula>
    </cfRule>
    <cfRule type="expression" dxfId="5032" priority="747">
      <formula>SEARCH("EMESSO",$M44)&gt;0</formula>
    </cfRule>
    <cfRule type="expression" dxfId="5031" priority="748">
      <formula>SEARCH("RICHIESTO",$M44)&gt;0</formula>
    </cfRule>
    <cfRule type="expression" dxfId="5030" priority="749">
      <formula>SEARCH("DA CHIUDERE",$M44)&gt;0</formula>
    </cfRule>
    <cfRule type="expression" dxfId="5029" priority="750">
      <formula>SEARCH("INTERROTTO",$M44)&gt;0</formula>
    </cfRule>
  </conditionalFormatting>
  <conditionalFormatting sqref="M44">
    <cfRule type="expression" dxfId="5028" priority="739">
      <formula>SEARCH("IN CORSO",$M44)&gt;0</formula>
    </cfRule>
    <cfRule type="expression" dxfId="5027" priority="740">
      <formula>SEARCH("CHIUSO",$M44)&gt;0</formula>
    </cfRule>
    <cfRule type="expression" dxfId="5026" priority="741">
      <formula>SEARCH("EMESSO",$M44)&gt;0</formula>
    </cfRule>
    <cfRule type="expression" dxfId="5025" priority="742">
      <formula>SEARCH("RICHIESTO",$M44)&gt;0</formula>
    </cfRule>
    <cfRule type="expression" dxfId="5024" priority="743">
      <formula>SEARCH("DA CHIUDERE",$M44)&gt;0</formula>
    </cfRule>
    <cfRule type="expression" dxfId="5023" priority="744">
      <formula>SEARCH("INTERROTTO",$M44)&gt;0</formula>
    </cfRule>
  </conditionalFormatting>
  <conditionalFormatting sqref="E43:F43 N43:S43">
    <cfRule type="expression" dxfId="5022" priority="733">
      <formula>SEARCH("IN CORSO",$M43)&gt;0</formula>
    </cfRule>
    <cfRule type="expression" dxfId="5021" priority="734">
      <formula>SEARCH("CHIUSO",$M43)&gt;0</formula>
    </cfRule>
    <cfRule type="expression" dxfId="5020" priority="735">
      <formula>SEARCH("EMESSO",$M43)&gt;0</formula>
    </cfRule>
    <cfRule type="expression" dxfId="5019" priority="736">
      <formula>SEARCH("RICHIESTO",$M43)&gt;0</formula>
    </cfRule>
    <cfRule type="expression" dxfId="5018" priority="737">
      <formula>SEARCH("DA CHIUDERE",$M43)&gt;0</formula>
    </cfRule>
    <cfRule type="expression" dxfId="5017" priority="738">
      <formula>SEARCH("INTERROTTO",$M43)&gt;0</formula>
    </cfRule>
  </conditionalFormatting>
  <conditionalFormatting sqref="G43">
    <cfRule type="expression" dxfId="5016" priority="727">
      <formula>SEARCH("IN CORSO",$M43)&gt;0</formula>
    </cfRule>
    <cfRule type="expression" dxfId="5015" priority="728">
      <formula>SEARCH("CHIUSO",$M43)&gt;0</formula>
    </cfRule>
    <cfRule type="expression" dxfId="5014" priority="729">
      <formula>SEARCH("EMESSO",$M43)&gt;0</formula>
    </cfRule>
    <cfRule type="expression" dxfId="5013" priority="730">
      <formula>SEARCH("RICHIESTO",$M43)&gt;0</formula>
    </cfRule>
    <cfRule type="expression" dxfId="5012" priority="731">
      <formula>SEARCH("DA CHIUDERE",$M43)&gt;0</formula>
    </cfRule>
    <cfRule type="expression" dxfId="5011" priority="732">
      <formula>SEARCH("INTERROTTO",$M43)&gt;0</formula>
    </cfRule>
  </conditionalFormatting>
  <conditionalFormatting sqref="M43">
    <cfRule type="expression" dxfId="5010" priority="721">
      <formula>SEARCH("IN CORSO",$M43)&gt;0</formula>
    </cfRule>
    <cfRule type="expression" dxfId="5009" priority="722">
      <formula>SEARCH("CHIUSO",$M43)&gt;0</formula>
    </cfRule>
    <cfRule type="expression" dxfId="5008" priority="723">
      <formula>SEARCH("EMESSO",$M43)&gt;0</formula>
    </cfRule>
    <cfRule type="expression" dxfId="5007" priority="724">
      <formula>SEARCH("RICHIESTO",$M43)&gt;0</formula>
    </cfRule>
    <cfRule type="expression" dxfId="5006" priority="725">
      <formula>SEARCH("DA CHIUDERE",$M43)&gt;0</formula>
    </cfRule>
    <cfRule type="expression" dxfId="5005" priority="726">
      <formula>SEARCH("INTERROTTO",$M43)&gt;0</formula>
    </cfRule>
  </conditionalFormatting>
  <conditionalFormatting sqref="E42:F42 N42:S42">
    <cfRule type="expression" dxfId="5004" priority="715">
      <formula>SEARCH("IN CORSO",$M42)&gt;0</formula>
    </cfRule>
    <cfRule type="expression" dxfId="5003" priority="716">
      <formula>SEARCH("CHIUSO",$M42)&gt;0</formula>
    </cfRule>
    <cfRule type="expression" dxfId="5002" priority="717">
      <formula>SEARCH("EMESSO",$M42)&gt;0</formula>
    </cfRule>
    <cfRule type="expression" dxfId="5001" priority="718">
      <formula>SEARCH("RICHIESTO",$M42)&gt;0</formula>
    </cfRule>
    <cfRule type="expression" dxfId="5000" priority="719">
      <formula>SEARCH("DA CHIUDERE",$M42)&gt;0</formula>
    </cfRule>
    <cfRule type="expression" dxfId="4999" priority="720">
      <formula>SEARCH("INTERROTTO",$M42)&gt;0</formula>
    </cfRule>
  </conditionalFormatting>
  <conditionalFormatting sqref="G42">
    <cfRule type="expression" dxfId="4998" priority="709">
      <formula>SEARCH("IN CORSO",$M42)&gt;0</formula>
    </cfRule>
    <cfRule type="expression" dxfId="4997" priority="710">
      <formula>SEARCH("CHIUSO",$M42)&gt;0</formula>
    </cfRule>
    <cfRule type="expression" dxfId="4996" priority="711">
      <formula>SEARCH("EMESSO",$M42)&gt;0</formula>
    </cfRule>
    <cfRule type="expression" dxfId="4995" priority="712">
      <formula>SEARCH("RICHIESTO",$M42)&gt;0</formula>
    </cfRule>
    <cfRule type="expression" dxfId="4994" priority="713">
      <formula>SEARCH("DA CHIUDERE",$M42)&gt;0</formula>
    </cfRule>
    <cfRule type="expression" dxfId="4993" priority="714">
      <formula>SEARCH("INTERROTTO",$M42)&gt;0</formula>
    </cfRule>
  </conditionalFormatting>
  <conditionalFormatting sqref="M42">
    <cfRule type="expression" dxfId="4992" priority="703">
      <formula>SEARCH("IN CORSO",$M42)&gt;0</formula>
    </cfRule>
    <cfRule type="expression" dxfId="4991" priority="704">
      <formula>SEARCH("CHIUSO",$M42)&gt;0</formula>
    </cfRule>
    <cfRule type="expression" dxfId="4990" priority="705">
      <formula>SEARCH("EMESSO",$M42)&gt;0</formula>
    </cfRule>
    <cfRule type="expression" dxfId="4989" priority="706">
      <formula>SEARCH("RICHIESTO",$M42)&gt;0</formula>
    </cfRule>
    <cfRule type="expression" dxfId="4988" priority="707">
      <formula>SEARCH("DA CHIUDERE",$M42)&gt;0</formula>
    </cfRule>
    <cfRule type="expression" dxfId="4987" priority="708">
      <formula>SEARCH("INTERROTTO",$M42)&gt;0</formula>
    </cfRule>
  </conditionalFormatting>
  <conditionalFormatting sqref="E41:F41 N41:S41">
    <cfRule type="expression" dxfId="4986" priority="697">
      <formula>SEARCH("IN CORSO",$M41)&gt;0</formula>
    </cfRule>
    <cfRule type="expression" dxfId="4985" priority="698">
      <formula>SEARCH("CHIUSO",$M41)&gt;0</formula>
    </cfRule>
    <cfRule type="expression" dxfId="4984" priority="699">
      <formula>SEARCH("EMESSO",$M41)&gt;0</formula>
    </cfRule>
    <cfRule type="expression" dxfId="4983" priority="700">
      <formula>SEARCH("RICHIESTO",$M41)&gt;0</formula>
    </cfRule>
    <cfRule type="expression" dxfId="4982" priority="701">
      <formula>SEARCH("DA CHIUDERE",$M41)&gt;0</formula>
    </cfRule>
    <cfRule type="expression" dxfId="4981" priority="702">
      <formula>SEARCH("INTERROTTO",$M41)&gt;0</formula>
    </cfRule>
  </conditionalFormatting>
  <conditionalFormatting sqref="G41">
    <cfRule type="expression" dxfId="4980" priority="691">
      <formula>SEARCH("IN CORSO",$M41)&gt;0</formula>
    </cfRule>
    <cfRule type="expression" dxfId="4979" priority="692">
      <formula>SEARCH("CHIUSO",$M41)&gt;0</formula>
    </cfRule>
    <cfRule type="expression" dxfId="4978" priority="693">
      <formula>SEARCH("EMESSO",$M41)&gt;0</formula>
    </cfRule>
    <cfRule type="expression" dxfId="4977" priority="694">
      <formula>SEARCH("RICHIESTO",$M41)&gt;0</formula>
    </cfRule>
    <cfRule type="expression" dxfId="4976" priority="695">
      <formula>SEARCH("DA CHIUDERE",$M41)&gt;0</formula>
    </cfRule>
    <cfRule type="expression" dxfId="4975" priority="696">
      <formula>SEARCH("INTERROTTO",$M41)&gt;0</formula>
    </cfRule>
  </conditionalFormatting>
  <conditionalFormatting sqref="M41">
    <cfRule type="expression" dxfId="4974" priority="685">
      <formula>SEARCH("IN CORSO",$M41)&gt;0</formula>
    </cfRule>
    <cfRule type="expression" dxfId="4973" priority="686">
      <formula>SEARCH("CHIUSO",$M41)&gt;0</formula>
    </cfRule>
    <cfRule type="expression" dxfId="4972" priority="687">
      <formula>SEARCH("EMESSO",$M41)&gt;0</formula>
    </cfRule>
    <cfRule type="expression" dxfId="4971" priority="688">
      <formula>SEARCH("RICHIESTO",$M41)&gt;0</formula>
    </cfRule>
    <cfRule type="expression" dxfId="4970" priority="689">
      <formula>SEARCH("DA CHIUDERE",$M41)&gt;0</formula>
    </cfRule>
    <cfRule type="expression" dxfId="4969" priority="690">
      <formula>SEARCH("INTERROTTO",$M41)&gt;0</formula>
    </cfRule>
  </conditionalFormatting>
  <conditionalFormatting sqref="E40:F40 N40:S40">
    <cfRule type="expression" dxfId="4968" priority="679">
      <formula>SEARCH("IN CORSO",$M40)&gt;0</formula>
    </cfRule>
    <cfRule type="expression" dxfId="4967" priority="680">
      <formula>SEARCH("CHIUSO",$M40)&gt;0</formula>
    </cfRule>
    <cfRule type="expression" dxfId="4966" priority="681">
      <formula>SEARCH("EMESSO",$M40)&gt;0</formula>
    </cfRule>
    <cfRule type="expression" dxfId="4965" priority="682">
      <formula>SEARCH("RICHIESTO",$M40)&gt;0</formula>
    </cfRule>
    <cfRule type="expression" dxfId="4964" priority="683">
      <formula>SEARCH("DA CHIUDERE",$M40)&gt;0</formula>
    </cfRule>
    <cfRule type="expression" dxfId="4963" priority="684">
      <formula>SEARCH("INTERROTTO",$M40)&gt;0</formula>
    </cfRule>
  </conditionalFormatting>
  <conditionalFormatting sqref="G40">
    <cfRule type="expression" dxfId="4962" priority="673">
      <formula>SEARCH("IN CORSO",$M40)&gt;0</formula>
    </cfRule>
    <cfRule type="expression" dxfId="4961" priority="674">
      <formula>SEARCH("CHIUSO",$M40)&gt;0</formula>
    </cfRule>
    <cfRule type="expression" dxfId="4960" priority="675">
      <formula>SEARCH("EMESSO",$M40)&gt;0</formula>
    </cfRule>
    <cfRule type="expression" dxfId="4959" priority="676">
      <formula>SEARCH("RICHIESTO",$M40)&gt;0</formula>
    </cfRule>
    <cfRule type="expression" dxfId="4958" priority="677">
      <formula>SEARCH("DA CHIUDERE",$M40)&gt;0</formula>
    </cfRule>
    <cfRule type="expression" dxfId="4957" priority="678">
      <formula>SEARCH("INTERROTTO",$M40)&gt;0</formula>
    </cfRule>
  </conditionalFormatting>
  <conditionalFormatting sqref="M39">
    <cfRule type="expression" dxfId="4956" priority="649">
      <formula>SEARCH("IN CORSO",$M39)&gt;0</formula>
    </cfRule>
    <cfRule type="expression" dxfId="4955" priority="650">
      <formula>SEARCH("CHIUSO",$M39)&gt;0</formula>
    </cfRule>
    <cfRule type="expression" dxfId="4954" priority="651">
      <formula>SEARCH("EMESSO",$M39)&gt;0</formula>
    </cfRule>
    <cfRule type="expression" dxfId="4953" priority="652">
      <formula>SEARCH("RICHIESTO",$M39)&gt;0</formula>
    </cfRule>
    <cfRule type="expression" dxfId="4952" priority="653">
      <formula>SEARCH("DA CHIUDERE",$M39)&gt;0</formula>
    </cfRule>
    <cfRule type="expression" dxfId="4951" priority="654">
      <formula>SEARCH("INTERROTTO",$M39)&gt;0</formula>
    </cfRule>
  </conditionalFormatting>
  <conditionalFormatting sqref="E38:F38 N38:S38">
    <cfRule type="expression" dxfId="4950" priority="643">
      <formula>SEARCH("IN CORSO",$M38)&gt;0</formula>
    </cfRule>
    <cfRule type="expression" dxfId="4949" priority="644">
      <formula>SEARCH("CHIUSO",$M38)&gt;0</formula>
    </cfRule>
    <cfRule type="expression" dxfId="4948" priority="645">
      <formula>SEARCH("EMESSO",$M38)&gt;0</formula>
    </cfRule>
    <cfRule type="expression" dxfId="4947" priority="646">
      <formula>SEARCH("RICHIESTO",$M38)&gt;0</formula>
    </cfRule>
    <cfRule type="expression" dxfId="4946" priority="647">
      <formula>SEARCH("DA CHIUDERE",$M38)&gt;0</formula>
    </cfRule>
    <cfRule type="expression" dxfId="4945" priority="648">
      <formula>SEARCH("INTERROTTO",$M38)&gt;0</formula>
    </cfRule>
  </conditionalFormatting>
  <conditionalFormatting sqref="G38">
    <cfRule type="expression" dxfId="4944" priority="637">
      <formula>SEARCH("IN CORSO",$M38)&gt;0</formula>
    </cfRule>
    <cfRule type="expression" dxfId="4943" priority="638">
      <formula>SEARCH("CHIUSO",$M38)&gt;0</formula>
    </cfRule>
    <cfRule type="expression" dxfId="4942" priority="639">
      <formula>SEARCH("EMESSO",$M38)&gt;0</formula>
    </cfRule>
    <cfRule type="expression" dxfId="4941" priority="640">
      <formula>SEARCH("RICHIESTO",$M38)&gt;0</formula>
    </cfRule>
    <cfRule type="expression" dxfId="4940" priority="641">
      <formula>SEARCH("DA CHIUDERE",$M38)&gt;0</formula>
    </cfRule>
    <cfRule type="expression" dxfId="4939" priority="642">
      <formula>SEARCH("INTERROTTO",$M38)&gt;0</formula>
    </cfRule>
  </conditionalFormatting>
  <conditionalFormatting sqref="M38">
    <cfRule type="expression" dxfId="4938" priority="631">
      <formula>SEARCH("IN CORSO",$M38)&gt;0</formula>
    </cfRule>
    <cfRule type="expression" dxfId="4937" priority="632">
      <formula>SEARCH("CHIUSO",$M38)&gt;0</formula>
    </cfRule>
    <cfRule type="expression" dxfId="4936" priority="633">
      <formula>SEARCH("EMESSO",$M38)&gt;0</formula>
    </cfRule>
    <cfRule type="expression" dxfId="4935" priority="634">
      <formula>SEARCH("RICHIESTO",$M38)&gt;0</formula>
    </cfRule>
    <cfRule type="expression" dxfId="4934" priority="635">
      <formula>SEARCH("DA CHIUDERE",$M38)&gt;0</formula>
    </cfRule>
    <cfRule type="expression" dxfId="4933" priority="636">
      <formula>SEARCH("INTERROTTO",$M38)&gt;0</formula>
    </cfRule>
  </conditionalFormatting>
  <conditionalFormatting sqref="E37:F37 N37:S37">
    <cfRule type="expression" dxfId="4932" priority="625">
      <formula>SEARCH("IN CORSO",$M37)&gt;0</formula>
    </cfRule>
    <cfRule type="expression" dxfId="4931" priority="626">
      <formula>SEARCH("CHIUSO",$M37)&gt;0</formula>
    </cfRule>
    <cfRule type="expression" dxfId="4930" priority="627">
      <formula>SEARCH("EMESSO",$M37)&gt;0</formula>
    </cfRule>
    <cfRule type="expression" dxfId="4929" priority="628">
      <formula>SEARCH("RICHIESTO",$M37)&gt;0</formula>
    </cfRule>
    <cfRule type="expression" dxfId="4928" priority="629">
      <formula>SEARCH("DA CHIUDERE",$M37)&gt;0</formula>
    </cfRule>
    <cfRule type="expression" dxfId="4927" priority="630">
      <formula>SEARCH("INTERROTTO",$M37)&gt;0</formula>
    </cfRule>
  </conditionalFormatting>
  <conditionalFormatting sqref="G37">
    <cfRule type="expression" dxfId="4926" priority="619">
      <formula>SEARCH("IN CORSO",$M37)&gt;0</formula>
    </cfRule>
    <cfRule type="expression" dxfId="4925" priority="620">
      <formula>SEARCH("CHIUSO",$M37)&gt;0</formula>
    </cfRule>
    <cfRule type="expression" dxfId="4924" priority="621">
      <formula>SEARCH("EMESSO",$M37)&gt;0</formula>
    </cfRule>
    <cfRule type="expression" dxfId="4923" priority="622">
      <formula>SEARCH("RICHIESTO",$M37)&gt;0</formula>
    </cfRule>
    <cfRule type="expression" dxfId="4922" priority="623">
      <formula>SEARCH("DA CHIUDERE",$M37)&gt;0</formula>
    </cfRule>
    <cfRule type="expression" dxfId="4921" priority="624">
      <formula>SEARCH("INTERROTTO",$M37)&gt;0</formula>
    </cfRule>
  </conditionalFormatting>
  <conditionalFormatting sqref="M37">
    <cfRule type="expression" dxfId="4920" priority="613">
      <formula>SEARCH("IN CORSO",$M37)&gt;0</formula>
    </cfRule>
    <cfRule type="expression" dxfId="4919" priority="614">
      <formula>SEARCH("CHIUSO",$M37)&gt;0</formula>
    </cfRule>
    <cfRule type="expression" dxfId="4918" priority="615">
      <formula>SEARCH("EMESSO",$M37)&gt;0</formula>
    </cfRule>
    <cfRule type="expression" dxfId="4917" priority="616">
      <formula>SEARCH("RICHIESTO",$M37)&gt;0</formula>
    </cfRule>
    <cfRule type="expression" dxfId="4916" priority="617">
      <formula>SEARCH("DA CHIUDERE",$M37)&gt;0</formula>
    </cfRule>
    <cfRule type="expression" dxfId="4915" priority="618">
      <formula>SEARCH("INTERROTTO",$M37)&gt;0</formula>
    </cfRule>
  </conditionalFormatting>
  <conditionalFormatting sqref="E36:F36 N36:S36">
    <cfRule type="expression" dxfId="4914" priority="607">
      <formula>SEARCH("IN CORSO",$M36)&gt;0</formula>
    </cfRule>
    <cfRule type="expression" dxfId="4913" priority="608">
      <formula>SEARCH("CHIUSO",$M36)&gt;0</formula>
    </cfRule>
    <cfRule type="expression" dxfId="4912" priority="609">
      <formula>SEARCH("EMESSO",$M36)&gt;0</formula>
    </cfRule>
    <cfRule type="expression" dxfId="4911" priority="610">
      <formula>SEARCH("RICHIESTO",$M36)&gt;0</formula>
    </cfRule>
    <cfRule type="expression" dxfId="4910" priority="611">
      <formula>SEARCH("DA CHIUDERE",$M36)&gt;0</formula>
    </cfRule>
    <cfRule type="expression" dxfId="4909" priority="612">
      <formula>SEARCH("INTERROTTO",$M36)&gt;0</formula>
    </cfRule>
  </conditionalFormatting>
  <conditionalFormatting sqref="M36">
    <cfRule type="expression" dxfId="4908" priority="595">
      <formula>SEARCH("IN CORSO",$M36)&gt;0</formula>
    </cfRule>
    <cfRule type="expression" dxfId="4907" priority="596">
      <formula>SEARCH("CHIUSO",$M36)&gt;0</formula>
    </cfRule>
    <cfRule type="expression" dxfId="4906" priority="597">
      <formula>SEARCH("EMESSO",$M36)&gt;0</formula>
    </cfRule>
    <cfRule type="expression" dxfId="4905" priority="598">
      <formula>SEARCH("RICHIESTO",$M36)&gt;0</formula>
    </cfRule>
    <cfRule type="expression" dxfId="4904" priority="599">
      <formula>SEARCH("DA CHIUDERE",$M36)&gt;0</formula>
    </cfRule>
    <cfRule type="expression" dxfId="4903" priority="600">
      <formula>SEARCH("INTERROTTO",$M36)&gt;0</formula>
    </cfRule>
  </conditionalFormatting>
  <conditionalFormatting sqref="E35:F35 N35:S35">
    <cfRule type="expression" dxfId="4902" priority="589">
      <formula>SEARCH("IN CORSO",$M35)&gt;0</formula>
    </cfRule>
    <cfRule type="expression" dxfId="4901" priority="590">
      <formula>SEARCH("CHIUSO",$M35)&gt;0</formula>
    </cfRule>
    <cfRule type="expression" dxfId="4900" priority="591">
      <formula>SEARCH("EMESSO",$M35)&gt;0</formula>
    </cfRule>
    <cfRule type="expression" dxfId="4899" priority="592">
      <formula>SEARCH("RICHIESTO",$M35)&gt;0</formula>
    </cfRule>
    <cfRule type="expression" dxfId="4898" priority="593">
      <formula>SEARCH("DA CHIUDERE",$M35)&gt;0</formula>
    </cfRule>
    <cfRule type="expression" dxfId="4897" priority="594">
      <formula>SEARCH("INTERROTTO",$M35)&gt;0</formula>
    </cfRule>
  </conditionalFormatting>
  <conditionalFormatting sqref="M35">
    <cfRule type="expression" dxfId="4896" priority="577">
      <formula>SEARCH("IN CORSO",$M35)&gt;0</formula>
    </cfRule>
    <cfRule type="expression" dxfId="4895" priority="578">
      <formula>SEARCH("CHIUSO",$M35)&gt;0</formula>
    </cfRule>
    <cfRule type="expression" dxfId="4894" priority="579">
      <formula>SEARCH("EMESSO",$M35)&gt;0</formula>
    </cfRule>
    <cfRule type="expression" dxfId="4893" priority="580">
      <formula>SEARCH("RICHIESTO",$M35)&gt;0</formula>
    </cfRule>
    <cfRule type="expression" dxfId="4892" priority="581">
      <formula>SEARCH("DA CHIUDERE",$M35)&gt;0</formula>
    </cfRule>
    <cfRule type="expression" dxfId="4891" priority="582">
      <formula>SEARCH("INTERROTTO",$M35)&gt;0</formula>
    </cfRule>
  </conditionalFormatting>
  <conditionalFormatting sqref="E34:F34 N34:S34">
    <cfRule type="expression" dxfId="4890" priority="571">
      <formula>SEARCH("IN CORSO",$M34)&gt;0</formula>
    </cfRule>
    <cfRule type="expression" dxfId="4889" priority="572">
      <formula>SEARCH("CHIUSO",$M34)&gt;0</formula>
    </cfRule>
    <cfRule type="expression" dxfId="4888" priority="573">
      <formula>SEARCH("EMESSO",$M34)&gt;0</formula>
    </cfRule>
    <cfRule type="expression" dxfId="4887" priority="574">
      <formula>SEARCH("RICHIESTO",$M34)&gt;0</formula>
    </cfRule>
    <cfRule type="expression" dxfId="4886" priority="575">
      <formula>SEARCH("DA CHIUDERE",$M34)&gt;0</formula>
    </cfRule>
    <cfRule type="expression" dxfId="4885" priority="576">
      <formula>SEARCH("INTERROTTO",$M34)&gt;0</formula>
    </cfRule>
  </conditionalFormatting>
  <conditionalFormatting sqref="M33">
    <cfRule type="expression" dxfId="4884" priority="541">
      <formula>SEARCH("IN CORSO",$M33)&gt;0</formula>
    </cfRule>
    <cfRule type="expression" dxfId="4883" priority="542">
      <formula>SEARCH("CHIUSO",$M33)&gt;0</formula>
    </cfRule>
    <cfRule type="expression" dxfId="4882" priority="543">
      <formula>SEARCH("EMESSO",$M33)&gt;0</formula>
    </cfRule>
    <cfRule type="expression" dxfId="4881" priority="544">
      <formula>SEARCH("RICHIESTO",$M33)&gt;0</formula>
    </cfRule>
    <cfRule type="expression" dxfId="4880" priority="545">
      <formula>SEARCH("DA CHIUDERE",$M33)&gt;0</formula>
    </cfRule>
    <cfRule type="expression" dxfId="4879" priority="546">
      <formula>SEARCH("INTERROTTO",$M33)&gt;0</formula>
    </cfRule>
  </conditionalFormatting>
  <conditionalFormatting sqref="E32:F32 N32:S32">
    <cfRule type="expression" dxfId="4878" priority="535">
      <formula>SEARCH("IN CORSO",$M32)&gt;0</formula>
    </cfRule>
    <cfRule type="expression" dxfId="4877" priority="536">
      <formula>SEARCH("CHIUSO",$M32)&gt;0</formula>
    </cfRule>
    <cfRule type="expression" dxfId="4876" priority="537">
      <formula>SEARCH("EMESSO",$M32)&gt;0</formula>
    </cfRule>
    <cfRule type="expression" dxfId="4875" priority="538">
      <formula>SEARCH("RICHIESTO",$M32)&gt;0</formula>
    </cfRule>
    <cfRule type="expression" dxfId="4874" priority="539">
      <formula>SEARCH("DA CHIUDERE",$M32)&gt;0</formula>
    </cfRule>
    <cfRule type="expression" dxfId="4873" priority="540">
      <formula>SEARCH("INTERROTTO",$M32)&gt;0</formula>
    </cfRule>
  </conditionalFormatting>
  <conditionalFormatting sqref="G32">
    <cfRule type="expression" dxfId="4872" priority="529">
      <formula>SEARCH("IN CORSO",$M32)&gt;0</formula>
    </cfRule>
    <cfRule type="expression" dxfId="4871" priority="530">
      <formula>SEARCH("CHIUSO",$M32)&gt;0</formula>
    </cfRule>
    <cfRule type="expression" dxfId="4870" priority="531">
      <formula>SEARCH("EMESSO",$M32)&gt;0</formula>
    </cfRule>
    <cfRule type="expression" dxfId="4869" priority="532">
      <formula>SEARCH("RICHIESTO",$M32)&gt;0</formula>
    </cfRule>
    <cfRule type="expression" dxfId="4868" priority="533">
      <formula>SEARCH("DA CHIUDERE",$M32)&gt;0</formula>
    </cfRule>
    <cfRule type="expression" dxfId="4867" priority="534">
      <formula>SEARCH("INTERROTTO",$M32)&gt;0</formula>
    </cfRule>
  </conditionalFormatting>
  <conditionalFormatting sqref="M32">
    <cfRule type="expression" dxfId="4866" priority="523">
      <formula>SEARCH("IN CORSO",$M32)&gt;0</formula>
    </cfRule>
    <cfRule type="expression" dxfId="4865" priority="524">
      <formula>SEARCH("CHIUSO",$M32)&gt;0</formula>
    </cfRule>
    <cfRule type="expression" dxfId="4864" priority="525">
      <formula>SEARCH("EMESSO",$M32)&gt;0</formula>
    </cfRule>
    <cfRule type="expression" dxfId="4863" priority="526">
      <formula>SEARCH("RICHIESTO",$M32)&gt;0</formula>
    </cfRule>
    <cfRule type="expression" dxfId="4862" priority="527">
      <formula>SEARCH("DA CHIUDERE",$M32)&gt;0</formula>
    </cfRule>
    <cfRule type="expression" dxfId="4861" priority="528">
      <formula>SEARCH("INTERROTTO",$M32)&gt;0</formula>
    </cfRule>
  </conditionalFormatting>
  <conditionalFormatting sqref="E31:F31 N31:S31">
    <cfRule type="expression" dxfId="4860" priority="517">
      <formula>SEARCH("IN CORSO",$M31)&gt;0</formula>
    </cfRule>
    <cfRule type="expression" dxfId="4859" priority="518">
      <formula>SEARCH("CHIUSO",$M31)&gt;0</formula>
    </cfRule>
    <cfRule type="expression" dxfId="4858" priority="519">
      <formula>SEARCH("EMESSO",$M31)&gt;0</formula>
    </cfRule>
    <cfRule type="expression" dxfId="4857" priority="520">
      <formula>SEARCH("RICHIESTO",$M31)&gt;0</formula>
    </cfRule>
    <cfRule type="expression" dxfId="4856" priority="521">
      <formula>SEARCH("DA CHIUDERE",$M31)&gt;0</formula>
    </cfRule>
    <cfRule type="expression" dxfId="4855" priority="522">
      <formula>SEARCH("INTERROTTO",$M31)&gt;0</formula>
    </cfRule>
  </conditionalFormatting>
  <conditionalFormatting sqref="G31">
    <cfRule type="expression" dxfId="4854" priority="511">
      <formula>SEARCH("IN CORSO",$M31)&gt;0</formula>
    </cfRule>
    <cfRule type="expression" dxfId="4853" priority="512">
      <formula>SEARCH("CHIUSO",$M31)&gt;0</formula>
    </cfRule>
    <cfRule type="expression" dxfId="4852" priority="513">
      <formula>SEARCH("EMESSO",$M31)&gt;0</formula>
    </cfRule>
    <cfRule type="expression" dxfId="4851" priority="514">
      <formula>SEARCH("RICHIESTO",$M31)&gt;0</formula>
    </cfRule>
    <cfRule type="expression" dxfId="4850" priority="515">
      <formula>SEARCH("DA CHIUDERE",$M31)&gt;0</formula>
    </cfRule>
    <cfRule type="expression" dxfId="4849" priority="516">
      <formula>SEARCH("INTERROTTO",$M31)&gt;0</formula>
    </cfRule>
  </conditionalFormatting>
  <conditionalFormatting sqref="M31">
    <cfRule type="expression" dxfId="4848" priority="505">
      <formula>SEARCH("IN CORSO",$M31)&gt;0</formula>
    </cfRule>
    <cfRule type="expression" dxfId="4847" priority="506">
      <formula>SEARCH("CHIUSO",$M31)&gt;0</formula>
    </cfRule>
    <cfRule type="expression" dxfId="4846" priority="507">
      <formula>SEARCH("EMESSO",$M31)&gt;0</formula>
    </cfRule>
    <cfRule type="expression" dxfId="4845" priority="508">
      <formula>SEARCH("RICHIESTO",$M31)&gt;0</formula>
    </cfRule>
    <cfRule type="expression" dxfId="4844" priority="509">
      <formula>SEARCH("DA CHIUDERE",$M31)&gt;0</formula>
    </cfRule>
    <cfRule type="expression" dxfId="4843" priority="510">
      <formula>SEARCH("INTERROTTO",$M31)&gt;0</formula>
    </cfRule>
  </conditionalFormatting>
  <conditionalFormatting sqref="E30:F30 N30:S30">
    <cfRule type="expression" dxfId="4842" priority="499">
      <formula>SEARCH("IN CORSO",$M30)&gt;0</formula>
    </cfRule>
    <cfRule type="expression" dxfId="4841" priority="500">
      <formula>SEARCH("CHIUSO",$M30)&gt;0</formula>
    </cfRule>
    <cfRule type="expression" dxfId="4840" priority="501">
      <formula>SEARCH("EMESSO",$M30)&gt;0</formula>
    </cfRule>
    <cfRule type="expression" dxfId="4839" priority="502">
      <formula>SEARCH("RICHIESTO",$M30)&gt;0</formula>
    </cfRule>
    <cfRule type="expression" dxfId="4838" priority="503">
      <formula>SEARCH("DA CHIUDERE",$M30)&gt;0</formula>
    </cfRule>
    <cfRule type="expression" dxfId="4837" priority="504">
      <formula>SEARCH("INTERROTTO",$M30)&gt;0</formula>
    </cfRule>
  </conditionalFormatting>
  <conditionalFormatting sqref="G30">
    <cfRule type="expression" dxfId="4836" priority="493">
      <formula>SEARCH("IN CORSO",$M30)&gt;0</formula>
    </cfRule>
    <cfRule type="expression" dxfId="4835" priority="494">
      <formula>SEARCH("CHIUSO",$M30)&gt;0</formula>
    </cfRule>
    <cfRule type="expression" dxfId="4834" priority="495">
      <formula>SEARCH("EMESSO",$M30)&gt;0</formula>
    </cfRule>
    <cfRule type="expression" dxfId="4833" priority="496">
      <formula>SEARCH("RICHIESTO",$M30)&gt;0</formula>
    </cfRule>
    <cfRule type="expression" dxfId="4832" priority="497">
      <formula>SEARCH("DA CHIUDERE",$M30)&gt;0</formula>
    </cfRule>
    <cfRule type="expression" dxfId="4831" priority="498">
      <formula>SEARCH("INTERROTTO",$M30)&gt;0</formula>
    </cfRule>
  </conditionalFormatting>
  <conditionalFormatting sqref="M30">
    <cfRule type="expression" dxfId="4830" priority="487">
      <formula>SEARCH("IN CORSO",$M30)&gt;0</formula>
    </cfRule>
    <cfRule type="expression" dxfId="4829" priority="488">
      <formula>SEARCH("CHIUSO",$M30)&gt;0</formula>
    </cfRule>
    <cfRule type="expression" dxfId="4828" priority="489">
      <formula>SEARCH("EMESSO",$M30)&gt;0</formula>
    </cfRule>
    <cfRule type="expression" dxfId="4827" priority="490">
      <formula>SEARCH("RICHIESTO",$M30)&gt;0</formula>
    </cfRule>
    <cfRule type="expression" dxfId="4826" priority="491">
      <formula>SEARCH("DA CHIUDERE",$M30)&gt;0</formula>
    </cfRule>
    <cfRule type="expression" dxfId="4825" priority="492">
      <formula>SEARCH("INTERROTTO",$M30)&gt;0</formula>
    </cfRule>
  </conditionalFormatting>
  <conditionalFormatting sqref="E29:F29 N29:S29">
    <cfRule type="expression" dxfId="4824" priority="481">
      <formula>SEARCH("IN CORSO",$M29)&gt;0</formula>
    </cfRule>
    <cfRule type="expression" dxfId="4823" priority="482">
      <formula>SEARCH("CHIUSO",$M29)&gt;0</formula>
    </cfRule>
    <cfRule type="expression" dxfId="4822" priority="483">
      <formula>SEARCH("EMESSO",$M29)&gt;0</formula>
    </cfRule>
    <cfRule type="expression" dxfId="4821" priority="484">
      <formula>SEARCH("RICHIESTO",$M29)&gt;0</formula>
    </cfRule>
    <cfRule type="expression" dxfId="4820" priority="485">
      <formula>SEARCH("DA CHIUDERE",$M29)&gt;0</formula>
    </cfRule>
    <cfRule type="expression" dxfId="4819" priority="486">
      <formula>SEARCH("INTERROTTO",$M29)&gt;0</formula>
    </cfRule>
  </conditionalFormatting>
  <conditionalFormatting sqref="G29">
    <cfRule type="expression" dxfId="4818" priority="475">
      <formula>SEARCH("IN CORSO",$M29)&gt;0</formula>
    </cfRule>
    <cfRule type="expression" dxfId="4817" priority="476">
      <formula>SEARCH("CHIUSO",$M29)&gt;0</formula>
    </cfRule>
    <cfRule type="expression" dxfId="4816" priority="477">
      <formula>SEARCH("EMESSO",$M29)&gt;0</formula>
    </cfRule>
    <cfRule type="expression" dxfId="4815" priority="478">
      <formula>SEARCH("RICHIESTO",$M29)&gt;0</formula>
    </cfRule>
    <cfRule type="expression" dxfId="4814" priority="479">
      <formula>SEARCH("DA CHIUDERE",$M29)&gt;0</formula>
    </cfRule>
    <cfRule type="expression" dxfId="4813" priority="480">
      <formula>SEARCH("INTERROTTO",$M29)&gt;0</formula>
    </cfRule>
  </conditionalFormatting>
  <conditionalFormatting sqref="M29">
    <cfRule type="expression" dxfId="4812" priority="469">
      <formula>SEARCH("IN CORSO",$M29)&gt;0</formula>
    </cfRule>
    <cfRule type="expression" dxfId="4811" priority="470">
      <formula>SEARCH("CHIUSO",$M29)&gt;0</formula>
    </cfRule>
    <cfRule type="expression" dxfId="4810" priority="471">
      <formula>SEARCH("EMESSO",$M29)&gt;0</formula>
    </cfRule>
    <cfRule type="expression" dxfId="4809" priority="472">
      <formula>SEARCH("RICHIESTO",$M29)&gt;0</formula>
    </cfRule>
    <cfRule type="expression" dxfId="4808" priority="473">
      <formula>SEARCH("DA CHIUDERE",$M29)&gt;0</formula>
    </cfRule>
    <cfRule type="expression" dxfId="4807" priority="474">
      <formula>SEARCH("INTERROTTO",$M29)&gt;0</formula>
    </cfRule>
  </conditionalFormatting>
  <conditionalFormatting sqref="E28:F28 N28:S28">
    <cfRule type="expression" dxfId="4806" priority="463">
      <formula>SEARCH("IN CORSO",$M28)&gt;0</formula>
    </cfRule>
    <cfRule type="expression" dxfId="4805" priority="464">
      <formula>SEARCH("CHIUSO",$M28)&gt;0</formula>
    </cfRule>
    <cfRule type="expression" dxfId="4804" priority="465">
      <formula>SEARCH("EMESSO",$M28)&gt;0</formula>
    </cfRule>
    <cfRule type="expression" dxfId="4803" priority="466">
      <formula>SEARCH("RICHIESTO",$M28)&gt;0</formula>
    </cfRule>
    <cfRule type="expression" dxfId="4802" priority="467">
      <formula>SEARCH("DA CHIUDERE",$M28)&gt;0</formula>
    </cfRule>
    <cfRule type="expression" dxfId="4801" priority="468">
      <formula>SEARCH("INTERROTTO",$M28)&gt;0</formula>
    </cfRule>
  </conditionalFormatting>
  <conditionalFormatting sqref="G28">
    <cfRule type="expression" dxfId="4800" priority="457">
      <formula>SEARCH("IN CORSO",$M28)&gt;0</formula>
    </cfRule>
    <cfRule type="expression" dxfId="4799" priority="458">
      <formula>SEARCH("CHIUSO",$M28)&gt;0</formula>
    </cfRule>
    <cfRule type="expression" dxfId="4798" priority="459">
      <formula>SEARCH("EMESSO",$M28)&gt;0</formula>
    </cfRule>
    <cfRule type="expression" dxfId="4797" priority="460">
      <formula>SEARCH("RICHIESTO",$M28)&gt;0</formula>
    </cfRule>
    <cfRule type="expression" dxfId="4796" priority="461">
      <formula>SEARCH("DA CHIUDERE",$M28)&gt;0</formula>
    </cfRule>
    <cfRule type="expression" dxfId="4795" priority="462">
      <formula>SEARCH("INTERROTTO",$M28)&gt;0</formula>
    </cfRule>
  </conditionalFormatting>
  <conditionalFormatting sqref="M28">
    <cfRule type="expression" dxfId="4794" priority="451">
      <formula>SEARCH("IN CORSO",$M28)&gt;0</formula>
    </cfRule>
    <cfRule type="expression" dxfId="4793" priority="452">
      <formula>SEARCH("CHIUSO",$M28)&gt;0</formula>
    </cfRule>
    <cfRule type="expression" dxfId="4792" priority="453">
      <formula>SEARCH("EMESSO",$M28)&gt;0</formula>
    </cfRule>
    <cfRule type="expression" dxfId="4791" priority="454">
      <formula>SEARCH("RICHIESTO",$M28)&gt;0</formula>
    </cfRule>
    <cfRule type="expression" dxfId="4790" priority="455">
      <formula>SEARCH("DA CHIUDERE",$M28)&gt;0</formula>
    </cfRule>
    <cfRule type="expression" dxfId="4789" priority="456">
      <formula>SEARCH("INTERROTTO",$M28)&gt;0</formula>
    </cfRule>
  </conditionalFormatting>
  <conditionalFormatting sqref="E27:F27 N27:S27">
    <cfRule type="expression" dxfId="4788" priority="445">
      <formula>SEARCH("IN CORSO",$M27)&gt;0</formula>
    </cfRule>
    <cfRule type="expression" dxfId="4787" priority="446">
      <formula>SEARCH("CHIUSO",$M27)&gt;0</formula>
    </cfRule>
    <cfRule type="expression" dxfId="4786" priority="447">
      <formula>SEARCH("EMESSO",$M27)&gt;0</formula>
    </cfRule>
    <cfRule type="expression" dxfId="4785" priority="448">
      <formula>SEARCH("RICHIESTO",$M27)&gt;0</formula>
    </cfRule>
    <cfRule type="expression" dxfId="4784" priority="449">
      <formula>SEARCH("DA CHIUDERE",$M27)&gt;0</formula>
    </cfRule>
    <cfRule type="expression" dxfId="4783" priority="450">
      <formula>SEARCH("INTERROTTO",$M27)&gt;0</formula>
    </cfRule>
  </conditionalFormatting>
  <conditionalFormatting sqref="G27">
    <cfRule type="expression" dxfId="4782" priority="439">
      <formula>SEARCH("IN CORSO",$M27)&gt;0</formula>
    </cfRule>
    <cfRule type="expression" dxfId="4781" priority="440">
      <formula>SEARCH("CHIUSO",$M27)&gt;0</formula>
    </cfRule>
    <cfRule type="expression" dxfId="4780" priority="441">
      <formula>SEARCH("EMESSO",$M27)&gt;0</formula>
    </cfRule>
    <cfRule type="expression" dxfId="4779" priority="442">
      <formula>SEARCH("RICHIESTO",$M27)&gt;0</formula>
    </cfRule>
    <cfRule type="expression" dxfId="4778" priority="443">
      <formula>SEARCH("DA CHIUDERE",$M27)&gt;0</formula>
    </cfRule>
    <cfRule type="expression" dxfId="4777" priority="444">
      <formula>SEARCH("INTERROTTO",$M27)&gt;0</formula>
    </cfRule>
  </conditionalFormatting>
  <conditionalFormatting sqref="M27">
    <cfRule type="expression" dxfId="4776" priority="433">
      <formula>SEARCH("IN CORSO",$M27)&gt;0</formula>
    </cfRule>
    <cfRule type="expression" dxfId="4775" priority="434">
      <formula>SEARCH("CHIUSO",$M27)&gt;0</formula>
    </cfRule>
    <cfRule type="expression" dxfId="4774" priority="435">
      <formula>SEARCH("EMESSO",$M27)&gt;0</formula>
    </cfRule>
    <cfRule type="expression" dxfId="4773" priority="436">
      <formula>SEARCH("RICHIESTO",$M27)&gt;0</formula>
    </cfRule>
    <cfRule type="expression" dxfId="4772" priority="437">
      <formula>SEARCH("DA CHIUDERE",$M27)&gt;0</formula>
    </cfRule>
    <cfRule type="expression" dxfId="4771" priority="438">
      <formula>SEARCH("INTERROTTO",$M27)&gt;0</formula>
    </cfRule>
  </conditionalFormatting>
  <conditionalFormatting sqref="E26:F26 N26:S26">
    <cfRule type="expression" dxfId="4770" priority="427">
      <formula>SEARCH("IN CORSO",$M26)&gt;0</formula>
    </cfRule>
    <cfRule type="expression" dxfId="4769" priority="428">
      <formula>SEARCH("CHIUSO",$M26)&gt;0</formula>
    </cfRule>
    <cfRule type="expression" dxfId="4768" priority="429">
      <formula>SEARCH("EMESSO",$M26)&gt;0</formula>
    </cfRule>
    <cfRule type="expression" dxfId="4767" priority="430">
      <formula>SEARCH("RICHIESTO",$M26)&gt;0</formula>
    </cfRule>
    <cfRule type="expression" dxfId="4766" priority="431">
      <formula>SEARCH("DA CHIUDERE",$M26)&gt;0</formula>
    </cfRule>
    <cfRule type="expression" dxfId="4765" priority="432">
      <formula>SEARCH("INTERROTTO",$M26)&gt;0</formula>
    </cfRule>
  </conditionalFormatting>
  <conditionalFormatting sqref="G26">
    <cfRule type="expression" dxfId="4764" priority="421">
      <formula>SEARCH("IN CORSO",$M26)&gt;0</formula>
    </cfRule>
    <cfRule type="expression" dxfId="4763" priority="422">
      <formula>SEARCH("CHIUSO",$M26)&gt;0</formula>
    </cfRule>
    <cfRule type="expression" dxfId="4762" priority="423">
      <formula>SEARCH("EMESSO",$M26)&gt;0</formula>
    </cfRule>
    <cfRule type="expression" dxfId="4761" priority="424">
      <formula>SEARCH("RICHIESTO",$M26)&gt;0</formula>
    </cfRule>
    <cfRule type="expression" dxfId="4760" priority="425">
      <formula>SEARCH("DA CHIUDERE",$M26)&gt;0</formula>
    </cfRule>
    <cfRule type="expression" dxfId="4759" priority="426">
      <formula>SEARCH("INTERROTTO",$M26)&gt;0</formula>
    </cfRule>
  </conditionalFormatting>
  <conditionalFormatting sqref="M26">
    <cfRule type="expression" dxfId="4758" priority="415">
      <formula>SEARCH("IN CORSO",$M26)&gt;0</formula>
    </cfRule>
    <cfRule type="expression" dxfId="4757" priority="416">
      <formula>SEARCH("CHIUSO",$M26)&gt;0</formula>
    </cfRule>
    <cfRule type="expression" dxfId="4756" priority="417">
      <formula>SEARCH("EMESSO",$M26)&gt;0</formula>
    </cfRule>
    <cfRule type="expression" dxfId="4755" priority="418">
      <formula>SEARCH("RICHIESTO",$M26)&gt;0</formula>
    </cfRule>
    <cfRule type="expression" dxfId="4754" priority="419">
      <formula>SEARCH("DA CHIUDERE",$M26)&gt;0</formula>
    </cfRule>
    <cfRule type="expression" dxfId="4753" priority="420">
      <formula>SEARCH("INTERROTTO",$M26)&gt;0</formula>
    </cfRule>
  </conditionalFormatting>
  <conditionalFormatting sqref="E25:F25 N25:S25">
    <cfRule type="expression" dxfId="4752" priority="409">
      <formula>SEARCH("IN CORSO",$M25)&gt;0</formula>
    </cfRule>
    <cfRule type="expression" dxfId="4751" priority="410">
      <formula>SEARCH("CHIUSO",$M25)&gt;0</formula>
    </cfRule>
    <cfRule type="expression" dxfId="4750" priority="411">
      <formula>SEARCH("EMESSO",$M25)&gt;0</formula>
    </cfRule>
    <cfRule type="expression" dxfId="4749" priority="412">
      <formula>SEARCH("RICHIESTO",$M25)&gt;0</formula>
    </cfRule>
    <cfRule type="expression" dxfId="4748" priority="413">
      <formula>SEARCH("DA CHIUDERE",$M25)&gt;0</formula>
    </cfRule>
    <cfRule type="expression" dxfId="4747" priority="414">
      <formula>SEARCH("INTERROTTO",$M25)&gt;0</formula>
    </cfRule>
  </conditionalFormatting>
  <conditionalFormatting sqref="G25">
    <cfRule type="expression" dxfId="4746" priority="403">
      <formula>SEARCH("IN CORSO",$M25)&gt;0</formula>
    </cfRule>
    <cfRule type="expression" dxfId="4745" priority="404">
      <formula>SEARCH("CHIUSO",$M25)&gt;0</formula>
    </cfRule>
    <cfRule type="expression" dxfId="4744" priority="405">
      <formula>SEARCH("EMESSO",$M25)&gt;0</formula>
    </cfRule>
    <cfRule type="expression" dxfId="4743" priority="406">
      <formula>SEARCH("RICHIESTO",$M25)&gt;0</formula>
    </cfRule>
    <cfRule type="expression" dxfId="4742" priority="407">
      <formula>SEARCH("DA CHIUDERE",$M25)&gt;0</formula>
    </cfRule>
    <cfRule type="expression" dxfId="4741" priority="408">
      <formula>SEARCH("INTERROTTO",$M25)&gt;0</formula>
    </cfRule>
  </conditionalFormatting>
  <conditionalFormatting sqref="M25">
    <cfRule type="expression" dxfId="4740" priority="397">
      <formula>SEARCH("IN CORSO",$M25)&gt;0</formula>
    </cfRule>
    <cfRule type="expression" dxfId="4739" priority="398">
      <formula>SEARCH("CHIUSO",$M25)&gt;0</formula>
    </cfRule>
    <cfRule type="expression" dxfId="4738" priority="399">
      <formula>SEARCH("EMESSO",$M25)&gt;0</formula>
    </cfRule>
    <cfRule type="expression" dxfId="4737" priority="400">
      <formula>SEARCH("RICHIESTO",$M25)&gt;0</formula>
    </cfRule>
    <cfRule type="expression" dxfId="4736" priority="401">
      <formula>SEARCH("DA CHIUDERE",$M25)&gt;0</formula>
    </cfRule>
    <cfRule type="expression" dxfId="4735" priority="402">
      <formula>SEARCH("INTERROTTO",$M25)&gt;0</formula>
    </cfRule>
  </conditionalFormatting>
  <conditionalFormatting sqref="E24:F24 N24:S24">
    <cfRule type="expression" dxfId="4734" priority="391">
      <formula>SEARCH("IN CORSO",$M24)&gt;0</formula>
    </cfRule>
    <cfRule type="expression" dxfId="4733" priority="392">
      <formula>SEARCH("CHIUSO",$M24)&gt;0</formula>
    </cfRule>
    <cfRule type="expression" dxfId="4732" priority="393">
      <formula>SEARCH("EMESSO",$M24)&gt;0</formula>
    </cfRule>
    <cfRule type="expression" dxfId="4731" priority="394">
      <formula>SEARCH("RICHIESTO",$M24)&gt;0</formula>
    </cfRule>
    <cfRule type="expression" dxfId="4730" priority="395">
      <formula>SEARCH("DA CHIUDERE",$M24)&gt;0</formula>
    </cfRule>
    <cfRule type="expression" dxfId="4729" priority="396">
      <formula>SEARCH("INTERROTTO",$M24)&gt;0</formula>
    </cfRule>
  </conditionalFormatting>
  <conditionalFormatting sqref="G24">
    <cfRule type="expression" dxfId="4728" priority="385">
      <formula>SEARCH("IN CORSO",$M24)&gt;0</formula>
    </cfRule>
    <cfRule type="expression" dxfId="4727" priority="386">
      <formula>SEARCH("CHIUSO",$M24)&gt;0</formula>
    </cfRule>
    <cfRule type="expression" dxfId="4726" priority="387">
      <formula>SEARCH("EMESSO",$M24)&gt;0</formula>
    </cfRule>
    <cfRule type="expression" dxfId="4725" priority="388">
      <formula>SEARCH("RICHIESTO",$M24)&gt;0</formula>
    </cfRule>
    <cfRule type="expression" dxfId="4724" priority="389">
      <formula>SEARCH("DA CHIUDERE",$M24)&gt;0</formula>
    </cfRule>
    <cfRule type="expression" dxfId="4723" priority="390">
      <formula>SEARCH("INTERROTTO",$M24)&gt;0</formula>
    </cfRule>
  </conditionalFormatting>
  <conditionalFormatting sqref="M24">
    <cfRule type="expression" dxfId="4722" priority="379">
      <formula>SEARCH("IN CORSO",$M24)&gt;0</formula>
    </cfRule>
    <cfRule type="expression" dxfId="4721" priority="380">
      <formula>SEARCH("CHIUSO",$M24)&gt;0</formula>
    </cfRule>
    <cfRule type="expression" dxfId="4720" priority="381">
      <formula>SEARCH("EMESSO",$M24)&gt;0</formula>
    </cfRule>
    <cfRule type="expression" dxfId="4719" priority="382">
      <formula>SEARCH("RICHIESTO",$M24)&gt;0</formula>
    </cfRule>
    <cfRule type="expression" dxfId="4718" priority="383">
      <formula>SEARCH("DA CHIUDERE",$M24)&gt;0</formula>
    </cfRule>
    <cfRule type="expression" dxfId="4717" priority="384">
      <formula>SEARCH("INTERROTTO",$M24)&gt;0</formula>
    </cfRule>
  </conditionalFormatting>
  <conditionalFormatting sqref="E23:F23 N23:S23">
    <cfRule type="expression" dxfId="4716" priority="373">
      <formula>SEARCH("IN CORSO",$M23)&gt;0</formula>
    </cfRule>
    <cfRule type="expression" dxfId="4715" priority="374">
      <formula>SEARCH("CHIUSO",$M23)&gt;0</formula>
    </cfRule>
    <cfRule type="expression" dxfId="4714" priority="375">
      <formula>SEARCH("EMESSO",$M23)&gt;0</formula>
    </cfRule>
    <cfRule type="expression" dxfId="4713" priority="376">
      <formula>SEARCH("RICHIESTO",$M23)&gt;0</formula>
    </cfRule>
    <cfRule type="expression" dxfId="4712" priority="377">
      <formula>SEARCH("DA CHIUDERE",$M23)&gt;0</formula>
    </cfRule>
    <cfRule type="expression" dxfId="4711" priority="378">
      <formula>SEARCH("INTERROTTO",$M23)&gt;0</formula>
    </cfRule>
  </conditionalFormatting>
  <conditionalFormatting sqref="G23">
    <cfRule type="expression" dxfId="4710" priority="367">
      <formula>SEARCH("IN CORSO",$M23)&gt;0</formula>
    </cfRule>
    <cfRule type="expression" dxfId="4709" priority="368">
      <formula>SEARCH("CHIUSO",$M23)&gt;0</formula>
    </cfRule>
    <cfRule type="expression" dxfId="4708" priority="369">
      <formula>SEARCH("EMESSO",$M23)&gt;0</formula>
    </cfRule>
    <cfRule type="expression" dxfId="4707" priority="370">
      <formula>SEARCH("RICHIESTO",$M23)&gt;0</formula>
    </cfRule>
    <cfRule type="expression" dxfId="4706" priority="371">
      <formula>SEARCH("DA CHIUDERE",$M23)&gt;0</formula>
    </cfRule>
    <cfRule type="expression" dxfId="4705" priority="372">
      <formula>SEARCH("INTERROTTO",$M23)&gt;0</formula>
    </cfRule>
  </conditionalFormatting>
  <conditionalFormatting sqref="E22:F22 N22:S22">
    <cfRule type="expression" dxfId="4704" priority="355">
      <formula>SEARCH("IN CORSO",$M22)&gt;0</formula>
    </cfRule>
    <cfRule type="expression" dxfId="4703" priority="356">
      <formula>SEARCH("CHIUSO",$M22)&gt;0</formula>
    </cfRule>
    <cfRule type="expression" dxfId="4702" priority="357">
      <formula>SEARCH("EMESSO",$M22)&gt;0</formula>
    </cfRule>
    <cfRule type="expression" dxfId="4701" priority="358">
      <formula>SEARCH("RICHIESTO",$M22)&gt;0</formula>
    </cfRule>
    <cfRule type="expression" dxfId="4700" priority="359">
      <formula>SEARCH("DA CHIUDERE",$M22)&gt;0</formula>
    </cfRule>
    <cfRule type="expression" dxfId="4699" priority="360">
      <formula>SEARCH("INTERROTTO",$M22)&gt;0</formula>
    </cfRule>
  </conditionalFormatting>
  <conditionalFormatting sqref="G22">
    <cfRule type="expression" dxfId="4698" priority="349">
      <formula>SEARCH("IN CORSO",$M22)&gt;0</formula>
    </cfRule>
    <cfRule type="expression" dxfId="4697" priority="350">
      <formula>SEARCH("CHIUSO",$M22)&gt;0</formula>
    </cfRule>
    <cfRule type="expression" dxfId="4696" priority="351">
      <formula>SEARCH("EMESSO",$M22)&gt;0</formula>
    </cfRule>
    <cfRule type="expression" dxfId="4695" priority="352">
      <formula>SEARCH("RICHIESTO",$M22)&gt;0</formula>
    </cfRule>
    <cfRule type="expression" dxfId="4694" priority="353">
      <formula>SEARCH("DA CHIUDERE",$M22)&gt;0</formula>
    </cfRule>
    <cfRule type="expression" dxfId="4693" priority="354">
      <formula>SEARCH("INTERROTTO",$M22)&gt;0</formula>
    </cfRule>
  </conditionalFormatting>
  <conditionalFormatting sqref="M22">
    <cfRule type="expression" dxfId="4692" priority="343">
      <formula>SEARCH("IN CORSO",$M22)&gt;0</formula>
    </cfRule>
    <cfRule type="expression" dxfId="4691" priority="344">
      <formula>SEARCH("CHIUSO",$M22)&gt;0</formula>
    </cfRule>
    <cfRule type="expression" dxfId="4690" priority="345">
      <formula>SEARCH("EMESSO",$M22)&gt;0</formula>
    </cfRule>
    <cfRule type="expression" dxfId="4689" priority="346">
      <formula>SEARCH("RICHIESTO",$M22)&gt;0</formula>
    </cfRule>
    <cfRule type="expression" dxfId="4688" priority="347">
      <formula>SEARCH("DA CHIUDERE",$M22)&gt;0</formula>
    </cfRule>
    <cfRule type="expression" dxfId="4687" priority="348">
      <formula>SEARCH("INTERROTTO",$M22)&gt;0</formula>
    </cfRule>
  </conditionalFormatting>
  <conditionalFormatting sqref="E21:F21 N21:S21">
    <cfRule type="expression" dxfId="4686" priority="337">
      <formula>SEARCH("IN CORSO",$M21)&gt;0</formula>
    </cfRule>
    <cfRule type="expression" dxfId="4685" priority="338">
      <formula>SEARCH("CHIUSO",$M21)&gt;0</formula>
    </cfRule>
    <cfRule type="expression" dxfId="4684" priority="339">
      <formula>SEARCH("EMESSO",$M21)&gt;0</formula>
    </cfRule>
    <cfRule type="expression" dxfId="4683" priority="340">
      <formula>SEARCH("RICHIESTO",$M21)&gt;0</formula>
    </cfRule>
    <cfRule type="expression" dxfId="4682" priority="341">
      <formula>SEARCH("DA CHIUDERE",$M21)&gt;0</formula>
    </cfRule>
    <cfRule type="expression" dxfId="4681" priority="342">
      <formula>SEARCH("INTERROTTO",$M21)&gt;0</formula>
    </cfRule>
  </conditionalFormatting>
  <conditionalFormatting sqref="G21">
    <cfRule type="expression" dxfId="4680" priority="331">
      <formula>SEARCH("IN CORSO",$M21)&gt;0</formula>
    </cfRule>
    <cfRule type="expression" dxfId="4679" priority="332">
      <formula>SEARCH("CHIUSO",$M21)&gt;0</formula>
    </cfRule>
    <cfRule type="expression" dxfId="4678" priority="333">
      <formula>SEARCH("EMESSO",$M21)&gt;0</formula>
    </cfRule>
    <cfRule type="expression" dxfId="4677" priority="334">
      <formula>SEARCH("RICHIESTO",$M21)&gt;0</formula>
    </cfRule>
    <cfRule type="expression" dxfId="4676" priority="335">
      <formula>SEARCH("DA CHIUDERE",$M21)&gt;0</formula>
    </cfRule>
    <cfRule type="expression" dxfId="4675" priority="336">
      <formula>SEARCH("INTERROTTO",$M21)&gt;0</formula>
    </cfRule>
  </conditionalFormatting>
  <conditionalFormatting sqref="M21">
    <cfRule type="expression" dxfId="4674" priority="325">
      <formula>SEARCH("IN CORSO",$M21)&gt;0</formula>
    </cfRule>
    <cfRule type="expression" dxfId="4673" priority="326">
      <formula>SEARCH("CHIUSO",$M21)&gt;0</formula>
    </cfRule>
    <cfRule type="expression" dxfId="4672" priority="327">
      <formula>SEARCH("EMESSO",$M21)&gt;0</formula>
    </cfRule>
    <cfRule type="expression" dxfId="4671" priority="328">
      <formula>SEARCH("RICHIESTO",$M21)&gt;0</formula>
    </cfRule>
    <cfRule type="expression" dxfId="4670" priority="329">
      <formula>SEARCH("DA CHIUDERE",$M21)&gt;0</formula>
    </cfRule>
    <cfRule type="expression" dxfId="4669" priority="330">
      <formula>SEARCH("INTERROTTO",$M21)&gt;0</formula>
    </cfRule>
  </conditionalFormatting>
  <conditionalFormatting sqref="E20:F20 N20:S20">
    <cfRule type="expression" dxfId="4668" priority="319">
      <formula>SEARCH("IN CORSO",$M20)&gt;0</formula>
    </cfRule>
    <cfRule type="expression" dxfId="4667" priority="320">
      <formula>SEARCH("CHIUSO",$M20)&gt;0</formula>
    </cfRule>
    <cfRule type="expression" dxfId="4666" priority="321">
      <formula>SEARCH("EMESSO",$M20)&gt;0</formula>
    </cfRule>
    <cfRule type="expression" dxfId="4665" priority="322">
      <formula>SEARCH("RICHIESTO",$M20)&gt;0</formula>
    </cfRule>
    <cfRule type="expression" dxfId="4664" priority="323">
      <formula>SEARCH("DA CHIUDERE",$M20)&gt;0</formula>
    </cfRule>
    <cfRule type="expression" dxfId="4663" priority="324">
      <formula>SEARCH("INTERROTTO",$M20)&gt;0</formula>
    </cfRule>
  </conditionalFormatting>
  <conditionalFormatting sqref="G20">
    <cfRule type="expression" dxfId="4662" priority="313">
      <formula>SEARCH("IN CORSO",$M20)&gt;0</formula>
    </cfRule>
    <cfRule type="expression" dxfId="4661" priority="314">
      <formula>SEARCH("CHIUSO",$M20)&gt;0</formula>
    </cfRule>
    <cfRule type="expression" dxfId="4660" priority="315">
      <formula>SEARCH("EMESSO",$M20)&gt;0</formula>
    </cfRule>
    <cfRule type="expression" dxfId="4659" priority="316">
      <formula>SEARCH("RICHIESTO",$M20)&gt;0</formula>
    </cfRule>
    <cfRule type="expression" dxfId="4658" priority="317">
      <formula>SEARCH("DA CHIUDERE",$M20)&gt;0</formula>
    </cfRule>
    <cfRule type="expression" dxfId="4657" priority="318">
      <formula>SEARCH("INTERROTTO",$M20)&gt;0</formula>
    </cfRule>
  </conditionalFormatting>
  <conditionalFormatting sqref="M20">
    <cfRule type="expression" dxfId="4656" priority="307">
      <formula>SEARCH("IN CORSO",$M20)&gt;0</formula>
    </cfRule>
    <cfRule type="expression" dxfId="4655" priority="308">
      <formula>SEARCH("CHIUSO",$M20)&gt;0</formula>
    </cfRule>
    <cfRule type="expression" dxfId="4654" priority="309">
      <formula>SEARCH("EMESSO",$M20)&gt;0</formula>
    </cfRule>
    <cfRule type="expression" dxfId="4653" priority="310">
      <formula>SEARCH("RICHIESTO",$M20)&gt;0</formula>
    </cfRule>
    <cfRule type="expression" dxfId="4652" priority="311">
      <formula>SEARCH("DA CHIUDERE",$M20)&gt;0</formula>
    </cfRule>
    <cfRule type="expression" dxfId="4651" priority="312">
      <formula>SEARCH("INTERROTTO",$M20)&gt;0</formula>
    </cfRule>
  </conditionalFormatting>
  <conditionalFormatting sqref="E19:F19 N19:S19">
    <cfRule type="expression" dxfId="4650" priority="301">
      <formula>SEARCH("IN CORSO",$M19)&gt;0</formula>
    </cfRule>
    <cfRule type="expression" dxfId="4649" priority="302">
      <formula>SEARCH("CHIUSO",$M19)&gt;0</formula>
    </cfRule>
    <cfRule type="expression" dxfId="4648" priority="303">
      <formula>SEARCH("EMESSO",$M19)&gt;0</formula>
    </cfRule>
    <cfRule type="expression" dxfId="4647" priority="304">
      <formula>SEARCH("RICHIESTO",$M19)&gt;0</formula>
    </cfRule>
    <cfRule type="expression" dxfId="4646" priority="305">
      <formula>SEARCH("DA CHIUDERE",$M19)&gt;0</formula>
    </cfRule>
    <cfRule type="expression" dxfId="4645" priority="306">
      <formula>SEARCH("INTERROTTO",$M19)&gt;0</formula>
    </cfRule>
  </conditionalFormatting>
  <conditionalFormatting sqref="G19">
    <cfRule type="expression" dxfId="4644" priority="295">
      <formula>SEARCH("IN CORSO",$M19)&gt;0</formula>
    </cfRule>
    <cfRule type="expression" dxfId="4643" priority="296">
      <formula>SEARCH("CHIUSO",$M19)&gt;0</formula>
    </cfRule>
    <cfRule type="expression" dxfId="4642" priority="297">
      <formula>SEARCH("EMESSO",$M19)&gt;0</formula>
    </cfRule>
    <cfRule type="expression" dxfId="4641" priority="298">
      <formula>SEARCH("RICHIESTO",$M19)&gt;0</formula>
    </cfRule>
    <cfRule type="expression" dxfId="4640" priority="299">
      <formula>SEARCH("DA CHIUDERE",$M19)&gt;0</formula>
    </cfRule>
    <cfRule type="expression" dxfId="4639" priority="300">
      <formula>SEARCH("INTERROTTO",$M19)&gt;0</formula>
    </cfRule>
  </conditionalFormatting>
  <conditionalFormatting sqref="M19">
    <cfRule type="expression" dxfId="4638" priority="289">
      <formula>SEARCH("IN CORSO",$M19)&gt;0</formula>
    </cfRule>
    <cfRule type="expression" dxfId="4637" priority="290">
      <formula>SEARCH("CHIUSO",$M19)&gt;0</formula>
    </cfRule>
    <cfRule type="expression" dxfId="4636" priority="291">
      <formula>SEARCH("EMESSO",$M19)&gt;0</formula>
    </cfRule>
    <cfRule type="expression" dxfId="4635" priority="292">
      <formula>SEARCH("RICHIESTO",$M19)&gt;0</formula>
    </cfRule>
    <cfRule type="expression" dxfId="4634" priority="293">
      <formula>SEARCH("DA CHIUDERE",$M19)&gt;0</formula>
    </cfRule>
    <cfRule type="expression" dxfId="4633" priority="294">
      <formula>SEARCH("INTERROTTO",$M19)&gt;0</formula>
    </cfRule>
  </conditionalFormatting>
  <conditionalFormatting sqref="M40">
    <cfRule type="expression" dxfId="4632" priority="667">
      <formula>SEARCH("IN CORSO",$M40)&gt;0</formula>
    </cfRule>
    <cfRule type="expression" dxfId="4631" priority="668">
      <formula>SEARCH("CHIUSO",$M40)&gt;0</formula>
    </cfRule>
    <cfRule type="expression" dxfId="4630" priority="669">
      <formula>SEARCH("EMESSO",$M40)&gt;0</formula>
    </cfRule>
    <cfRule type="expression" dxfId="4629" priority="670">
      <formula>SEARCH("RICHIESTO",$M40)&gt;0</formula>
    </cfRule>
    <cfRule type="expression" dxfId="4628" priority="671">
      <formula>SEARCH("DA CHIUDERE",$M40)&gt;0</formula>
    </cfRule>
    <cfRule type="expression" dxfId="4627" priority="672">
      <formula>SEARCH("INTERROTTO",$M40)&gt;0</formula>
    </cfRule>
  </conditionalFormatting>
  <conditionalFormatting sqref="G39">
    <cfRule type="expression" dxfId="4626" priority="655">
      <formula>SEARCH("IN CORSO",$M39)&gt;0</formula>
    </cfRule>
    <cfRule type="expression" dxfId="4625" priority="656">
      <formula>SEARCH("CHIUSO",$M39)&gt;0</formula>
    </cfRule>
    <cfRule type="expression" dxfId="4624" priority="657">
      <formula>SEARCH("EMESSO",$M39)&gt;0</formula>
    </cfRule>
    <cfRule type="expression" dxfId="4623" priority="658">
      <formula>SEARCH("RICHIESTO",$M39)&gt;0</formula>
    </cfRule>
    <cfRule type="expression" dxfId="4622" priority="659">
      <formula>SEARCH("DA CHIUDERE",$M39)&gt;0</formula>
    </cfRule>
    <cfRule type="expression" dxfId="4621" priority="660">
      <formula>SEARCH("INTERROTTO",$M39)&gt;0</formula>
    </cfRule>
  </conditionalFormatting>
  <conditionalFormatting sqref="E39:F39 N39:S39">
    <cfRule type="expression" dxfId="4620" priority="661">
      <formula>SEARCH("IN CORSO",$M39)&gt;0</formula>
    </cfRule>
    <cfRule type="expression" dxfId="4619" priority="662">
      <formula>SEARCH("CHIUSO",$M39)&gt;0</formula>
    </cfRule>
    <cfRule type="expression" dxfId="4618" priority="663">
      <formula>SEARCH("EMESSO",$M39)&gt;0</formula>
    </cfRule>
    <cfRule type="expression" dxfId="4617" priority="664">
      <formula>SEARCH("RICHIESTO",$M39)&gt;0</formula>
    </cfRule>
    <cfRule type="expression" dxfId="4616" priority="665">
      <formula>SEARCH("DA CHIUDERE",$M39)&gt;0</formula>
    </cfRule>
    <cfRule type="expression" dxfId="4615" priority="666">
      <formula>SEARCH("INTERROTTO",$M39)&gt;0</formula>
    </cfRule>
  </conditionalFormatting>
  <conditionalFormatting sqref="G36">
    <cfRule type="expression" dxfId="4614" priority="601">
      <formula>SEARCH("IN CORSO",$M36)&gt;0</formula>
    </cfRule>
    <cfRule type="expression" dxfId="4613" priority="602">
      <formula>SEARCH("CHIUSO",$M36)&gt;0</formula>
    </cfRule>
    <cfRule type="expression" dxfId="4612" priority="603">
      <formula>SEARCH("EMESSO",$M36)&gt;0</formula>
    </cfRule>
    <cfRule type="expression" dxfId="4611" priority="604">
      <formula>SEARCH("RICHIESTO",$M36)&gt;0</formula>
    </cfRule>
    <cfRule type="expression" dxfId="4610" priority="605">
      <formula>SEARCH("DA CHIUDERE",$M36)&gt;0</formula>
    </cfRule>
    <cfRule type="expression" dxfId="4609" priority="606">
      <formula>SEARCH("INTERROTTO",$M36)&gt;0</formula>
    </cfRule>
  </conditionalFormatting>
  <conditionalFormatting sqref="G35">
    <cfRule type="expression" dxfId="4608" priority="583">
      <formula>SEARCH("IN CORSO",$M35)&gt;0</formula>
    </cfRule>
    <cfRule type="expression" dxfId="4607" priority="584">
      <formula>SEARCH("CHIUSO",$M35)&gt;0</formula>
    </cfRule>
    <cfRule type="expression" dxfId="4606" priority="585">
      <formula>SEARCH("EMESSO",$M35)&gt;0</formula>
    </cfRule>
    <cfRule type="expression" dxfId="4605" priority="586">
      <formula>SEARCH("RICHIESTO",$M35)&gt;0</formula>
    </cfRule>
    <cfRule type="expression" dxfId="4604" priority="587">
      <formula>SEARCH("DA CHIUDERE",$M35)&gt;0</formula>
    </cfRule>
    <cfRule type="expression" dxfId="4603" priority="588">
      <formula>SEARCH("INTERROTTO",$M35)&gt;0</formula>
    </cfRule>
  </conditionalFormatting>
  <conditionalFormatting sqref="G34">
    <cfRule type="expression" dxfId="4602" priority="565">
      <formula>SEARCH("IN CORSO",$M34)&gt;0</formula>
    </cfRule>
    <cfRule type="expression" dxfId="4601" priority="566">
      <formula>SEARCH("CHIUSO",$M34)&gt;0</formula>
    </cfRule>
    <cfRule type="expression" dxfId="4600" priority="567">
      <formula>SEARCH("EMESSO",$M34)&gt;0</formula>
    </cfRule>
    <cfRule type="expression" dxfId="4599" priority="568">
      <formula>SEARCH("RICHIESTO",$M34)&gt;0</formula>
    </cfRule>
    <cfRule type="expression" dxfId="4598" priority="569">
      <formula>SEARCH("DA CHIUDERE",$M34)&gt;0</formula>
    </cfRule>
    <cfRule type="expression" dxfId="4597" priority="570">
      <formula>SEARCH("INTERROTTO",$M34)&gt;0</formula>
    </cfRule>
  </conditionalFormatting>
  <conditionalFormatting sqref="M34">
    <cfRule type="expression" dxfId="4596" priority="559">
      <formula>SEARCH("IN CORSO",$M34)&gt;0</formula>
    </cfRule>
    <cfRule type="expression" dxfId="4595" priority="560">
      <formula>SEARCH("CHIUSO",$M34)&gt;0</formula>
    </cfRule>
    <cfRule type="expression" dxfId="4594" priority="561">
      <formula>SEARCH("EMESSO",$M34)&gt;0</formula>
    </cfRule>
    <cfRule type="expression" dxfId="4593" priority="562">
      <formula>SEARCH("RICHIESTO",$M34)&gt;0</formula>
    </cfRule>
    <cfRule type="expression" dxfId="4592" priority="563">
      <formula>SEARCH("DA CHIUDERE",$M34)&gt;0</formula>
    </cfRule>
    <cfRule type="expression" dxfId="4591" priority="564">
      <formula>SEARCH("INTERROTTO",$M34)&gt;0</formula>
    </cfRule>
  </conditionalFormatting>
  <conditionalFormatting sqref="G33">
    <cfRule type="expression" dxfId="4590" priority="547">
      <formula>SEARCH("IN CORSO",$M33)&gt;0</formula>
    </cfRule>
    <cfRule type="expression" dxfId="4589" priority="548">
      <formula>SEARCH("CHIUSO",$M33)&gt;0</formula>
    </cfRule>
    <cfRule type="expression" dxfId="4588" priority="549">
      <formula>SEARCH("EMESSO",$M33)&gt;0</formula>
    </cfRule>
    <cfRule type="expression" dxfId="4587" priority="550">
      <formula>SEARCH("RICHIESTO",$M33)&gt;0</formula>
    </cfRule>
    <cfRule type="expression" dxfId="4586" priority="551">
      <formula>SEARCH("DA CHIUDERE",$M33)&gt;0</formula>
    </cfRule>
    <cfRule type="expression" dxfId="4585" priority="552">
      <formula>SEARCH("INTERROTTO",$M33)&gt;0</formula>
    </cfRule>
  </conditionalFormatting>
  <conditionalFormatting sqref="E33:F33 N33:S33">
    <cfRule type="expression" dxfId="4584" priority="553">
      <formula>SEARCH("IN CORSO",$M33)&gt;0</formula>
    </cfRule>
    <cfRule type="expression" dxfId="4583" priority="554">
      <formula>SEARCH("CHIUSO",$M33)&gt;0</formula>
    </cfRule>
    <cfRule type="expression" dxfId="4582" priority="555">
      <formula>SEARCH("EMESSO",$M33)&gt;0</formula>
    </cfRule>
    <cfRule type="expression" dxfId="4581" priority="556">
      <formula>SEARCH("RICHIESTO",$M33)&gt;0</formula>
    </cfRule>
    <cfRule type="expression" dxfId="4580" priority="557">
      <formula>SEARCH("DA CHIUDERE",$M33)&gt;0</formula>
    </cfRule>
    <cfRule type="expression" dxfId="4579" priority="558">
      <formula>SEARCH("INTERROTTO",$M33)&gt;0</formula>
    </cfRule>
  </conditionalFormatting>
  <conditionalFormatting sqref="M23">
    <cfRule type="expression" dxfId="4578" priority="361">
      <formula>SEARCH("IN CORSO",$M23)&gt;0</formula>
    </cfRule>
    <cfRule type="expression" dxfId="4577" priority="362">
      <formula>SEARCH("CHIUSO",$M23)&gt;0</formula>
    </cfRule>
    <cfRule type="expression" dxfId="4576" priority="363">
      <formula>SEARCH("EMESSO",$M23)&gt;0</formula>
    </cfRule>
    <cfRule type="expression" dxfId="4575" priority="364">
      <formula>SEARCH("RICHIESTO",$M23)&gt;0</formula>
    </cfRule>
    <cfRule type="expression" dxfId="4574" priority="365">
      <formula>SEARCH("DA CHIUDERE",$M23)&gt;0</formula>
    </cfRule>
    <cfRule type="expression" dxfId="4573" priority="366">
      <formula>SEARCH("INTERROTTO",$M23)&gt;0</formula>
    </cfRule>
  </conditionalFormatting>
  <conditionalFormatting sqref="E18:F18 N18:S18">
    <cfRule type="expression" dxfId="4572" priority="283">
      <formula>SEARCH("IN CORSO",$M18)&gt;0</formula>
    </cfRule>
    <cfRule type="expression" dxfId="4571" priority="284">
      <formula>SEARCH("CHIUSO",$M18)&gt;0</formula>
    </cfRule>
    <cfRule type="expression" dxfId="4570" priority="285">
      <formula>SEARCH("EMESSO",$M18)&gt;0</formula>
    </cfRule>
    <cfRule type="expression" dxfId="4569" priority="286">
      <formula>SEARCH("RICHIESTO",$M18)&gt;0</formula>
    </cfRule>
    <cfRule type="expression" dxfId="4568" priority="287">
      <formula>SEARCH("DA CHIUDERE",$M18)&gt;0</formula>
    </cfRule>
    <cfRule type="expression" dxfId="4567" priority="288">
      <formula>SEARCH("INTERROTTO",$M18)&gt;0</formula>
    </cfRule>
  </conditionalFormatting>
  <conditionalFormatting sqref="G18">
    <cfRule type="expression" dxfId="4566" priority="277">
      <formula>SEARCH("IN CORSO",$M18)&gt;0</formula>
    </cfRule>
    <cfRule type="expression" dxfId="4565" priority="278">
      <formula>SEARCH("CHIUSO",$M18)&gt;0</formula>
    </cfRule>
    <cfRule type="expression" dxfId="4564" priority="279">
      <formula>SEARCH("EMESSO",$M18)&gt;0</formula>
    </cfRule>
    <cfRule type="expression" dxfId="4563" priority="280">
      <formula>SEARCH("RICHIESTO",$M18)&gt;0</formula>
    </cfRule>
    <cfRule type="expression" dxfId="4562" priority="281">
      <formula>SEARCH("DA CHIUDERE",$M18)&gt;0</formula>
    </cfRule>
    <cfRule type="expression" dxfId="4561" priority="282">
      <formula>SEARCH("INTERROTTO",$M18)&gt;0</formula>
    </cfRule>
  </conditionalFormatting>
  <conditionalFormatting sqref="M18">
    <cfRule type="expression" dxfId="4560" priority="271">
      <formula>SEARCH("IN CORSO",$M18)&gt;0</formula>
    </cfRule>
    <cfRule type="expression" dxfId="4559" priority="272">
      <formula>SEARCH("CHIUSO",$M18)&gt;0</formula>
    </cfRule>
    <cfRule type="expression" dxfId="4558" priority="273">
      <formula>SEARCH("EMESSO",$M18)&gt;0</formula>
    </cfRule>
    <cfRule type="expression" dxfId="4557" priority="274">
      <formula>SEARCH("RICHIESTO",$M18)&gt;0</formula>
    </cfRule>
    <cfRule type="expression" dxfId="4556" priority="275">
      <formula>SEARCH("DA CHIUDERE",$M18)&gt;0</formula>
    </cfRule>
    <cfRule type="expression" dxfId="4555" priority="276">
      <formula>SEARCH("INTERROTTO",$M18)&gt;0</formula>
    </cfRule>
  </conditionalFormatting>
  <conditionalFormatting sqref="E17:F17 N17:S17">
    <cfRule type="expression" dxfId="4554" priority="265">
      <formula>SEARCH("IN CORSO",$M17)&gt;0</formula>
    </cfRule>
    <cfRule type="expression" dxfId="4553" priority="266">
      <formula>SEARCH("CHIUSO",$M17)&gt;0</formula>
    </cfRule>
    <cfRule type="expression" dxfId="4552" priority="267">
      <formula>SEARCH("EMESSO",$M17)&gt;0</formula>
    </cfRule>
    <cfRule type="expression" dxfId="4551" priority="268">
      <formula>SEARCH("RICHIESTO",$M17)&gt;0</formula>
    </cfRule>
    <cfRule type="expression" dxfId="4550" priority="269">
      <formula>SEARCH("DA CHIUDERE",$M17)&gt;0</formula>
    </cfRule>
    <cfRule type="expression" dxfId="4549" priority="270">
      <formula>SEARCH("INTERROTTO",$M17)&gt;0</formula>
    </cfRule>
  </conditionalFormatting>
  <conditionalFormatting sqref="G17">
    <cfRule type="expression" dxfId="4548" priority="259">
      <formula>SEARCH("IN CORSO",$M17)&gt;0</formula>
    </cfRule>
    <cfRule type="expression" dxfId="4547" priority="260">
      <formula>SEARCH("CHIUSO",$M17)&gt;0</formula>
    </cfRule>
    <cfRule type="expression" dxfId="4546" priority="261">
      <formula>SEARCH("EMESSO",$M17)&gt;0</formula>
    </cfRule>
    <cfRule type="expression" dxfId="4545" priority="262">
      <formula>SEARCH("RICHIESTO",$M17)&gt;0</formula>
    </cfRule>
    <cfRule type="expression" dxfId="4544" priority="263">
      <formula>SEARCH("DA CHIUDERE",$M17)&gt;0</formula>
    </cfRule>
    <cfRule type="expression" dxfId="4543" priority="264">
      <formula>SEARCH("INTERROTTO",$M17)&gt;0</formula>
    </cfRule>
  </conditionalFormatting>
  <conditionalFormatting sqref="M17">
    <cfRule type="expression" dxfId="4542" priority="253">
      <formula>SEARCH("IN CORSO",$M17)&gt;0</formula>
    </cfRule>
    <cfRule type="expression" dxfId="4541" priority="254">
      <formula>SEARCH("CHIUSO",$M17)&gt;0</formula>
    </cfRule>
    <cfRule type="expression" dxfId="4540" priority="255">
      <formula>SEARCH("EMESSO",$M17)&gt;0</formula>
    </cfRule>
    <cfRule type="expression" dxfId="4539" priority="256">
      <formula>SEARCH("RICHIESTO",$M17)&gt;0</formula>
    </cfRule>
    <cfRule type="expression" dxfId="4538" priority="257">
      <formula>SEARCH("DA CHIUDERE",$M17)&gt;0</formula>
    </cfRule>
    <cfRule type="expression" dxfId="4537" priority="258">
      <formula>SEARCH("INTERROTTO",$M17)&gt;0</formula>
    </cfRule>
  </conditionalFormatting>
  <conditionalFormatting sqref="E16:F16 N16:S16">
    <cfRule type="expression" dxfId="4536" priority="247">
      <formula>SEARCH("IN CORSO",$M16)&gt;0</formula>
    </cfRule>
    <cfRule type="expression" dxfId="4535" priority="248">
      <formula>SEARCH("CHIUSO",$M16)&gt;0</formula>
    </cfRule>
    <cfRule type="expression" dxfId="4534" priority="249">
      <formula>SEARCH("EMESSO",$M16)&gt;0</formula>
    </cfRule>
    <cfRule type="expression" dxfId="4533" priority="250">
      <formula>SEARCH("RICHIESTO",$M16)&gt;0</formula>
    </cfRule>
    <cfRule type="expression" dxfId="4532" priority="251">
      <formula>SEARCH("DA CHIUDERE",$M16)&gt;0</formula>
    </cfRule>
    <cfRule type="expression" dxfId="4531" priority="252">
      <formula>SEARCH("INTERROTTO",$M16)&gt;0</formula>
    </cfRule>
  </conditionalFormatting>
  <conditionalFormatting sqref="G16">
    <cfRule type="expression" dxfId="4530" priority="241">
      <formula>SEARCH("IN CORSO",$M16)&gt;0</formula>
    </cfRule>
    <cfRule type="expression" dxfId="4529" priority="242">
      <formula>SEARCH("CHIUSO",$M16)&gt;0</formula>
    </cfRule>
    <cfRule type="expression" dxfId="4528" priority="243">
      <formula>SEARCH("EMESSO",$M16)&gt;0</formula>
    </cfRule>
    <cfRule type="expression" dxfId="4527" priority="244">
      <formula>SEARCH("RICHIESTO",$M16)&gt;0</formula>
    </cfRule>
    <cfRule type="expression" dxfId="4526" priority="245">
      <formula>SEARCH("DA CHIUDERE",$M16)&gt;0</formula>
    </cfRule>
    <cfRule type="expression" dxfId="4525" priority="246">
      <formula>SEARCH("INTERROTTO",$M16)&gt;0</formula>
    </cfRule>
  </conditionalFormatting>
  <conditionalFormatting sqref="M16">
    <cfRule type="expression" dxfId="4524" priority="235">
      <formula>SEARCH("IN CORSO",$M16)&gt;0</formula>
    </cfRule>
    <cfRule type="expression" dxfId="4523" priority="236">
      <formula>SEARCH("CHIUSO",$M16)&gt;0</formula>
    </cfRule>
    <cfRule type="expression" dxfId="4522" priority="237">
      <formula>SEARCH("EMESSO",$M16)&gt;0</formula>
    </cfRule>
    <cfRule type="expression" dxfId="4521" priority="238">
      <formula>SEARCH("RICHIESTO",$M16)&gt;0</formula>
    </cfRule>
    <cfRule type="expression" dxfId="4520" priority="239">
      <formula>SEARCH("DA CHIUDERE",$M16)&gt;0</formula>
    </cfRule>
    <cfRule type="expression" dxfId="4519" priority="240">
      <formula>SEARCH("INTERROTTO",$M16)&gt;0</formula>
    </cfRule>
  </conditionalFormatting>
  <conditionalFormatting sqref="E15:F15 N15:S15">
    <cfRule type="expression" dxfId="4518" priority="229">
      <formula>SEARCH("IN CORSO",$M15)&gt;0</formula>
    </cfRule>
    <cfRule type="expression" dxfId="4517" priority="230">
      <formula>SEARCH("CHIUSO",$M15)&gt;0</formula>
    </cfRule>
    <cfRule type="expression" dxfId="4516" priority="231">
      <formula>SEARCH("EMESSO",$M15)&gt;0</formula>
    </cfRule>
    <cfRule type="expression" dxfId="4515" priority="232">
      <formula>SEARCH("RICHIESTO",$M15)&gt;0</formula>
    </cfRule>
    <cfRule type="expression" dxfId="4514" priority="233">
      <formula>SEARCH("DA CHIUDERE",$M15)&gt;0</formula>
    </cfRule>
    <cfRule type="expression" dxfId="4513" priority="234">
      <formula>SEARCH("INTERROTTO",$M15)&gt;0</formula>
    </cfRule>
  </conditionalFormatting>
  <conditionalFormatting sqref="G15">
    <cfRule type="expression" dxfId="4512" priority="223">
      <formula>SEARCH("IN CORSO",$M15)&gt;0</formula>
    </cfRule>
    <cfRule type="expression" dxfId="4511" priority="224">
      <formula>SEARCH("CHIUSO",$M15)&gt;0</formula>
    </cfRule>
    <cfRule type="expression" dxfId="4510" priority="225">
      <formula>SEARCH("EMESSO",$M15)&gt;0</formula>
    </cfRule>
    <cfRule type="expression" dxfId="4509" priority="226">
      <formula>SEARCH("RICHIESTO",$M15)&gt;0</formula>
    </cfRule>
    <cfRule type="expression" dxfId="4508" priority="227">
      <formula>SEARCH("DA CHIUDERE",$M15)&gt;0</formula>
    </cfRule>
    <cfRule type="expression" dxfId="4507" priority="228">
      <formula>SEARCH("INTERROTTO",$M15)&gt;0</formula>
    </cfRule>
  </conditionalFormatting>
  <conditionalFormatting sqref="M15">
    <cfRule type="expression" dxfId="4506" priority="217">
      <formula>SEARCH("IN CORSO",$M15)&gt;0</formula>
    </cfRule>
    <cfRule type="expression" dxfId="4505" priority="218">
      <formula>SEARCH("CHIUSO",$M15)&gt;0</formula>
    </cfRule>
    <cfRule type="expression" dxfId="4504" priority="219">
      <formula>SEARCH("EMESSO",$M15)&gt;0</formula>
    </cfRule>
    <cfRule type="expression" dxfId="4503" priority="220">
      <formula>SEARCH("RICHIESTO",$M15)&gt;0</formula>
    </cfRule>
    <cfRule type="expression" dxfId="4502" priority="221">
      <formula>SEARCH("DA CHIUDERE",$M15)&gt;0</formula>
    </cfRule>
    <cfRule type="expression" dxfId="4501" priority="222">
      <formula>SEARCH("INTERROTTO",$M15)&gt;0</formula>
    </cfRule>
  </conditionalFormatting>
  <conditionalFormatting sqref="E14:F14 N14:S14">
    <cfRule type="expression" dxfId="4500" priority="211">
      <formula>SEARCH("IN CORSO",$M14)&gt;0</formula>
    </cfRule>
    <cfRule type="expression" dxfId="4499" priority="212">
      <formula>SEARCH("CHIUSO",$M14)&gt;0</formula>
    </cfRule>
    <cfRule type="expression" dxfId="4498" priority="213">
      <formula>SEARCH("EMESSO",$M14)&gt;0</formula>
    </cfRule>
    <cfRule type="expression" dxfId="4497" priority="214">
      <formula>SEARCH("RICHIESTO",$M14)&gt;0</formula>
    </cfRule>
    <cfRule type="expression" dxfId="4496" priority="215">
      <formula>SEARCH("DA CHIUDERE",$M14)&gt;0</formula>
    </cfRule>
    <cfRule type="expression" dxfId="4495" priority="216">
      <formula>SEARCH("INTERROTTO",$M14)&gt;0</formula>
    </cfRule>
  </conditionalFormatting>
  <conditionalFormatting sqref="G14">
    <cfRule type="expression" dxfId="4494" priority="205">
      <formula>SEARCH("IN CORSO",$M14)&gt;0</formula>
    </cfRule>
    <cfRule type="expression" dxfId="4493" priority="206">
      <formula>SEARCH("CHIUSO",$M14)&gt;0</formula>
    </cfRule>
    <cfRule type="expression" dxfId="4492" priority="207">
      <formula>SEARCH("EMESSO",$M14)&gt;0</formula>
    </cfRule>
    <cfRule type="expression" dxfId="4491" priority="208">
      <formula>SEARCH("RICHIESTO",$M14)&gt;0</formula>
    </cfRule>
    <cfRule type="expression" dxfId="4490" priority="209">
      <formula>SEARCH("DA CHIUDERE",$M14)&gt;0</formula>
    </cfRule>
    <cfRule type="expression" dxfId="4489" priority="210">
      <formula>SEARCH("INTERROTTO",$M14)&gt;0</formula>
    </cfRule>
  </conditionalFormatting>
  <conditionalFormatting sqref="M14">
    <cfRule type="expression" dxfId="4488" priority="199">
      <formula>SEARCH("IN CORSO",$M14)&gt;0</formula>
    </cfRule>
    <cfRule type="expression" dxfId="4487" priority="200">
      <formula>SEARCH("CHIUSO",$M14)&gt;0</formula>
    </cfRule>
    <cfRule type="expression" dxfId="4486" priority="201">
      <formula>SEARCH("EMESSO",$M14)&gt;0</formula>
    </cfRule>
    <cfRule type="expression" dxfId="4485" priority="202">
      <formula>SEARCH("RICHIESTO",$M14)&gt;0</formula>
    </cfRule>
    <cfRule type="expression" dxfId="4484" priority="203">
      <formula>SEARCH("DA CHIUDERE",$M14)&gt;0</formula>
    </cfRule>
    <cfRule type="expression" dxfId="4483" priority="204">
      <formula>SEARCH("INTERROTTO",$M14)&gt;0</formula>
    </cfRule>
  </conditionalFormatting>
  <conditionalFormatting sqref="E13:F13 N13:S13">
    <cfRule type="expression" dxfId="4482" priority="193">
      <formula>SEARCH("IN CORSO",$M13)&gt;0</formula>
    </cfRule>
    <cfRule type="expression" dxfId="4481" priority="194">
      <formula>SEARCH("CHIUSO",$M13)&gt;0</formula>
    </cfRule>
    <cfRule type="expression" dxfId="4480" priority="195">
      <formula>SEARCH("EMESSO",$M13)&gt;0</formula>
    </cfRule>
    <cfRule type="expression" dxfId="4479" priority="196">
      <formula>SEARCH("RICHIESTO",$M13)&gt;0</formula>
    </cfRule>
    <cfRule type="expression" dxfId="4478" priority="197">
      <formula>SEARCH("DA CHIUDERE",$M13)&gt;0</formula>
    </cfRule>
    <cfRule type="expression" dxfId="4477" priority="198">
      <formula>SEARCH("INTERROTTO",$M13)&gt;0</formula>
    </cfRule>
  </conditionalFormatting>
  <conditionalFormatting sqref="G13">
    <cfRule type="expression" dxfId="4476" priority="187">
      <formula>SEARCH("IN CORSO",$M13)&gt;0</formula>
    </cfRule>
    <cfRule type="expression" dxfId="4475" priority="188">
      <formula>SEARCH("CHIUSO",$M13)&gt;0</formula>
    </cfRule>
    <cfRule type="expression" dxfId="4474" priority="189">
      <formula>SEARCH("EMESSO",$M13)&gt;0</formula>
    </cfRule>
    <cfRule type="expression" dxfId="4473" priority="190">
      <formula>SEARCH("RICHIESTO",$M13)&gt;0</formula>
    </cfRule>
    <cfRule type="expression" dxfId="4472" priority="191">
      <formula>SEARCH("DA CHIUDERE",$M13)&gt;0</formula>
    </cfRule>
    <cfRule type="expression" dxfId="4471" priority="192">
      <formula>SEARCH("INTERROTTO",$M13)&gt;0</formula>
    </cfRule>
  </conditionalFormatting>
  <conditionalFormatting sqref="M13">
    <cfRule type="expression" dxfId="4470" priority="181">
      <formula>SEARCH("IN CORSO",$M13)&gt;0</formula>
    </cfRule>
    <cfRule type="expression" dxfId="4469" priority="182">
      <formula>SEARCH("CHIUSO",$M13)&gt;0</formula>
    </cfRule>
    <cfRule type="expression" dxfId="4468" priority="183">
      <formula>SEARCH("EMESSO",$M13)&gt;0</formula>
    </cfRule>
    <cfRule type="expression" dxfId="4467" priority="184">
      <formula>SEARCH("RICHIESTO",$M13)&gt;0</formula>
    </cfRule>
    <cfRule type="expression" dxfId="4466" priority="185">
      <formula>SEARCH("DA CHIUDERE",$M13)&gt;0</formula>
    </cfRule>
    <cfRule type="expression" dxfId="4465" priority="186">
      <formula>SEARCH("INTERROTTO",$M13)&gt;0</formula>
    </cfRule>
  </conditionalFormatting>
  <conditionalFormatting sqref="E12:F12 N12:S12">
    <cfRule type="expression" dxfId="4464" priority="175">
      <formula>SEARCH("IN CORSO",$M12)&gt;0</formula>
    </cfRule>
    <cfRule type="expression" dxfId="4463" priority="176">
      <formula>SEARCH("CHIUSO",$M12)&gt;0</formula>
    </cfRule>
    <cfRule type="expression" dxfId="4462" priority="177">
      <formula>SEARCH("EMESSO",$M12)&gt;0</formula>
    </cfRule>
    <cfRule type="expression" dxfId="4461" priority="178">
      <formula>SEARCH("RICHIESTO",$M12)&gt;0</formula>
    </cfRule>
    <cfRule type="expression" dxfId="4460" priority="179">
      <formula>SEARCH("DA CHIUDERE",$M12)&gt;0</formula>
    </cfRule>
    <cfRule type="expression" dxfId="4459" priority="180">
      <formula>SEARCH("INTERROTTO",$M12)&gt;0</formula>
    </cfRule>
  </conditionalFormatting>
  <conditionalFormatting sqref="G12">
    <cfRule type="expression" dxfId="4458" priority="169">
      <formula>SEARCH("IN CORSO",$M12)&gt;0</formula>
    </cfRule>
    <cfRule type="expression" dxfId="4457" priority="170">
      <formula>SEARCH("CHIUSO",$M12)&gt;0</formula>
    </cfRule>
    <cfRule type="expression" dxfId="4456" priority="171">
      <formula>SEARCH("EMESSO",$M12)&gt;0</formula>
    </cfRule>
    <cfRule type="expression" dxfId="4455" priority="172">
      <formula>SEARCH("RICHIESTO",$M12)&gt;0</formula>
    </cfRule>
    <cfRule type="expression" dxfId="4454" priority="173">
      <formula>SEARCH("DA CHIUDERE",$M12)&gt;0</formula>
    </cfRule>
    <cfRule type="expression" dxfId="4453" priority="174">
      <formula>SEARCH("INTERROTTO",$M12)&gt;0</formula>
    </cfRule>
  </conditionalFormatting>
  <conditionalFormatting sqref="M12">
    <cfRule type="expression" dxfId="4452" priority="163">
      <formula>SEARCH("IN CORSO",$M12)&gt;0</formula>
    </cfRule>
    <cfRule type="expression" dxfId="4451" priority="164">
      <formula>SEARCH("CHIUSO",$M12)&gt;0</formula>
    </cfRule>
    <cfRule type="expression" dxfId="4450" priority="165">
      <formula>SEARCH("EMESSO",$M12)&gt;0</formula>
    </cfRule>
    <cfRule type="expression" dxfId="4449" priority="166">
      <formula>SEARCH("RICHIESTO",$M12)&gt;0</formula>
    </cfRule>
    <cfRule type="expression" dxfId="4448" priority="167">
      <formula>SEARCH("DA CHIUDERE",$M12)&gt;0</formula>
    </cfRule>
    <cfRule type="expression" dxfId="4447" priority="168">
      <formula>SEARCH("INTERROTTO",$M12)&gt;0</formula>
    </cfRule>
  </conditionalFormatting>
  <conditionalFormatting sqref="E11:F11 N11:S11">
    <cfRule type="expression" dxfId="4446" priority="157">
      <formula>SEARCH("IN CORSO",$M11)&gt;0</formula>
    </cfRule>
    <cfRule type="expression" dxfId="4445" priority="158">
      <formula>SEARCH("CHIUSO",$M11)&gt;0</formula>
    </cfRule>
    <cfRule type="expression" dxfId="4444" priority="159">
      <formula>SEARCH("EMESSO",$M11)&gt;0</formula>
    </cfRule>
    <cfRule type="expression" dxfId="4443" priority="160">
      <formula>SEARCH("RICHIESTO",$M11)&gt;0</formula>
    </cfRule>
    <cfRule type="expression" dxfId="4442" priority="161">
      <formula>SEARCH("DA CHIUDERE",$M11)&gt;0</formula>
    </cfRule>
    <cfRule type="expression" dxfId="4441" priority="162">
      <formula>SEARCH("INTERROTTO",$M11)&gt;0</formula>
    </cfRule>
  </conditionalFormatting>
  <conditionalFormatting sqref="G11">
    <cfRule type="expression" dxfId="4440" priority="151">
      <formula>SEARCH("IN CORSO",$M11)&gt;0</formula>
    </cfRule>
    <cfRule type="expression" dxfId="4439" priority="152">
      <formula>SEARCH("CHIUSO",$M11)&gt;0</formula>
    </cfRule>
    <cfRule type="expression" dxfId="4438" priority="153">
      <formula>SEARCH("EMESSO",$M11)&gt;0</formula>
    </cfRule>
    <cfRule type="expression" dxfId="4437" priority="154">
      <formula>SEARCH("RICHIESTO",$M11)&gt;0</formula>
    </cfRule>
    <cfRule type="expression" dxfId="4436" priority="155">
      <formula>SEARCH("DA CHIUDERE",$M11)&gt;0</formula>
    </cfRule>
    <cfRule type="expression" dxfId="4435" priority="156">
      <formula>SEARCH("INTERROTTO",$M11)&gt;0</formula>
    </cfRule>
  </conditionalFormatting>
  <conditionalFormatting sqref="M11">
    <cfRule type="expression" dxfId="4434" priority="145">
      <formula>SEARCH("IN CORSO",$M11)&gt;0</formula>
    </cfRule>
    <cfRule type="expression" dxfId="4433" priority="146">
      <formula>SEARCH("CHIUSO",$M11)&gt;0</formula>
    </cfRule>
    <cfRule type="expression" dxfId="4432" priority="147">
      <formula>SEARCH("EMESSO",$M11)&gt;0</formula>
    </cfRule>
    <cfRule type="expression" dxfId="4431" priority="148">
      <formula>SEARCH("RICHIESTO",$M11)&gt;0</formula>
    </cfRule>
    <cfRule type="expression" dxfId="4430" priority="149">
      <formula>SEARCH("DA CHIUDERE",$M11)&gt;0</formula>
    </cfRule>
    <cfRule type="expression" dxfId="4429" priority="150">
      <formula>SEARCH("INTERROTTO",$M11)&gt;0</formula>
    </cfRule>
  </conditionalFormatting>
  <conditionalFormatting sqref="E10:F10 N10:S10">
    <cfRule type="expression" dxfId="4428" priority="139">
      <formula>SEARCH("IN CORSO",$M10)&gt;0</formula>
    </cfRule>
    <cfRule type="expression" dxfId="4427" priority="140">
      <formula>SEARCH("CHIUSO",$M10)&gt;0</formula>
    </cfRule>
    <cfRule type="expression" dxfId="4426" priority="141">
      <formula>SEARCH("EMESSO",$M10)&gt;0</formula>
    </cfRule>
    <cfRule type="expression" dxfId="4425" priority="142">
      <formula>SEARCH("RICHIESTO",$M10)&gt;0</formula>
    </cfRule>
    <cfRule type="expression" dxfId="4424" priority="143">
      <formula>SEARCH("DA CHIUDERE",$M10)&gt;0</formula>
    </cfRule>
    <cfRule type="expression" dxfId="4423" priority="144">
      <formula>SEARCH("INTERROTTO",$M10)&gt;0</formula>
    </cfRule>
  </conditionalFormatting>
  <conditionalFormatting sqref="G10">
    <cfRule type="expression" dxfId="4422" priority="133">
      <formula>SEARCH("IN CORSO",$M10)&gt;0</formula>
    </cfRule>
    <cfRule type="expression" dxfId="4421" priority="134">
      <formula>SEARCH("CHIUSO",$M10)&gt;0</formula>
    </cfRule>
    <cfRule type="expression" dxfId="4420" priority="135">
      <formula>SEARCH("EMESSO",$M10)&gt;0</formula>
    </cfRule>
    <cfRule type="expression" dxfId="4419" priority="136">
      <formula>SEARCH("RICHIESTO",$M10)&gt;0</formula>
    </cfRule>
    <cfRule type="expression" dxfId="4418" priority="137">
      <formula>SEARCH("DA CHIUDERE",$M10)&gt;0</formula>
    </cfRule>
    <cfRule type="expression" dxfId="4417" priority="138">
      <formula>SEARCH("INTERROTTO",$M10)&gt;0</formula>
    </cfRule>
  </conditionalFormatting>
  <conditionalFormatting sqref="M10">
    <cfRule type="expression" dxfId="4416" priority="127">
      <formula>SEARCH("IN CORSO",$M10)&gt;0</formula>
    </cfRule>
    <cfRule type="expression" dxfId="4415" priority="128">
      <formula>SEARCH("CHIUSO",$M10)&gt;0</formula>
    </cfRule>
    <cfRule type="expression" dxfId="4414" priority="129">
      <formula>SEARCH("EMESSO",$M10)&gt;0</formula>
    </cfRule>
    <cfRule type="expression" dxfId="4413" priority="130">
      <formula>SEARCH("RICHIESTO",$M10)&gt;0</formula>
    </cfRule>
    <cfRule type="expression" dxfId="4412" priority="131">
      <formula>SEARCH("DA CHIUDERE",$M10)&gt;0</formula>
    </cfRule>
    <cfRule type="expression" dxfId="4411" priority="132">
      <formula>SEARCH("INTERROTTO",$M10)&gt;0</formula>
    </cfRule>
  </conditionalFormatting>
  <conditionalFormatting sqref="E9:F9 N9:S9">
    <cfRule type="expression" dxfId="4410" priority="121">
      <formula>SEARCH("IN CORSO",$M9)&gt;0</formula>
    </cfRule>
    <cfRule type="expression" dxfId="4409" priority="122">
      <formula>SEARCH("CHIUSO",$M9)&gt;0</formula>
    </cfRule>
    <cfRule type="expression" dxfId="4408" priority="123">
      <formula>SEARCH("EMESSO",$M9)&gt;0</formula>
    </cfRule>
    <cfRule type="expression" dxfId="4407" priority="124">
      <formula>SEARCH("RICHIESTO",$M9)&gt;0</formula>
    </cfRule>
    <cfRule type="expression" dxfId="4406" priority="125">
      <formula>SEARCH("DA CHIUDERE",$M9)&gt;0</formula>
    </cfRule>
    <cfRule type="expression" dxfId="4405" priority="126">
      <formula>SEARCH("INTERROTTO",$M9)&gt;0</formula>
    </cfRule>
  </conditionalFormatting>
  <conditionalFormatting sqref="G9">
    <cfRule type="expression" dxfId="4404" priority="115">
      <formula>SEARCH("IN CORSO",$M9)&gt;0</formula>
    </cfRule>
    <cfRule type="expression" dxfId="4403" priority="116">
      <formula>SEARCH("CHIUSO",$M9)&gt;0</formula>
    </cfRule>
    <cfRule type="expression" dxfId="4402" priority="117">
      <formula>SEARCH("EMESSO",$M9)&gt;0</formula>
    </cfRule>
    <cfRule type="expression" dxfId="4401" priority="118">
      <formula>SEARCH("RICHIESTO",$M9)&gt;0</formula>
    </cfRule>
    <cfRule type="expression" dxfId="4400" priority="119">
      <formula>SEARCH("DA CHIUDERE",$M9)&gt;0</formula>
    </cfRule>
    <cfRule type="expression" dxfId="4399" priority="120">
      <formula>SEARCH("INTERROTTO",$M9)&gt;0</formula>
    </cfRule>
  </conditionalFormatting>
  <conditionalFormatting sqref="M9">
    <cfRule type="expression" dxfId="4398" priority="109">
      <formula>SEARCH("IN CORSO",$M9)&gt;0</formula>
    </cfRule>
    <cfRule type="expression" dxfId="4397" priority="110">
      <formula>SEARCH("CHIUSO",$M9)&gt;0</formula>
    </cfRule>
    <cfRule type="expression" dxfId="4396" priority="111">
      <formula>SEARCH("EMESSO",$M9)&gt;0</formula>
    </cfRule>
    <cfRule type="expression" dxfId="4395" priority="112">
      <formula>SEARCH("RICHIESTO",$M9)&gt;0</formula>
    </cfRule>
    <cfRule type="expression" dxfId="4394" priority="113">
      <formula>SEARCH("DA CHIUDERE",$M9)&gt;0</formula>
    </cfRule>
    <cfRule type="expression" dxfId="4393" priority="114">
      <formula>SEARCH("INTERROTTO",$M9)&gt;0</formula>
    </cfRule>
  </conditionalFormatting>
  <conditionalFormatting sqref="E8:F8 N8:S8">
    <cfRule type="expression" dxfId="4392" priority="103">
      <formula>SEARCH("IN CORSO",$M8)&gt;0</formula>
    </cfRule>
    <cfRule type="expression" dxfId="4391" priority="104">
      <formula>SEARCH("CHIUSO",$M8)&gt;0</formula>
    </cfRule>
    <cfRule type="expression" dxfId="4390" priority="105">
      <formula>SEARCH("EMESSO",$M8)&gt;0</formula>
    </cfRule>
    <cfRule type="expression" dxfId="4389" priority="106">
      <formula>SEARCH("RICHIESTO",$M8)&gt;0</formula>
    </cfRule>
    <cfRule type="expression" dxfId="4388" priority="107">
      <formula>SEARCH("DA CHIUDERE",$M8)&gt;0</formula>
    </cfRule>
    <cfRule type="expression" dxfId="4387" priority="108">
      <formula>SEARCH("INTERROTTO",$M8)&gt;0</formula>
    </cfRule>
  </conditionalFormatting>
  <conditionalFormatting sqref="G8">
    <cfRule type="expression" dxfId="4386" priority="97">
      <formula>SEARCH("IN CORSO",$M8)&gt;0</formula>
    </cfRule>
    <cfRule type="expression" dxfId="4385" priority="98">
      <formula>SEARCH("CHIUSO",$M8)&gt;0</formula>
    </cfRule>
    <cfRule type="expression" dxfId="4384" priority="99">
      <formula>SEARCH("EMESSO",$M8)&gt;0</formula>
    </cfRule>
    <cfRule type="expression" dxfId="4383" priority="100">
      <formula>SEARCH("RICHIESTO",$M8)&gt;0</formula>
    </cfRule>
    <cfRule type="expression" dxfId="4382" priority="101">
      <formula>SEARCH("DA CHIUDERE",$M8)&gt;0</formula>
    </cfRule>
    <cfRule type="expression" dxfId="4381" priority="102">
      <formula>SEARCH("INTERROTTO",$M8)&gt;0</formula>
    </cfRule>
  </conditionalFormatting>
  <conditionalFormatting sqref="M8">
    <cfRule type="expression" dxfId="4380" priority="91">
      <formula>SEARCH("IN CORSO",$M8)&gt;0</formula>
    </cfRule>
    <cfRule type="expression" dxfId="4379" priority="92">
      <formula>SEARCH("CHIUSO",$M8)&gt;0</formula>
    </cfRule>
    <cfRule type="expression" dxfId="4378" priority="93">
      <formula>SEARCH("EMESSO",$M8)&gt;0</formula>
    </cfRule>
    <cfRule type="expression" dxfId="4377" priority="94">
      <formula>SEARCH("RICHIESTO",$M8)&gt;0</formula>
    </cfRule>
    <cfRule type="expression" dxfId="4376" priority="95">
      <formula>SEARCH("DA CHIUDERE",$M8)&gt;0</formula>
    </cfRule>
    <cfRule type="expression" dxfId="4375" priority="96">
      <formula>SEARCH("INTERROTTO",$M8)&gt;0</formula>
    </cfRule>
  </conditionalFormatting>
  <conditionalFormatting sqref="E7:F7 N7:S7">
    <cfRule type="expression" dxfId="4374" priority="67">
      <formula>SEARCH("IN CORSO",$M7)&gt;0</formula>
    </cfRule>
    <cfRule type="expression" dxfId="4373" priority="68">
      <formula>SEARCH("CHIUSO",$M7)&gt;0</formula>
    </cfRule>
    <cfRule type="expression" dxfId="4372" priority="69">
      <formula>SEARCH("EMESSO",$M7)&gt;0</formula>
    </cfRule>
    <cfRule type="expression" dxfId="4371" priority="70">
      <formula>SEARCH("RICHIESTO",$M7)&gt;0</formula>
    </cfRule>
    <cfRule type="expression" dxfId="4370" priority="71">
      <formula>SEARCH("DA CHIUDERE",$M7)&gt;0</formula>
    </cfRule>
    <cfRule type="expression" dxfId="4369" priority="72">
      <formula>SEARCH("INTERROTTO",$M7)&gt;0</formula>
    </cfRule>
  </conditionalFormatting>
  <conditionalFormatting sqref="G7">
    <cfRule type="expression" dxfId="4368" priority="61">
      <formula>SEARCH("IN CORSO",$M7)&gt;0</formula>
    </cfRule>
    <cfRule type="expression" dxfId="4367" priority="62">
      <formula>SEARCH("CHIUSO",$M7)&gt;0</formula>
    </cfRule>
    <cfRule type="expression" dxfId="4366" priority="63">
      <formula>SEARCH("EMESSO",$M7)&gt;0</formula>
    </cfRule>
    <cfRule type="expression" dxfId="4365" priority="64">
      <formula>SEARCH("RICHIESTO",$M7)&gt;0</formula>
    </cfRule>
    <cfRule type="expression" dxfId="4364" priority="65">
      <formula>SEARCH("DA CHIUDERE",$M7)&gt;0</formula>
    </cfRule>
    <cfRule type="expression" dxfId="4363" priority="66">
      <formula>SEARCH("INTERROTTO",$M7)&gt;0</formula>
    </cfRule>
  </conditionalFormatting>
  <conditionalFormatting sqref="M7">
    <cfRule type="expression" dxfId="4362" priority="55">
      <formula>SEARCH("IN CORSO",$M7)&gt;0</formula>
    </cfRule>
    <cfRule type="expression" dxfId="4361" priority="56">
      <formula>SEARCH("CHIUSO",$M7)&gt;0</formula>
    </cfRule>
    <cfRule type="expression" dxfId="4360" priority="57">
      <formula>SEARCH("EMESSO",$M7)&gt;0</formula>
    </cfRule>
    <cfRule type="expression" dxfId="4359" priority="58">
      <formula>SEARCH("RICHIESTO",$M7)&gt;0</formula>
    </cfRule>
    <cfRule type="expression" dxfId="4358" priority="59">
      <formula>SEARCH("DA CHIUDERE",$M7)&gt;0</formula>
    </cfRule>
    <cfRule type="expression" dxfId="4357" priority="60">
      <formula>SEARCH("INTERROTTO",$M7)&gt;0</formula>
    </cfRule>
  </conditionalFormatting>
  <conditionalFormatting sqref="E6:F6 N6:S6">
    <cfRule type="expression" dxfId="4356" priority="49">
      <formula>SEARCH("IN CORSO",$M6)&gt;0</formula>
    </cfRule>
    <cfRule type="expression" dxfId="4355" priority="50">
      <formula>SEARCH("CHIUSO",$M6)&gt;0</formula>
    </cfRule>
    <cfRule type="expression" dxfId="4354" priority="51">
      <formula>SEARCH("EMESSO",$M6)&gt;0</formula>
    </cfRule>
    <cfRule type="expression" dxfId="4353" priority="52">
      <formula>SEARCH("RICHIESTO",$M6)&gt;0</formula>
    </cfRule>
    <cfRule type="expression" dxfId="4352" priority="53">
      <formula>SEARCH("DA CHIUDERE",$M6)&gt;0</formula>
    </cfRule>
    <cfRule type="expression" dxfId="4351" priority="54">
      <formula>SEARCH("INTERROTTO",$M6)&gt;0</formula>
    </cfRule>
  </conditionalFormatting>
  <conditionalFormatting sqref="G6">
    <cfRule type="expression" dxfId="4350" priority="43">
      <formula>SEARCH("IN CORSO",$M6)&gt;0</formula>
    </cfRule>
    <cfRule type="expression" dxfId="4349" priority="44">
      <formula>SEARCH("CHIUSO",$M6)&gt;0</formula>
    </cfRule>
    <cfRule type="expression" dxfId="4348" priority="45">
      <formula>SEARCH("EMESSO",$M6)&gt;0</formula>
    </cfRule>
    <cfRule type="expression" dxfId="4347" priority="46">
      <formula>SEARCH("RICHIESTO",$M6)&gt;0</formula>
    </cfRule>
    <cfRule type="expression" dxfId="4346" priority="47">
      <formula>SEARCH("DA CHIUDERE",$M6)&gt;0</formula>
    </cfRule>
    <cfRule type="expression" dxfId="4345" priority="48">
      <formula>SEARCH("INTERROTTO",$M6)&gt;0</formula>
    </cfRule>
  </conditionalFormatting>
  <conditionalFormatting sqref="M6">
    <cfRule type="expression" dxfId="4344" priority="37">
      <formula>SEARCH("IN CORSO",$M6)&gt;0</formula>
    </cfRule>
    <cfRule type="expression" dxfId="4343" priority="38">
      <formula>SEARCH("CHIUSO",$M6)&gt;0</formula>
    </cfRule>
    <cfRule type="expression" dxfId="4342" priority="39">
      <formula>SEARCH("EMESSO",$M6)&gt;0</formula>
    </cfRule>
    <cfRule type="expression" dxfId="4341" priority="40">
      <formula>SEARCH("RICHIESTO",$M6)&gt;0</formula>
    </cfRule>
    <cfRule type="expression" dxfId="4340" priority="41">
      <formula>SEARCH("DA CHIUDERE",$M6)&gt;0</formula>
    </cfRule>
    <cfRule type="expression" dxfId="4339" priority="42">
      <formula>SEARCH("INTERROTTO",$M6)&gt;0</formula>
    </cfRule>
  </conditionalFormatting>
  <conditionalFormatting sqref="E5:F5 N5:S5">
    <cfRule type="expression" dxfId="4338" priority="31">
      <formula>SEARCH("IN CORSO",$M5)&gt;0</formula>
    </cfRule>
    <cfRule type="expression" dxfId="4337" priority="32">
      <formula>SEARCH("CHIUSO",$M5)&gt;0</formula>
    </cfRule>
    <cfRule type="expression" dxfId="4336" priority="33">
      <formula>SEARCH("EMESSO",$M5)&gt;0</formula>
    </cfRule>
    <cfRule type="expression" dxfId="4335" priority="34">
      <formula>SEARCH("RICHIESTO",$M5)&gt;0</formula>
    </cfRule>
    <cfRule type="expression" dxfId="4334" priority="35">
      <formula>SEARCH("DA CHIUDERE",$M5)&gt;0</formula>
    </cfRule>
    <cfRule type="expression" dxfId="4333" priority="36">
      <formula>SEARCH("INTERROTTO",$M5)&gt;0</formula>
    </cfRule>
  </conditionalFormatting>
  <conditionalFormatting sqref="G5">
    <cfRule type="expression" dxfId="4332" priority="25">
      <formula>SEARCH("IN CORSO",$M5)&gt;0</formula>
    </cfRule>
    <cfRule type="expression" dxfId="4331" priority="26">
      <formula>SEARCH("CHIUSO",$M5)&gt;0</formula>
    </cfRule>
    <cfRule type="expression" dxfId="4330" priority="27">
      <formula>SEARCH("EMESSO",$M5)&gt;0</formula>
    </cfRule>
    <cfRule type="expression" dxfId="4329" priority="28">
      <formula>SEARCH("RICHIESTO",$M5)&gt;0</formula>
    </cfRule>
    <cfRule type="expression" dxfId="4328" priority="29">
      <formula>SEARCH("DA CHIUDERE",$M5)&gt;0</formula>
    </cfRule>
    <cfRule type="expression" dxfId="4327" priority="30">
      <formula>SEARCH("INTERROTTO",$M5)&gt;0</formula>
    </cfRule>
  </conditionalFormatting>
  <conditionalFormatting sqref="M5">
    <cfRule type="expression" dxfId="4326" priority="19">
      <formula>SEARCH("IN CORSO",$M5)&gt;0</formula>
    </cfRule>
    <cfRule type="expression" dxfId="4325" priority="20">
      <formula>SEARCH("CHIUSO",$M5)&gt;0</formula>
    </cfRule>
    <cfRule type="expression" dxfId="4324" priority="21">
      <formula>SEARCH("EMESSO",$M5)&gt;0</formula>
    </cfRule>
    <cfRule type="expression" dxfId="4323" priority="22">
      <formula>SEARCH("RICHIESTO",$M5)&gt;0</formula>
    </cfRule>
    <cfRule type="expression" dxfId="4322" priority="23">
      <formula>SEARCH("DA CHIUDERE",$M5)&gt;0</formula>
    </cfRule>
    <cfRule type="expression" dxfId="4321" priority="24">
      <formula>SEARCH("INTERROTTO",$M5)&gt;0</formula>
    </cfRule>
  </conditionalFormatting>
  <conditionalFormatting sqref="E4:F4 N4:S4">
    <cfRule type="expression" dxfId="4320" priority="13">
      <formula>SEARCH("IN CORSO",$M4)&gt;0</formula>
    </cfRule>
    <cfRule type="expression" dxfId="4319" priority="14">
      <formula>SEARCH("CHIUSO",$M4)&gt;0</formula>
    </cfRule>
    <cfRule type="expression" dxfId="4318" priority="15">
      <formula>SEARCH("EMESSO",$M4)&gt;0</formula>
    </cfRule>
    <cfRule type="expression" dxfId="4317" priority="16">
      <formula>SEARCH("RICHIESTO",$M4)&gt;0</formula>
    </cfRule>
    <cfRule type="expression" dxfId="4316" priority="17">
      <formula>SEARCH("DA CHIUDERE",$M4)&gt;0</formula>
    </cfRule>
    <cfRule type="expression" dxfId="4315" priority="18">
      <formula>SEARCH("INTERROTTO",$M4)&gt;0</formula>
    </cfRule>
  </conditionalFormatting>
  <conditionalFormatting sqref="G4">
    <cfRule type="expression" dxfId="4314" priority="7">
      <formula>SEARCH("IN CORSO",$M4)&gt;0</formula>
    </cfRule>
    <cfRule type="expression" dxfId="4313" priority="8">
      <formula>SEARCH("CHIUSO",$M4)&gt;0</formula>
    </cfRule>
    <cfRule type="expression" dxfId="4312" priority="9">
      <formula>SEARCH("EMESSO",$M4)&gt;0</formula>
    </cfRule>
    <cfRule type="expression" dxfId="4311" priority="10">
      <formula>SEARCH("RICHIESTO",$M4)&gt;0</formula>
    </cfRule>
    <cfRule type="expression" dxfId="4310" priority="11">
      <formula>SEARCH("DA CHIUDERE",$M4)&gt;0</formula>
    </cfRule>
    <cfRule type="expression" dxfId="4309" priority="12">
      <formula>SEARCH("INTERROTTO",$M4)&gt;0</formula>
    </cfRule>
  </conditionalFormatting>
  <conditionalFormatting sqref="M4">
    <cfRule type="expression" dxfId="4308" priority="1">
      <formula>SEARCH("IN CORSO",$M4)&gt;0</formula>
    </cfRule>
    <cfRule type="expression" dxfId="4307" priority="2">
      <formula>SEARCH("CHIUSO",$M4)&gt;0</formula>
    </cfRule>
    <cfRule type="expression" dxfId="4306" priority="3">
      <formula>SEARCH("EMESSO",$M4)&gt;0</formula>
    </cfRule>
    <cfRule type="expression" dxfId="4305" priority="4">
      <formula>SEARCH("RICHIESTO",$M4)&gt;0</formula>
    </cfRule>
    <cfRule type="expression" dxfId="4304" priority="5">
      <formula>SEARCH("DA CHIUDERE",$M4)&gt;0</formula>
    </cfRule>
    <cfRule type="expression" dxfId="4303" priority="6">
      <formula>SEARCH("INTERROTTO",$M4)&gt;0</formula>
    </cfRule>
  </conditionalFormatting>
  <dataValidations count="1">
    <dataValidation type="list" allowBlank="1" sqref="M131:M487" xr:uid="{C2554F54-28B0-4355-9A75-E264466AA567}">
      <formula1>"RICHIESTO,EMESSO,IN CORSO,INTERROTTO,DA CHIUDERE,SCADUTO,CHIUSO,DA ATTENZIONARE,"</formula1>
    </dataValidation>
  </dataValidations>
  <printOptions horizontalCentered="1"/>
  <pageMargins left="0" right="0" top="0" bottom="0" header="0" footer="0"/>
  <pageSetup paperSize="9" scale="87" fitToHeight="0" orientation="landscape" horizontalDpi="1200" verticalDpi="1200" r:id="rId1"/>
  <colBreaks count="1" manualBreakCount="1">
    <brk id="1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9423" r:id="rId4" name="Button 751">
              <controlPr defaultSize="0" print="0" autoFill="0" autoPict="0" macro="[0]!AggiungiRiga">
                <anchor moveWithCells="1" sizeWithCells="1">
                  <from>
                    <xdr:col>0</xdr:col>
                    <xdr:colOff>9525</xdr:colOff>
                    <xdr:row>0</xdr:row>
                    <xdr:rowOff>1047750</xdr:rowOff>
                  </from>
                  <to>
                    <xdr:col>3</xdr:col>
                    <xdr:colOff>466725</xdr:colOff>
                    <xdr:row>0</xdr:row>
                    <xdr:rowOff>1314450</xdr:rowOff>
                  </to>
                </anchor>
              </controlPr>
            </control>
          </mc:Choice>
        </mc:AlternateContent>
        <mc:AlternateContent xmlns:mc="http://schemas.openxmlformats.org/markup-compatibility/2006">
          <mc:Choice Requires="x14">
            <control shapeId="90892" r:id="rId5" name="Button 3852">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90893" r:id="rId6" name="Button 3853">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90894" r:id="rId7" name="Button 3854">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90895" r:id="rId8" name="Button 3855">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90896" r:id="rId9" name="Button 3856">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90903" r:id="rId10" name="Button 3863">
              <controlPr defaultSize="0" print="0" autoFill="0" autoPict="0" macro="[0]!FiltraProgrSettimana">
                <anchor moveWithCells="1" sizeWithCells="1">
                  <from>
                    <xdr:col>12</xdr:col>
                    <xdr:colOff>19050</xdr:colOff>
                    <xdr:row>0</xdr:row>
                    <xdr:rowOff>1466850</xdr:rowOff>
                  </from>
                  <to>
                    <xdr:col>12</xdr:col>
                    <xdr:colOff>1038225</xdr:colOff>
                    <xdr:row>2</xdr:row>
                    <xdr:rowOff>9525</xdr:rowOff>
                  </to>
                </anchor>
              </controlPr>
            </control>
          </mc:Choice>
        </mc:AlternateContent>
        <mc:AlternateContent xmlns:mc="http://schemas.openxmlformats.org/markup-compatibility/2006">
          <mc:Choice Requires="x14">
            <control shapeId="90904" r:id="rId11" name="Button 3864">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90906" r:id="rId12" name="Button 3866">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118615" r:id="rId13" name="Button 4951">
              <controlPr defaultSize="0" print="0" autoFill="0" autoPict="0" macro="[0]!FiltraPdlDaProcessare">
                <anchor moveWithCells="1" sizeWithCells="1">
                  <from>
                    <xdr:col>12</xdr:col>
                    <xdr:colOff>19050</xdr:colOff>
                    <xdr:row>0</xdr:row>
                    <xdr:rowOff>276225</xdr:rowOff>
                  </from>
                  <to>
                    <xdr:col>12</xdr:col>
                    <xdr:colOff>1047750</xdr:colOff>
                    <xdr:row>0</xdr:row>
                    <xdr:rowOff>514350</xdr:rowOff>
                  </to>
                </anchor>
              </controlPr>
            </control>
          </mc:Choice>
        </mc:AlternateContent>
        <mc:AlternateContent xmlns:mc="http://schemas.openxmlformats.org/markup-compatibility/2006">
          <mc:Choice Requires="x14">
            <control shapeId="118616" r:id="rId14" name="Button 4952">
              <controlPr defaultSize="0" print="0" autoFill="0" autoPict="0" macro="[0]!FiltraAttivitaManutenzione">
                <anchor moveWithCells="1" sizeWithCells="1">
                  <from>
                    <xdr:col>12</xdr:col>
                    <xdr:colOff>19050</xdr:colOff>
                    <xdr:row>0</xdr:row>
                    <xdr:rowOff>838200</xdr:rowOff>
                  </from>
                  <to>
                    <xdr:col>12</xdr:col>
                    <xdr:colOff>1047750</xdr:colOff>
                    <xdr:row>0</xdr:row>
                    <xdr:rowOff>1085850</xdr:rowOff>
                  </to>
                </anchor>
              </controlPr>
            </control>
          </mc:Choice>
        </mc:AlternateContent>
        <mc:AlternateContent xmlns:mc="http://schemas.openxmlformats.org/markup-compatibility/2006">
          <mc:Choice Requires="x14">
            <control shapeId="118617" r:id="rId15" name="Button 4953">
              <controlPr defaultSize="0" print="0" autoFill="0" autoPict="0" macro="[0]!FiltraAttivitaFermata">
                <anchor moveWithCells="1" sizeWithCells="1">
                  <from>
                    <xdr:col>12</xdr:col>
                    <xdr:colOff>19050</xdr:colOff>
                    <xdr:row>0</xdr:row>
                    <xdr:rowOff>561975</xdr:rowOff>
                  </from>
                  <to>
                    <xdr:col>12</xdr:col>
                    <xdr:colOff>1047750</xdr:colOff>
                    <xdr:row>0</xdr:row>
                    <xdr:rowOff>800100</xdr:rowOff>
                  </to>
                </anchor>
              </controlPr>
            </control>
          </mc:Choice>
        </mc:AlternateContent>
        <mc:AlternateContent xmlns:mc="http://schemas.openxmlformats.org/markup-compatibility/2006">
          <mc:Choice Requires="x14">
            <control shapeId="118618" r:id="rId16" name="Button 4954">
              <controlPr defaultSize="0" print="0" autoFill="0" autoPict="0" macro="[0]!FiltraAttivitaDesiderata">
                <anchor moveWithCells="1" sizeWithCells="1">
                  <from>
                    <xdr:col>12</xdr:col>
                    <xdr:colOff>28575</xdr:colOff>
                    <xdr:row>0</xdr:row>
                    <xdr:rowOff>1219200</xdr:rowOff>
                  </from>
                  <to>
                    <xdr:col>13</xdr:col>
                    <xdr:colOff>9525</xdr:colOff>
                    <xdr:row>0</xdr:row>
                    <xdr:rowOff>1457325</xdr:rowOff>
                  </to>
                </anchor>
              </controlPr>
            </control>
          </mc:Choice>
        </mc:AlternateContent>
      </controls>
    </mc:Choice>
  </mc:AlternateContent>
  <tableParts count="1">
    <tablePart r:id="rId1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oglio4">
    <tabColor theme="3"/>
    <pageSetUpPr fitToPage="1"/>
  </sheetPr>
  <dimension ref="A1:V33"/>
  <sheetViews>
    <sheetView topLeftCell="B1" zoomScale="85" zoomScaleNormal="85" workbookViewId="0">
      <selection activeCell="A4" sqref="A4:U28"/>
    </sheetView>
  </sheetViews>
  <sheetFormatPr defaultColWidth="7.75" defaultRowHeight="15" x14ac:dyDescent="0.25"/>
  <cols>
    <col min="1" max="1" width="3.125" style="3" customWidth="1"/>
    <col min="2" max="2" width="3.125" style="1" customWidth="1"/>
    <col min="3" max="3" width="3.125" style="4" customWidth="1"/>
    <col min="4" max="4" width="7.75" style="5" bestFit="1" customWidth="1"/>
    <col min="5" max="5" width="9" style="5" customWidth="1"/>
    <col min="6" max="6" width="7.5" style="5" customWidth="1"/>
    <col min="7" max="7" width="70.625" style="5" customWidth="1"/>
    <col min="8" max="9" width="9.125" style="5" customWidth="1"/>
    <col min="10" max="11" width="9.125" style="4" customWidth="1"/>
    <col min="12" max="12" width="9.125" style="6" customWidth="1"/>
    <col min="13" max="13" width="13.75" style="6" customWidth="1"/>
    <col min="14" max="16" width="6.375" style="7" customWidth="1"/>
    <col min="17" max="17" width="55.625" style="7" customWidth="1"/>
    <col min="18" max="18" width="13.625" style="7" bestFit="1" customWidth="1"/>
    <col min="19" max="19" width="13.125" style="7" customWidth="1"/>
    <col min="20" max="20" width="3.125" style="7" customWidth="1"/>
    <col min="21" max="21" width="8.5" style="7" customWidth="1"/>
    <col min="22" max="22" width="17.125" style="7" bestFit="1" customWidth="1"/>
    <col min="23" max="28" width="8.5" style="7" customWidth="1"/>
    <col min="29" max="16384" width="7.75" style="7"/>
  </cols>
  <sheetData>
    <row r="1" spans="1:22" ht="128.1" customHeight="1" x14ac:dyDescent="0.35">
      <c r="A1" s="193"/>
      <c r="B1" s="193"/>
      <c r="C1" s="193"/>
      <c r="D1" s="193"/>
      <c r="G1" s="10"/>
      <c r="L1" s="19"/>
      <c r="M1" s="39" t="s">
        <v>55</v>
      </c>
      <c r="Q1" s="39" t="s">
        <v>56</v>
      </c>
    </row>
    <row r="2" spans="1:22" ht="21" x14ac:dyDescent="0.35">
      <c r="A2" s="7"/>
      <c r="B2" s="7"/>
      <c r="C2" s="7"/>
      <c r="D2" s="7"/>
      <c r="E2" s="17" t="s">
        <v>13</v>
      </c>
      <c r="F2" s="10">
        <f>'Inserimento dati'!B5</f>
        <v>2025</v>
      </c>
      <c r="G2" s="38" t="str">
        <f ca="1">"REDATTO IL " &amp; TEXT(INDIRECT("'Inserimento dati'!B3"), "gg/mm/aaaa")</f>
        <v>REDATTO IL 25/10/2025</v>
      </c>
      <c r="H2" s="11">
        <f ca="1">INDIRECT("'Inserimento dati'!B1")</f>
        <v>45957</v>
      </c>
      <c r="I2" s="11">
        <f ca="1">H2 + 1</f>
        <v>45958</v>
      </c>
      <c r="J2" s="11">
        <f ca="1">I2 + 1</f>
        <v>45959</v>
      </c>
      <c r="K2" s="11">
        <f ca="1">J2 + 1</f>
        <v>45960</v>
      </c>
      <c r="L2" s="11">
        <f ca="1">K2 + 1</f>
        <v>45961</v>
      </c>
      <c r="M2" s="19"/>
      <c r="N2" s="194" t="s">
        <v>50</v>
      </c>
      <c r="O2" s="194"/>
      <c r="P2" s="194"/>
      <c r="Q2" s="21"/>
    </row>
    <row r="3" spans="1:22" s="13" customFormat="1" ht="38.25" x14ac:dyDescent="0.2">
      <c r="A3" s="114" t="s">
        <v>53</v>
      </c>
      <c r="B3" s="115" t="s">
        <v>54</v>
      </c>
      <c r="C3" s="122" t="s">
        <v>32</v>
      </c>
      <c r="D3" s="119" t="s">
        <v>0</v>
      </c>
      <c r="E3" s="119" t="s">
        <v>1</v>
      </c>
      <c r="F3" s="119" t="s">
        <v>2</v>
      </c>
      <c r="G3" s="119" t="s">
        <v>16</v>
      </c>
      <c r="H3" s="117" t="s">
        <v>3</v>
      </c>
      <c r="I3" s="117" t="s">
        <v>4</v>
      </c>
      <c r="J3" s="117" t="s">
        <v>5</v>
      </c>
      <c r="K3" s="117" t="s">
        <v>6</v>
      </c>
      <c r="L3" s="117" t="s">
        <v>7</v>
      </c>
      <c r="M3" s="117" t="s">
        <v>18</v>
      </c>
      <c r="N3" s="117" t="s">
        <v>39</v>
      </c>
      <c r="O3" s="117" t="s">
        <v>40</v>
      </c>
      <c r="P3" s="117" t="s">
        <v>41</v>
      </c>
      <c r="Q3" s="117" t="s">
        <v>14</v>
      </c>
      <c r="R3" s="118" t="s">
        <v>15</v>
      </c>
      <c r="S3" s="117" t="s">
        <v>17</v>
      </c>
      <c r="T3" s="123" t="s">
        <v>33</v>
      </c>
      <c r="U3" s="124" t="s">
        <v>61</v>
      </c>
      <c r="V3" s="13" t="s">
        <v>141</v>
      </c>
    </row>
    <row r="4" spans="1:22" s="13" customFormat="1" ht="23.25" x14ac:dyDescent="0.25">
      <c r="A4" s="84"/>
      <c r="B4" s="84" t="str">
        <f t="shared" ref="B4:B28" si="0">IF(OR(A4="x",A4="X"),"",IF(ISBLANK(A4),"X",""))</f>
        <v>X</v>
      </c>
      <c r="C4" s="84" t="str">
        <f>IF(OR(TabellaCTE[[#This Row],[LUN]]="X",TabellaCTE[[#This Row],[MAR]]="X",TabellaCTE[[#This Row],[MER]]="X",TabellaCTE[[#This Row],[GIO]]="X",TabellaCTE[[#This Row],[VEN]]="X",),"X","")</f>
        <v/>
      </c>
      <c r="D4" s="85" t="s">
        <v>145</v>
      </c>
      <c r="E4" s="81" t="s">
        <v>2707</v>
      </c>
      <c r="F4" s="81">
        <v>2600</v>
      </c>
      <c r="G4" s="81" t="s">
        <v>2708</v>
      </c>
      <c r="H4" s="83"/>
      <c r="I4" s="83"/>
      <c r="J4" s="83"/>
      <c r="K4" s="83"/>
      <c r="L4" s="83"/>
      <c r="M4" s="81" t="s">
        <v>52</v>
      </c>
      <c r="N4" s="81"/>
      <c r="O4" s="81"/>
      <c r="P4" s="81"/>
      <c r="Q4" s="81" t="s">
        <v>2709</v>
      </c>
      <c r="R4" s="82">
        <v>45789</v>
      </c>
      <c r="S4" s="81" t="s">
        <v>1403</v>
      </c>
      <c r="T4" s="157" t="str">
        <f ca="1">IF(AND('Inserimento dati'!$B$3=$H$2, TabellaCTE[[#This Row],[LUN]]="X"), "X",IF(AND('Inserimento dati'!$B$3=$I$2, TabellaCTE[[#This Row],[MAR]]="X"), "X", IF(AND('Inserimento dati'!$B$3=$J$2, TabellaCTE[[#This Row],[MER]]="X"), "X",IF(AND('Inserimento dati'!$B$3=$K$2, TabellaCTE[[#This Row],[GIO]]="X"), "X", IF(AND('Inserimento dati'!$B$3=$L$2, TabellaCTE[[#This Row],[VEN]]="X"), "X","")))))</f>
        <v/>
      </c>
      <c r="U4" s="158" t="str">
        <f t="shared" ref="U4:U24" ca="1" si="1">IFERROR(MID(G4,_xlfn.AGGREGATE(15,6,(ROW(INDIRECT("1:"&amp;LEN(G4)-7)))/(ISNUMBER(--MID(G4,ROW(INDIRECT("1:"&amp;LEN(G4)-7)),8))),1),8),"")</f>
        <v/>
      </c>
      <c r="V4" s="109">
        <v>45951.914548611108</v>
      </c>
    </row>
    <row r="5" spans="1:22" s="13" customFormat="1" ht="23.25" x14ac:dyDescent="0.25">
      <c r="A5" s="84"/>
      <c r="B5" s="84" t="str">
        <f t="shared" si="0"/>
        <v>X</v>
      </c>
      <c r="C5" s="84" t="str">
        <f>IF(OR(TabellaCTE[[#This Row],[LUN]]="X",TabellaCTE[[#This Row],[MAR]]="X",TabellaCTE[[#This Row],[MER]]="X",TabellaCTE[[#This Row],[GIO]]="X",TabellaCTE[[#This Row],[VEN]]="X",),"X","")</f>
        <v/>
      </c>
      <c r="D5" s="85" t="s">
        <v>145</v>
      </c>
      <c r="E5" s="81" t="s">
        <v>2710</v>
      </c>
      <c r="F5" s="81">
        <v>2600</v>
      </c>
      <c r="G5" s="81" t="s">
        <v>2711</v>
      </c>
      <c r="H5" s="83"/>
      <c r="I5" s="83"/>
      <c r="J5" s="83"/>
      <c r="K5" s="83"/>
      <c r="L5" s="83"/>
      <c r="M5" s="81" t="s">
        <v>52</v>
      </c>
      <c r="N5" s="81"/>
      <c r="O5" s="81"/>
      <c r="P5" s="81"/>
      <c r="Q5" s="81"/>
      <c r="R5" s="82"/>
      <c r="S5" s="81"/>
      <c r="T5" s="157" t="str">
        <f ca="1">IF(AND('Inserimento dati'!$B$3=$H$2, TabellaCTE[[#This Row],[LUN]]="X"), "X",IF(AND('Inserimento dati'!$B$3=$I$2, TabellaCTE[[#This Row],[MAR]]="X"), "X", IF(AND('Inserimento dati'!$B$3=$J$2, TabellaCTE[[#This Row],[MER]]="X"), "X",IF(AND('Inserimento dati'!$B$3=$K$2, TabellaCTE[[#This Row],[GIO]]="X"), "X", IF(AND('Inserimento dati'!$B$3=$L$2, TabellaCTE[[#This Row],[VEN]]="X"), "X","")))))</f>
        <v/>
      </c>
      <c r="U5" s="158" t="str">
        <f t="shared" ca="1" si="1"/>
        <v/>
      </c>
      <c r="V5" s="109">
        <v>45951.914502314816</v>
      </c>
    </row>
    <row r="6" spans="1:22" s="13" customFormat="1" ht="23.25" x14ac:dyDescent="0.25">
      <c r="A6" s="84"/>
      <c r="B6" s="84" t="str">
        <f t="shared" si="0"/>
        <v>X</v>
      </c>
      <c r="C6" s="84" t="str">
        <f>IF(OR(TabellaCTE[[#This Row],[LUN]]="X",TabellaCTE[[#This Row],[MAR]]="X",TabellaCTE[[#This Row],[MER]]="X",TabellaCTE[[#This Row],[GIO]]="X",TabellaCTE[[#This Row],[VEN]]="X",),"X","")</f>
        <v/>
      </c>
      <c r="D6" s="85" t="s">
        <v>145</v>
      </c>
      <c r="E6" s="81" t="s">
        <v>2712</v>
      </c>
      <c r="F6" s="81">
        <v>2000</v>
      </c>
      <c r="G6" s="81" t="s">
        <v>2713</v>
      </c>
      <c r="H6" s="83"/>
      <c r="I6" s="83"/>
      <c r="J6" s="83"/>
      <c r="K6" s="83"/>
      <c r="L6" s="83"/>
      <c r="M6" s="81" t="s">
        <v>52</v>
      </c>
      <c r="N6" s="81"/>
      <c r="O6" s="81"/>
      <c r="P6" s="81"/>
      <c r="Q6" s="81"/>
      <c r="R6" s="82"/>
      <c r="S6" s="81"/>
      <c r="T6" s="157" t="str">
        <f ca="1">IF(AND('Inserimento dati'!$B$3=$H$2, TabellaCTE[[#This Row],[LUN]]="X"), "X",IF(AND('Inserimento dati'!$B$3=$I$2, TabellaCTE[[#This Row],[MAR]]="X"), "X", IF(AND('Inserimento dati'!$B$3=$J$2, TabellaCTE[[#This Row],[MER]]="X"), "X",IF(AND('Inserimento dati'!$B$3=$K$2, TabellaCTE[[#This Row],[GIO]]="X"), "X", IF(AND('Inserimento dati'!$B$3=$L$2, TabellaCTE[[#This Row],[VEN]]="X"), "X","")))))</f>
        <v/>
      </c>
      <c r="U6" s="159" t="str">
        <f t="shared" ca="1" si="1"/>
        <v/>
      </c>
      <c r="V6" s="109">
        <v>45951.914467592593</v>
      </c>
    </row>
    <row r="7" spans="1:22" s="13" customFormat="1" ht="23.25" x14ac:dyDescent="0.25">
      <c r="A7" s="84"/>
      <c r="B7" s="84" t="str">
        <f t="shared" si="0"/>
        <v>X</v>
      </c>
      <c r="C7" s="84" t="str">
        <f>IF(OR(TabellaCTE[[#This Row],[LUN]]="X",TabellaCTE[[#This Row],[MAR]]="X",TabellaCTE[[#This Row],[MER]]="X",TabellaCTE[[#This Row],[GIO]]="X",TabellaCTE[[#This Row],[VEN]]="X",),"X","")</f>
        <v/>
      </c>
      <c r="D7" s="85" t="s">
        <v>145</v>
      </c>
      <c r="E7" s="81" t="s">
        <v>2714</v>
      </c>
      <c r="F7" s="81">
        <v>2600</v>
      </c>
      <c r="G7" s="81" t="s">
        <v>2715</v>
      </c>
      <c r="H7" s="83"/>
      <c r="I7" s="83"/>
      <c r="J7" s="83"/>
      <c r="K7" s="83"/>
      <c r="L7" s="83"/>
      <c r="M7" s="81" t="s">
        <v>52</v>
      </c>
      <c r="N7" s="81"/>
      <c r="O7" s="81"/>
      <c r="P7" s="81"/>
      <c r="Q7" s="81" t="s">
        <v>2716</v>
      </c>
      <c r="R7" s="82">
        <v>45720</v>
      </c>
      <c r="S7" s="81" t="s">
        <v>23</v>
      </c>
      <c r="T7" s="157" t="str">
        <f ca="1">IF(AND('Inserimento dati'!$B$3=$H$2, TabellaCTE[[#This Row],[LUN]]="X"), "X",IF(AND('Inserimento dati'!$B$3=$I$2, TabellaCTE[[#This Row],[MAR]]="X"), "X", IF(AND('Inserimento dati'!$B$3=$J$2, TabellaCTE[[#This Row],[MER]]="X"), "X",IF(AND('Inserimento dati'!$B$3=$K$2, TabellaCTE[[#This Row],[GIO]]="X"), "X", IF(AND('Inserimento dati'!$B$3=$L$2, TabellaCTE[[#This Row],[VEN]]="X"), "X","")))))</f>
        <v/>
      </c>
      <c r="U7" s="159" t="str">
        <f t="shared" ca="1" si="1"/>
        <v/>
      </c>
      <c r="V7" s="109">
        <v>45934.685706018521</v>
      </c>
    </row>
    <row r="8" spans="1:22" s="13" customFormat="1" ht="30" x14ac:dyDescent="0.25">
      <c r="A8" s="84"/>
      <c r="B8" s="84" t="str">
        <f t="shared" si="0"/>
        <v>X</v>
      </c>
      <c r="C8" s="84" t="str">
        <f>IF(OR(TabellaCTE[[#This Row],[LUN]]="X",TabellaCTE[[#This Row],[MAR]]="X",TabellaCTE[[#This Row],[MER]]="X",TabellaCTE[[#This Row],[GIO]]="X",TabellaCTE[[#This Row],[VEN]]="X",),"X","")</f>
        <v/>
      </c>
      <c r="D8" s="85" t="s">
        <v>145</v>
      </c>
      <c r="E8" s="81" t="s">
        <v>2717</v>
      </c>
      <c r="F8" s="81">
        <v>2600</v>
      </c>
      <c r="G8" s="81" t="s">
        <v>2718</v>
      </c>
      <c r="H8" s="83"/>
      <c r="I8" s="83"/>
      <c r="J8" s="83"/>
      <c r="K8" s="83"/>
      <c r="L8" s="83"/>
      <c r="M8" s="81" t="s">
        <v>52</v>
      </c>
      <c r="N8" s="81"/>
      <c r="O8" s="81"/>
      <c r="P8" s="81"/>
      <c r="Q8" s="81" t="s">
        <v>2719</v>
      </c>
      <c r="R8" s="82">
        <v>45716</v>
      </c>
      <c r="S8" s="81" t="s">
        <v>2720</v>
      </c>
      <c r="T8" s="157" t="str">
        <f ca="1">IF(AND('Inserimento dati'!$B$3=$H$2, TabellaCTE[[#This Row],[LUN]]="X"), "X",IF(AND('Inserimento dati'!$B$3=$I$2, TabellaCTE[[#This Row],[MAR]]="X"), "X", IF(AND('Inserimento dati'!$B$3=$J$2, TabellaCTE[[#This Row],[MER]]="X"), "X",IF(AND('Inserimento dati'!$B$3=$K$2, TabellaCTE[[#This Row],[GIO]]="X"), "X", IF(AND('Inserimento dati'!$B$3=$L$2, TabellaCTE[[#This Row],[VEN]]="X"), "X","")))))</f>
        <v/>
      </c>
      <c r="U8" s="159" t="str">
        <f t="shared" ca="1" si="1"/>
        <v/>
      </c>
      <c r="V8" s="109">
        <v>45934.685682870368</v>
      </c>
    </row>
    <row r="9" spans="1:22" s="13" customFormat="1" ht="23.25" x14ac:dyDescent="0.25">
      <c r="A9" s="84"/>
      <c r="B9" s="84" t="str">
        <f t="shared" si="0"/>
        <v>X</v>
      </c>
      <c r="C9" s="84" t="str">
        <f>IF(OR(TabellaCTE[[#This Row],[LUN]]="X",TabellaCTE[[#This Row],[MAR]]="X",TabellaCTE[[#This Row],[MER]]="X",TabellaCTE[[#This Row],[GIO]]="X",TabellaCTE[[#This Row],[VEN]]="X",),"X","")</f>
        <v/>
      </c>
      <c r="D9" s="85" t="s">
        <v>145</v>
      </c>
      <c r="E9" s="81" t="s">
        <v>2721</v>
      </c>
      <c r="F9" s="81">
        <v>2000</v>
      </c>
      <c r="G9" s="81" t="s">
        <v>2722</v>
      </c>
      <c r="H9" s="83"/>
      <c r="I9" s="83"/>
      <c r="J9" s="83"/>
      <c r="K9" s="83"/>
      <c r="L9" s="83"/>
      <c r="M9" s="81" t="s">
        <v>52</v>
      </c>
      <c r="N9" s="81"/>
      <c r="O9" s="81"/>
      <c r="P9" s="81"/>
      <c r="Q9" s="81"/>
      <c r="R9" s="82"/>
      <c r="S9" s="82"/>
      <c r="T9" s="157" t="str">
        <f ca="1">IF(AND('Inserimento dati'!$B$3=$H$2, TabellaCTE[[#This Row],[LUN]]="X"), "X",IF(AND('Inserimento dati'!$B$3=$I$2, TabellaCTE[[#This Row],[MAR]]="X"), "X", IF(AND('Inserimento dati'!$B$3=$J$2, TabellaCTE[[#This Row],[MER]]="X"), "X",IF(AND('Inserimento dati'!$B$3=$K$2, TabellaCTE[[#This Row],[GIO]]="X"), "X", IF(AND('Inserimento dati'!$B$3=$L$2, TabellaCTE[[#This Row],[VEN]]="X"), "X","")))))</f>
        <v/>
      </c>
      <c r="U9" s="159" t="str">
        <f t="shared" ca="1" si="1"/>
        <v/>
      </c>
      <c r="V9" s="109">
        <v>45934.685659722221</v>
      </c>
    </row>
    <row r="10" spans="1:22" s="13" customFormat="1" ht="30" x14ac:dyDescent="0.25">
      <c r="A10" s="84"/>
      <c r="B10" s="84" t="str">
        <f t="shared" si="0"/>
        <v>X</v>
      </c>
      <c r="C10" s="84" t="str">
        <f>IF(OR(TabellaCTE[[#This Row],[LUN]]="X",TabellaCTE[[#This Row],[MAR]]="X",TabellaCTE[[#This Row],[MER]]="X",TabellaCTE[[#This Row],[GIO]]="X",TabellaCTE[[#This Row],[VEN]]="X",),"X","")</f>
        <v/>
      </c>
      <c r="D10" s="85" t="s">
        <v>145</v>
      </c>
      <c r="E10" s="81" t="s">
        <v>2723</v>
      </c>
      <c r="F10" s="81" t="s">
        <v>142</v>
      </c>
      <c r="G10" s="81" t="s">
        <v>2724</v>
      </c>
      <c r="H10" s="83"/>
      <c r="I10" s="83"/>
      <c r="J10" s="83"/>
      <c r="K10" s="83"/>
      <c r="L10" s="83"/>
      <c r="M10" s="81" t="s">
        <v>52</v>
      </c>
      <c r="N10" s="81"/>
      <c r="O10" s="81"/>
      <c r="P10" s="81"/>
      <c r="Q10" s="81" t="s">
        <v>2725</v>
      </c>
      <c r="R10" s="82">
        <v>45685</v>
      </c>
      <c r="S10" s="82" t="s">
        <v>2720</v>
      </c>
      <c r="T10" s="157" t="str">
        <f ca="1">IF(AND('Inserimento dati'!$B$3=$H$2, TabellaCTE[[#This Row],[LUN]]="X"), "X",IF(AND('Inserimento dati'!$B$3=$I$2, TabellaCTE[[#This Row],[MAR]]="X"), "X", IF(AND('Inserimento dati'!$B$3=$J$2, TabellaCTE[[#This Row],[MER]]="X"), "X",IF(AND('Inserimento dati'!$B$3=$K$2, TabellaCTE[[#This Row],[GIO]]="X"), "X", IF(AND('Inserimento dati'!$B$3=$L$2, TabellaCTE[[#This Row],[VEN]]="X"), "X","")))))</f>
        <v/>
      </c>
      <c r="U10" s="159" t="str">
        <f t="shared" ca="1" si="1"/>
        <v/>
      </c>
      <c r="V10" s="109">
        <v>45934.685648148145</v>
      </c>
    </row>
    <row r="11" spans="1:22" s="13" customFormat="1" ht="23.25" x14ac:dyDescent="0.25">
      <c r="A11" s="84"/>
      <c r="B11" s="84" t="str">
        <f t="shared" si="0"/>
        <v>X</v>
      </c>
      <c r="C11" s="84" t="str">
        <f>IF(OR(TabellaCTE[[#This Row],[LUN]]="X",TabellaCTE[[#This Row],[MAR]]="X",TabellaCTE[[#This Row],[MER]]="X",TabellaCTE[[#This Row],[GIO]]="X",TabellaCTE[[#This Row],[VEN]]="X",),"X","")</f>
        <v/>
      </c>
      <c r="D11" s="85" t="s">
        <v>145</v>
      </c>
      <c r="E11" s="81" t="s">
        <v>2726</v>
      </c>
      <c r="F11" s="81">
        <v>2000</v>
      </c>
      <c r="G11" s="81" t="s">
        <v>2727</v>
      </c>
      <c r="H11" s="83"/>
      <c r="I11" s="83"/>
      <c r="J11" s="83"/>
      <c r="K11" s="83"/>
      <c r="L11" s="83"/>
      <c r="M11" s="81" t="s">
        <v>52</v>
      </c>
      <c r="N11" s="81"/>
      <c r="O11" s="81"/>
      <c r="P11" s="81"/>
      <c r="Q11" s="81"/>
      <c r="R11" s="82"/>
      <c r="S11" s="82"/>
      <c r="T11" s="157" t="str">
        <f ca="1">IF(AND('Inserimento dati'!$B$3=$H$2, TabellaCTE[[#This Row],[LUN]]="X"), "X",IF(AND('Inserimento dati'!$B$3=$I$2, TabellaCTE[[#This Row],[MAR]]="X"), "X", IF(AND('Inserimento dati'!$B$3=$J$2, TabellaCTE[[#This Row],[MER]]="X"), "X",IF(AND('Inserimento dati'!$B$3=$K$2, TabellaCTE[[#This Row],[GIO]]="X"), "X", IF(AND('Inserimento dati'!$B$3=$L$2, TabellaCTE[[#This Row],[VEN]]="X"), "X","")))))</f>
        <v/>
      </c>
      <c r="U11" s="159" t="str">
        <f t="shared" ca="1" si="1"/>
        <v/>
      </c>
      <c r="V11" s="109">
        <v>45934.685497685183</v>
      </c>
    </row>
    <row r="12" spans="1:22" ht="30" x14ac:dyDescent="0.25">
      <c r="A12" s="84"/>
      <c r="B12" s="84" t="str">
        <f t="shared" si="0"/>
        <v>X</v>
      </c>
      <c r="C12" s="84" t="str">
        <f>IF(OR(TabellaCTE[[#This Row],[LUN]]="X",TabellaCTE[[#This Row],[MAR]]="X",TabellaCTE[[#This Row],[MER]]="X",TabellaCTE[[#This Row],[GIO]]="X",TabellaCTE[[#This Row],[VEN]]="X",),"X","")</f>
        <v/>
      </c>
      <c r="D12" s="85" t="s">
        <v>145</v>
      </c>
      <c r="E12" s="81" t="s">
        <v>2730</v>
      </c>
      <c r="F12" s="81">
        <v>2000</v>
      </c>
      <c r="G12" s="81" t="s">
        <v>2731</v>
      </c>
      <c r="H12" s="83"/>
      <c r="I12" s="83"/>
      <c r="J12" s="83"/>
      <c r="K12" s="83"/>
      <c r="L12" s="83"/>
      <c r="M12" s="81" t="s">
        <v>52</v>
      </c>
      <c r="N12" s="81"/>
      <c r="O12" s="81"/>
      <c r="P12" s="81"/>
      <c r="Q12" s="81"/>
      <c r="R12" s="82"/>
      <c r="S12" s="82"/>
      <c r="T12" s="157" t="str">
        <f ca="1">IF(AND('Inserimento dati'!$B$3=$H$2, TabellaCTE[[#This Row],[LUN]]="X"), "X",IF(AND('Inserimento dati'!$B$3=$I$2, TabellaCTE[[#This Row],[MAR]]="X"), "X", IF(AND('Inserimento dati'!$B$3=$J$2, TabellaCTE[[#This Row],[MER]]="X"), "X",IF(AND('Inserimento dati'!$B$3=$K$2, TabellaCTE[[#This Row],[GIO]]="X"), "X", IF(AND('Inserimento dati'!$B$3=$L$2, TabellaCTE[[#This Row],[VEN]]="X"), "X","")))))</f>
        <v/>
      </c>
      <c r="U12" s="159" t="str">
        <f t="shared" ca="1" si="1"/>
        <v/>
      </c>
    </row>
    <row r="13" spans="1:22" ht="23.25" x14ac:dyDescent="0.25">
      <c r="A13" s="84"/>
      <c r="B13" s="84" t="str">
        <f t="shared" si="0"/>
        <v>X</v>
      </c>
      <c r="C13" s="84" t="str">
        <f>IF(OR(TabellaCTE[[#This Row],[LUN]]="X",TabellaCTE[[#This Row],[MAR]]="X",TabellaCTE[[#This Row],[MER]]="X",TabellaCTE[[#This Row],[GIO]]="X",TabellaCTE[[#This Row],[VEN]]="X",),"X","")</f>
        <v/>
      </c>
      <c r="D13" s="85" t="s">
        <v>145</v>
      </c>
      <c r="E13" s="81" t="s">
        <v>2732</v>
      </c>
      <c r="F13" s="81">
        <v>2000</v>
      </c>
      <c r="G13" s="81" t="s">
        <v>2733</v>
      </c>
      <c r="H13" s="83"/>
      <c r="I13" s="83"/>
      <c r="J13" s="83"/>
      <c r="K13" s="83"/>
      <c r="L13" s="83"/>
      <c r="M13" s="81" t="s">
        <v>52</v>
      </c>
      <c r="N13" s="81"/>
      <c r="O13" s="81"/>
      <c r="P13" s="81"/>
      <c r="Q13" s="81" t="s">
        <v>2357</v>
      </c>
      <c r="R13" s="82"/>
      <c r="S13" s="82"/>
      <c r="T13" s="157" t="str">
        <f ca="1">IF(AND('Inserimento dati'!$B$3=$H$2, TabellaCTE[[#This Row],[LUN]]="X"), "X",IF(AND('Inserimento dati'!$B$3=$I$2, TabellaCTE[[#This Row],[MAR]]="X"), "X", IF(AND('Inserimento dati'!$B$3=$J$2, TabellaCTE[[#This Row],[MER]]="X"), "X",IF(AND('Inserimento dati'!$B$3=$K$2, TabellaCTE[[#This Row],[GIO]]="X"), "X", IF(AND('Inserimento dati'!$B$3=$L$2, TabellaCTE[[#This Row],[VEN]]="X"), "X","")))))</f>
        <v/>
      </c>
      <c r="U13" s="159" t="str">
        <f t="shared" ca="1" si="1"/>
        <v/>
      </c>
    </row>
    <row r="14" spans="1:22" ht="23.25" x14ac:dyDescent="0.25">
      <c r="A14" s="84"/>
      <c r="B14" s="84" t="str">
        <f t="shared" si="0"/>
        <v>X</v>
      </c>
      <c r="C14" s="84" t="str">
        <f>IF(OR(TabellaCTE[[#This Row],[LUN]]="X",TabellaCTE[[#This Row],[MAR]]="X",TabellaCTE[[#This Row],[MER]]="X",TabellaCTE[[#This Row],[GIO]]="X",TabellaCTE[[#This Row],[VEN]]="X",),"X","")</f>
        <v/>
      </c>
      <c r="D14" s="85" t="s">
        <v>145</v>
      </c>
      <c r="E14" s="81" t="s">
        <v>2734</v>
      </c>
      <c r="F14" s="81" t="s">
        <v>145</v>
      </c>
      <c r="G14" s="81" t="s">
        <v>2735</v>
      </c>
      <c r="H14" s="83"/>
      <c r="I14" s="83"/>
      <c r="J14" s="83"/>
      <c r="K14" s="83"/>
      <c r="L14" s="83"/>
      <c r="M14" s="81" t="s">
        <v>52</v>
      </c>
      <c r="N14" s="81"/>
      <c r="O14" s="81"/>
      <c r="P14" s="81"/>
      <c r="Q14" s="81" t="s">
        <v>2357</v>
      </c>
      <c r="R14" s="82"/>
      <c r="S14" s="82"/>
      <c r="T14" s="157" t="str">
        <f ca="1">IF(AND('Inserimento dati'!$B$3=$H$2, TabellaCTE[[#This Row],[LUN]]="X"), "X",IF(AND('Inserimento dati'!$B$3=$I$2, TabellaCTE[[#This Row],[MAR]]="X"), "X", IF(AND('Inserimento dati'!$B$3=$J$2, TabellaCTE[[#This Row],[MER]]="X"), "X",IF(AND('Inserimento dati'!$B$3=$K$2, TabellaCTE[[#This Row],[GIO]]="X"), "X", IF(AND('Inserimento dati'!$B$3=$L$2, TabellaCTE[[#This Row],[VEN]]="X"), "X","")))))</f>
        <v/>
      </c>
      <c r="U14" s="159" t="str">
        <f t="shared" ca="1" si="1"/>
        <v/>
      </c>
    </row>
    <row r="15" spans="1:22" ht="23.25" x14ac:dyDescent="0.25">
      <c r="A15" s="84"/>
      <c r="B15" s="84" t="str">
        <f t="shared" si="0"/>
        <v>X</v>
      </c>
      <c r="C15" s="84" t="str">
        <f>IF(OR(TabellaCTE[[#This Row],[LUN]]="X",TabellaCTE[[#This Row],[MAR]]="X",TabellaCTE[[#This Row],[MER]]="X",TabellaCTE[[#This Row],[GIO]]="X",TabellaCTE[[#This Row],[VEN]]="X",),"X","")</f>
        <v/>
      </c>
      <c r="D15" s="85" t="s">
        <v>145</v>
      </c>
      <c r="E15" s="81" t="s">
        <v>2736</v>
      </c>
      <c r="F15" s="81">
        <v>2800</v>
      </c>
      <c r="G15" s="81" t="s">
        <v>2737</v>
      </c>
      <c r="H15" s="83"/>
      <c r="I15" s="83"/>
      <c r="J15" s="83"/>
      <c r="K15" s="83"/>
      <c r="L15" s="83"/>
      <c r="M15" s="81" t="s">
        <v>52</v>
      </c>
      <c r="N15" s="81"/>
      <c r="O15" s="81"/>
      <c r="P15" s="81"/>
      <c r="Q15" s="81" t="s">
        <v>2357</v>
      </c>
      <c r="R15" s="82"/>
      <c r="S15" s="82"/>
      <c r="T15" s="157" t="str">
        <f ca="1">IF(AND('Inserimento dati'!$B$3=$H$2, TabellaCTE[[#This Row],[LUN]]="X"), "X",IF(AND('Inserimento dati'!$B$3=$I$2, TabellaCTE[[#This Row],[MAR]]="X"), "X", IF(AND('Inserimento dati'!$B$3=$J$2, TabellaCTE[[#This Row],[MER]]="X"), "X",IF(AND('Inserimento dati'!$B$3=$K$2, TabellaCTE[[#This Row],[GIO]]="X"), "X", IF(AND('Inserimento dati'!$B$3=$L$2, TabellaCTE[[#This Row],[VEN]]="X"), "X","")))))</f>
        <v/>
      </c>
      <c r="U15" s="159" t="str">
        <f t="shared" ca="1" si="1"/>
        <v/>
      </c>
    </row>
    <row r="16" spans="1:22" ht="30" x14ac:dyDescent="0.25">
      <c r="A16" s="84"/>
      <c r="B16" s="84" t="str">
        <f t="shared" si="0"/>
        <v>X</v>
      </c>
      <c r="C16" s="84" t="str">
        <f>IF(OR(TabellaCTE[[#This Row],[LUN]]="X",TabellaCTE[[#This Row],[MAR]]="X",TabellaCTE[[#This Row],[MER]]="X",TabellaCTE[[#This Row],[GIO]]="X",TabellaCTE[[#This Row],[VEN]]="X",),"X","")</f>
        <v/>
      </c>
      <c r="D16" s="85" t="s">
        <v>145</v>
      </c>
      <c r="E16" s="81" t="s">
        <v>2738</v>
      </c>
      <c r="F16" s="81">
        <v>2600</v>
      </c>
      <c r="G16" s="81" t="s">
        <v>2739</v>
      </c>
      <c r="H16" s="83"/>
      <c r="I16" s="83"/>
      <c r="J16" s="83"/>
      <c r="K16" s="83"/>
      <c r="L16" s="83"/>
      <c r="M16" s="81" t="s">
        <v>52</v>
      </c>
      <c r="N16" s="81"/>
      <c r="O16" s="81"/>
      <c r="P16" s="81"/>
      <c r="Q16" s="81"/>
      <c r="R16" s="82">
        <v>45638</v>
      </c>
      <c r="S16" s="82" t="s">
        <v>2720</v>
      </c>
      <c r="T16" s="84" t="str">
        <f ca="1">IF(AND('Inserimento dati'!$B$3=$H$2, TabellaCTE[[#This Row],[LUN]]="X"), "X",IF(AND('Inserimento dati'!$B$3=$I$2, TabellaCTE[[#This Row],[MAR]]="X"), "X", IF(AND('Inserimento dati'!$B$3=$J$2, TabellaCTE[[#This Row],[MER]]="X"), "X",IF(AND('Inserimento dati'!$B$3=$K$2, TabellaCTE[[#This Row],[GIO]]="X"), "X", IF(AND('Inserimento dati'!$B$3=$L$2, TabellaCTE[[#This Row],[VEN]]="X"), "X","")))))</f>
        <v/>
      </c>
      <c r="U16" s="159" t="str">
        <f t="shared" ca="1" si="1"/>
        <v/>
      </c>
    </row>
    <row r="17" spans="1:21" ht="30" x14ac:dyDescent="0.25">
      <c r="A17" s="84"/>
      <c r="B17" s="84" t="str">
        <f t="shared" si="0"/>
        <v>X</v>
      </c>
      <c r="C17" s="84" t="str">
        <f>IF(OR(TabellaCTE[[#This Row],[LUN]]="X",TabellaCTE[[#This Row],[MAR]]="X",TabellaCTE[[#This Row],[MER]]="X",TabellaCTE[[#This Row],[GIO]]="X",TabellaCTE[[#This Row],[VEN]]="X",),"X","")</f>
        <v/>
      </c>
      <c r="D17" s="85" t="s">
        <v>145</v>
      </c>
      <c r="E17" s="81" t="s">
        <v>2740</v>
      </c>
      <c r="F17" s="81">
        <v>2600</v>
      </c>
      <c r="G17" s="81" t="s">
        <v>2741</v>
      </c>
      <c r="H17" s="83"/>
      <c r="I17" s="83"/>
      <c r="J17" s="83"/>
      <c r="K17" s="83"/>
      <c r="L17" s="83"/>
      <c r="M17" s="81" t="s">
        <v>52</v>
      </c>
      <c r="N17" s="81"/>
      <c r="O17" s="81"/>
      <c r="P17" s="81"/>
      <c r="Q17" s="81" t="s">
        <v>2742</v>
      </c>
      <c r="R17" s="82">
        <v>45637</v>
      </c>
      <c r="S17" s="82" t="s">
        <v>2720</v>
      </c>
      <c r="T17" s="84" t="str">
        <f ca="1">IF(AND('Inserimento dati'!$B$3=$H$2, TabellaCTE[[#This Row],[LUN]]="X"), "X",IF(AND('Inserimento dati'!$B$3=$I$2, TabellaCTE[[#This Row],[MAR]]="X"), "X", IF(AND('Inserimento dati'!$B$3=$J$2, TabellaCTE[[#This Row],[MER]]="X"), "X",IF(AND('Inserimento dati'!$B$3=$K$2, TabellaCTE[[#This Row],[GIO]]="X"), "X", IF(AND('Inserimento dati'!$B$3=$L$2, TabellaCTE[[#This Row],[VEN]]="X"), "X","")))))</f>
        <v/>
      </c>
      <c r="U17" s="159" t="str">
        <f t="shared" ca="1" si="1"/>
        <v/>
      </c>
    </row>
    <row r="18" spans="1:21" ht="23.25" x14ac:dyDescent="0.25">
      <c r="A18" s="84"/>
      <c r="B18" s="84" t="str">
        <f t="shared" si="0"/>
        <v>X</v>
      </c>
      <c r="C18" s="84" t="str">
        <f>IF(OR(TabellaCTE[[#This Row],[LUN]]="X",TabellaCTE[[#This Row],[MAR]]="X",TabellaCTE[[#This Row],[MER]]="X",TabellaCTE[[#This Row],[GIO]]="X",TabellaCTE[[#This Row],[VEN]]="X",),"X","")</f>
        <v/>
      </c>
      <c r="D18" s="85" t="s">
        <v>145</v>
      </c>
      <c r="E18" s="81" t="s">
        <v>2743</v>
      </c>
      <c r="F18" s="81" t="s">
        <v>142</v>
      </c>
      <c r="G18" s="81" t="s">
        <v>2744</v>
      </c>
      <c r="H18" s="83"/>
      <c r="I18" s="83"/>
      <c r="J18" s="83"/>
      <c r="K18" s="83"/>
      <c r="L18" s="83"/>
      <c r="M18" s="81" t="s">
        <v>52</v>
      </c>
      <c r="N18" s="81"/>
      <c r="O18" s="81"/>
      <c r="P18" s="81"/>
      <c r="Q18" s="81"/>
      <c r="R18" s="82"/>
      <c r="S18" s="82"/>
      <c r="T18" s="84" t="str">
        <f ca="1">IF(AND('Inserimento dati'!$B$3=$H$2, TabellaCTE[[#This Row],[LUN]]="X"), "X",IF(AND('Inserimento dati'!$B$3=$I$2, TabellaCTE[[#This Row],[MAR]]="X"), "X", IF(AND('Inserimento dati'!$B$3=$J$2, TabellaCTE[[#This Row],[MER]]="X"), "X",IF(AND('Inserimento dati'!$B$3=$K$2, TabellaCTE[[#This Row],[GIO]]="X"), "X", IF(AND('Inserimento dati'!$B$3=$L$2, TabellaCTE[[#This Row],[VEN]]="X"), "X","")))))</f>
        <v/>
      </c>
      <c r="U18" s="159" t="str">
        <f t="shared" ca="1" si="1"/>
        <v/>
      </c>
    </row>
    <row r="19" spans="1:21" ht="23.25" x14ac:dyDescent="0.25">
      <c r="A19" s="84"/>
      <c r="B19" s="84" t="str">
        <f t="shared" si="0"/>
        <v>X</v>
      </c>
      <c r="C19" s="84" t="str">
        <f>IF(OR(TabellaCTE[[#This Row],[LUN]]="X",TabellaCTE[[#This Row],[MAR]]="X",TabellaCTE[[#This Row],[MER]]="X",TabellaCTE[[#This Row],[GIO]]="X",TabellaCTE[[#This Row],[VEN]]="X",),"X","")</f>
        <v/>
      </c>
      <c r="D19" s="85" t="s">
        <v>145</v>
      </c>
      <c r="E19" s="81" t="s">
        <v>2745</v>
      </c>
      <c r="F19" s="81" t="s">
        <v>142</v>
      </c>
      <c r="G19" s="81" t="s">
        <v>2746</v>
      </c>
      <c r="H19" s="83"/>
      <c r="I19" s="83"/>
      <c r="J19" s="83"/>
      <c r="K19" s="83"/>
      <c r="L19" s="83"/>
      <c r="M19" s="81" t="s">
        <v>52</v>
      </c>
      <c r="N19" s="81"/>
      <c r="O19" s="81"/>
      <c r="P19" s="81"/>
      <c r="Q19" s="81"/>
      <c r="R19" s="82"/>
      <c r="S19" s="82"/>
      <c r="T19" s="84" t="str">
        <f ca="1">IF(AND('Inserimento dati'!$B$3=$H$2, TabellaCTE[[#This Row],[LUN]]="X"), "X",IF(AND('Inserimento dati'!$B$3=$I$2, TabellaCTE[[#This Row],[MAR]]="X"), "X", IF(AND('Inserimento dati'!$B$3=$J$2, TabellaCTE[[#This Row],[MER]]="X"), "X",IF(AND('Inserimento dati'!$B$3=$K$2, TabellaCTE[[#This Row],[GIO]]="X"), "X", IF(AND('Inserimento dati'!$B$3=$L$2, TabellaCTE[[#This Row],[VEN]]="X"), "X","")))))</f>
        <v/>
      </c>
      <c r="U19" s="159" t="str">
        <f t="shared" ca="1" si="1"/>
        <v/>
      </c>
    </row>
    <row r="20" spans="1:21" ht="23.25" x14ac:dyDescent="0.25">
      <c r="A20" s="84"/>
      <c r="B20" s="84" t="str">
        <f t="shared" si="0"/>
        <v>X</v>
      </c>
      <c r="C20" s="84" t="str">
        <f>IF(OR(TabellaCTE[[#This Row],[LUN]]="X",TabellaCTE[[#This Row],[MAR]]="X",TabellaCTE[[#This Row],[MER]]="X",TabellaCTE[[#This Row],[GIO]]="X",TabellaCTE[[#This Row],[VEN]]="X",),"X","")</f>
        <v/>
      </c>
      <c r="D20" s="85" t="s">
        <v>145</v>
      </c>
      <c r="E20" s="81" t="s">
        <v>2747</v>
      </c>
      <c r="F20" s="81" t="s">
        <v>142</v>
      </c>
      <c r="G20" s="81" t="s">
        <v>2748</v>
      </c>
      <c r="H20" s="83"/>
      <c r="I20" s="83"/>
      <c r="J20" s="83"/>
      <c r="K20" s="83"/>
      <c r="L20" s="83"/>
      <c r="M20" s="81" t="s">
        <v>52</v>
      </c>
      <c r="N20" s="81"/>
      <c r="O20" s="81"/>
      <c r="P20" s="81"/>
      <c r="Q20" s="81"/>
      <c r="R20" s="82"/>
      <c r="S20" s="82"/>
      <c r="T20" s="84" t="str">
        <f ca="1">IF(AND('Inserimento dati'!$B$3=$H$2, TabellaCTE[[#This Row],[LUN]]="X"), "X",IF(AND('Inserimento dati'!$B$3=$I$2, TabellaCTE[[#This Row],[MAR]]="X"), "X", IF(AND('Inserimento dati'!$B$3=$J$2, TabellaCTE[[#This Row],[MER]]="X"), "X",IF(AND('Inserimento dati'!$B$3=$K$2, TabellaCTE[[#This Row],[GIO]]="X"), "X", IF(AND('Inserimento dati'!$B$3=$L$2, TabellaCTE[[#This Row],[VEN]]="X"), "X","")))))</f>
        <v/>
      </c>
      <c r="U20" s="159" t="str">
        <f t="shared" ca="1" si="1"/>
        <v/>
      </c>
    </row>
    <row r="21" spans="1:21" ht="30" x14ac:dyDescent="0.25">
      <c r="A21" s="84"/>
      <c r="B21" s="84" t="str">
        <f t="shared" si="0"/>
        <v>X</v>
      </c>
      <c r="C21" s="84" t="str">
        <f>IF(OR(TabellaCTE[[#This Row],[LUN]]="X",TabellaCTE[[#This Row],[MAR]]="X",TabellaCTE[[#This Row],[MER]]="X",TabellaCTE[[#This Row],[GIO]]="X",TabellaCTE[[#This Row],[VEN]]="X",),"X","")</f>
        <v/>
      </c>
      <c r="D21" s="85" t="s">
        <v>145</v>
      </c>
      <c r="E21" s="81" t="s">
        <v>2749</v>
      </c>
      <c r="F21" s="81" t="s">
        <v>142</v>
      </c>
      <c r="G21" s="81" t="s">
        <v>2750</v>
      </c>
      <c r="H21" s="83"/>
      <c r="I21" s="83"/>
      <c r="J21" s="83"/>
      <c r="K21" s="83"/>
      <c r="L21" s="83"/>
      <c r="M21" s="81" t="s">
        <v>52</v>
      </c>
      <c r="N21" s="81"/>
      <c r="O21" s="81"/>
      <c r="P21" s="81"/>
      <c r="Q21" s="81"/>
      <c r="R21" s="82"/>
      <c r="S21" s="82"/>
      <c r="T21" s="84" t="str">
        <f ca="1">IF(AND('Inserimento dati'!$B$3=$H$2, TabellaCTE[[#This Row],[LUN]]="X"), "X",IF(AND('Inserimento dati'!$B$3=$I$2, TabellaCTE[[#This Row],[MAR]]="X"), "X", IF(AND('Inserimento dati'!$B$3=$J$2, TabellaCTE[[#This Row],[MER]]="X"), "X",IF(AND('Inserimento dati'!$B$3=$K$2, TabellaCTE[[#This Row],[GIO]]="X"), "X", IF(AND('Inserimento dati'!$B$3=$L$2, TabellaCTE[[#This Row],[VEN]]="X"), "X","")))))</f>
        <v/>
      </c>
      <c r="U21" s="159" t="str">
        <f t="shared" ca="1" si="1"/>
        <v/>
      </c>
    </row>
    <row r="22" spans="1:21" ht="23.25" x14ac:dyDescent="0.25">
      <c r="A22" s="84"/>
      <c r="B22" s="84" t="str">
        <f t="shared" si="0"/>
        <v>X</v>
      </c>
      <c r="C22" s="84" t="str">
        <f>IF(OR(TabellaCTE[[#This Row],[LUN]]="X",TabellaCTE[[#This Row],[MAR]]="X",TabellaCTE[[#This Row],[MER]]="X",TabellaCTE[[#This Row],[GIO]]="X",TabellaCTE[[#This Row],[VEN]]="X",),"X","")</f>
        <v/>
      </c>
      <c r="D22" s="85" t="s">
        <v>145</v>
      </c>
      <c r="E22" s="81" t="s">
        <v>2751</v>
      </c>
      <c r="F22" s="81" t="s">
        <v>142</v>
      </c>
      <c r="G22" s="81" t="s">
        <v>2752</v>
      </c>
      <c r="H22" s="83"/>
      <c r="I22" s="83"/>
      <c r="J22" s="83"/>
      <c r="K22" s="83"/>
      <c r="L22" s="83"/>
      <c r="M22" s="81" t="s">
        <v>52</v>
      </c>
      <c r="N22" s="81"/>
      <c r="O22" s="81"/>
      <c r="P22" s="81"/>
      <c r="Q22" s="81"/>
      <c r="R22" s="82"/>
      <c r="S22" s="82"/>
      <c r="T22" s="84" t="str">
        <f ca="1">IF(AND('Inserimento dati'!$B$3=$H$2, TabellaCTE[[#This Row],[LUN]]="X"), "X",IF(AND('Inserimento dati'!$B$3=$I$2, TabellaCTE[[#This Row],[MAR]]="X"), "X", IF(AND('Inserimento dati'!$B$3=$J$2, TabellaCTE[[#This Row],[MER]]="X"), "X",IF(AND('Inserimento dati'!$B$3=$K$2, TabellaCTE[[#This Row],[GIO]]="X"), "X", IF(AND('Inserimento dati'!$B$3=$L$2, TabellaCTE[[#This Row],[VEN]]="X"), "X","")))))</f>
        <v/>
      </c>
      <c r="U22" s="159" t="str">
        <f t="shared" ca="1" si="1"/>
        <v/>
      </c>
    </row>
    <row r="23" spans="1:21" ht="30" x14ac:dyDescent="0.25">
      <c r="A23" s="84"/>
      <c r="B23" s="84" t="str">
        <f t="shared" si="0"/>
        <v>X</v>
      </c>
      <c r="C23" s="84" t="str">
        <f>IF(OR(TabellaCTE[[#This Row],[LUN]]="X",TabellaCTE[[#This Row],[MAR]]="X",TabellaCTE[[#This Row],[MER]]="X",TabellaCTE[[#This Row],[GIO]]="X",TabellaCTE[[#This Row],[VEN]]="X",),"X","")</f>
        <v/>
      </c>
      <c r="D23" s="85" t="s">
        <v>145</v>
      </c>
      <c r="E23" s="81" t="s">
        <v>2753</v>
      </c>
      <c r="F23" s="81">
        <v>2600</v>
      </c>
      <c r="G23" s="81" t="s">
        <v>2754</v>
      </c>
      <c r="H23" s="83"/>
      <c r="I23" s="83"/>
      <c r="J23" s="83"/>
      <c r="K23" s="83"/>
      <c r="L23" s="83"/>
      <c r="M23" s="81" t="s">
        <v>52</v>
      </c>
      <c r="N23" s="81"/>
      <c r="O23" s="81"/>
      <c r="P23" s="81"/>
      <c r="Q23" s="81" t="s">
        <v>2755</v>
      </c>
      <c r="R23" s="82">
        <v>45813</v>
      </c>
      <c r="S23" s="81" t="s">
        <v>2756</v>
      </c>
      <c r="T23" s="84" t="str">
        <f ca="1">IF(AND('Inserimento dati'!$B$3=$H$2, TabellaCTE[[#This Row],[LUN]]="X"), "X",IF(AND('Inserimento dati'!$B$3=$I$2, TabellaCTE[[#This Row],[MAR]]="X"), "X", IF(AND('Inserimento dati'!$B$3=$J$2, TabellaCTE[[#This Row],[MER]]="X"), "X",IF(AND('Inserimento dati'!$B$3=$K$2, TabellaCTE[[#This Row],[GIO]]="X"), "X", IF(AND('Inserimento dati'!$B$3=$L$2, TabellaCTE[[#This Row],[VEN]]="X"), "X","")))))</f>
        <v/>
      </c>
      <c r="U23" s="159" t="str">
        <f t="shared" ca="1" si="1"/>
        <v/>
      </c>
    </row>
    <row r="24" spans="1:21" ht="30" x14ac:dyDescent="0.25">
      <c r="A24" s="84"/>
      <c r="B24" s="84" t="str">
        <f t="shared" si="0"/>
        <v>X</v>
      </c>
      <c r="C24" s="84" t="str">
        <f>IF(OR(TabellaCTE[[#This Row],[LUN]]="X",TabellaCTE[[#This Row],[MAR]]="X",TabellaCTE[[#This Row],[MER]]="X",TabellaCTE[[#This Row],[GIO]]="X",TabellaCTE[[#This Row],[VEN]]="X",),"X","")</f>
        <v/>
      </c>
      <c r="D24" s="85" t="s">
        <v>145</v>
      </c>
      <c r="E24" s="81" t="s">
        <v>2757</v>
      </c>
      <c r="F24" s="81">
        <v>2600</v>
      </c>
      <c r="G24" s="81" t="s">
        <v>2758</v>
      </c>
      <c r="H24" s="83"/>
      <c r="I24" s="83"/>
      <c r="J24" s="83"/>
      <c r="K24" s="83"/>
      <c r="L24" s="83"/>
      <c r="M24" s="81" t="s">
        <v>52</v>
      </c>
      <c r="N24" s="81"/>
      <c r="O24" s="81"/>
      <c r="P24" s="81"/>
      <c r="Q24" s="81" t="s">
        <v>2759</v>
      </c>
      <c r="R24" s="82"/>
      <c r="S24" s="81"/>
      <c r="T24" s="135" t="str">
        <f ca="1">IF(AND('Inserimento dati'!$B$3=$H$2, TabellaCTE[[#This Row],[LUN]]="X"), "X",IF(AND('Inserimento dati'!$B$3=$I$2, TabellaCTE[[#This Row],[MAR]]="X"), "X", IF(AND('Inserimento dati'!$B$3=$J$2, TabellaCTE[[#This Row],[MER]]="X"), "X",IF(AND('Inserimento dati'!$B$3=$K$2, TabellaCTE[[#This Row],[GIO]]="X"), "X", IF(AND('Inserimento dati'!$B$3=$L$2, TabellaCTE[[#This Row],[VEN]]="X"), "X","")))))</f>
        <v/>
      </c>
      <c r="U24" s="159" t="str">
        <f t="shared" ca="1" si="1"/>
        <v/>
      </c>
    </row>
    <row r="25" spans="1:21" ht="23.25" x14ac:dyDescent="0.25">
      <c r="A25" s="84"/>
      <c r="B25" s="84" t="str">
        <f t="shared" si="0"/>
        <v>X</v>
      </c>
      <c r="C25" s="84" t="str">
        <f>IF(OR(TabellaCTE[[#This Row],[LUN]]="X",TabellaCTE[[#This Row],[MAR]]="X",TabellaCTE[[#This Row],[MER]]="X",TabellaCTE[[#This Row],[GIO]]="X",TabellaCTE[[#This Row],[VEN]]="X",),"X","")</f>
        <v/>
      </c>
      <c r="D25" s="85" t="s">
        <v>145</v>
      </c>
      <c r="E25" s="81" t="s">
        <v>2760</v>
      </c>
      <c r="F25" s="81">
        <v>2000</v>
      </c>
      <c r="G25" s="81" t="s">
        <v>2761</v>
      </c>
      <c r="H25" s="83"/>
      <c r="I25" s="83"/>
      <c r="J25" s="83"/>
      <c r="K25" s="83"/>
      <c r="L25" s="83"/>
      <c r="M25" s="81" t="s">
        <v>43</v>
      </c>
      <c r="N25" s="81"/>
      <c r="O25" s="81"/>
      <c r="P25" s="81"/>
      <c r="Q25" s="81"/>
      <c r="R25" s="82"/>
      <c r="S25" s="81"/>
      <c r="T25" s="160" t="str">
        <f ca="1">IF(AND('Inserimento dati'!$B$3=$H$2, TabellaCTE[[#This Row],[LUN]]="X"), "X",IF(AND('Inserimento dati'!$B$3=$I$2, TabellaCTE[[#This Row],[MAR]]="X"), "X", IF(AND('Inserimento dati'!$B$3=$J$2, TabellaCTE[[#This Row],[MER]]="X"), "X",IF(AND('Inserimento dati'!$B$3=$K$2, TabellaCTE[[#This Row],[GIO]]="X"), "X", IF(AND('Inserimento dati'!$B$3=$L$2, TabellaCTE[[#This Row],[VEN]]="X"), "X","")))))</f>
        <v/>
      </c>
      <c r="U25" s="159"/>
    </row>
    <row r="26" spans="1:21" ht="45" x14ac:dyDescent="0.25">
      <c r="A26" s="84"/>
      <c r="B26" s="84" t="str">
        <f t="shared" si="0"/>
        <v>X</v>
      </c>
      <c r="C26" s="84" t="str">
        <f>IF(OR(TabellaCTE[[#This Row],[LUN]]="X",TabellaCTE[[#This Row],[MAR]]="X",TabellaCTE[[#This Row],[MER]]="X",TabellaCTE[[#This Row],[GIO]]="X",TabellaCTE[[#This Row],[VEN]]="X",),"X","")</f>
        <v/>
      </c>
      <c r="D26" s="85" t="s">
        <v>145</v>
      </c>
      <c r="E26" s="81" t="s">
        <v>2762</v>
      </c>
      <c r="F26" s="81" t="s">
        <v>142</v>
      </c>
      <c r="G26" s="81" t="s">
        <v>2763</v>
      </c>
      <c r="H26" s="83"/>
      <c r="I26" s="83"/>
      <c r="J26" s="83"/>
      <c r="K26" s="83"/>
      <c r="L26" s="83"/>
      <c r="M26" s="81" t="s">
        <v>43</v>
      </c>
      <c r="N26" s="81"/>
      <c r="O26" s="81"/>
      <c r="P26" s="81"/>
      <c r="Q26" s="81"/>
      <c r="R26" s="82"/>
      <c r="S26" s="81"/>
      <c r="T26" s="160" t="str">
        <f ca="1">IF(AND('Inserimento dati'!$B$3=$H$2, TabellaCTE[[#This Row],[LUN]]="X"), "X",IF(AND('Inserimento dati'!$B$3=$I$2, TabellaCTE[[#This Row],[MAR]]="X"), "X", IF(AND('Inserimento dati'!$B$3=$J$2, TabellaCTE[[#This Row],[MER]]="X"), "X",IF(AND('Inserimento dati'!$B$3=$K$2, TabellaCTE[[#This Row],[GIO]]="X"), "X", IF(AND('Inserimento dati'!$B$3=$L$2, TabellaCTE[[#This Row],[VEN]]="X"), "X","")))))</f>
        <v/>
      </c>
      <c r="U26" s="159"/>
    </row>
    <row r="27" spans="1:21" ht="30" x14ac:dyDescent="0.25">
      <c r="A27" s="84"/>
      <c r="B27" s="84" t="str">
        <f t="shared" si="0"/>
        <v>X</v>
      </c>
      <c r="C27" s="84" t="str">
        <f>IF(OR(TabellaCTE[[#This Row],[LUN]]="X",TabellaCTE[[#This Row],[MAR]]="X",TabellaCTE[[#This Row],[MER]]="X",TabellaCTE[[#This Row],[GIO]]="X",TabellaCTE[[#This Row],[VEN]]="X",),"X","")</f>
        <v/>
      </c>
      <c r="D27" s="85" t="s">
        <v>145</v>
      </c>
      <c r="E27" s="81" t="s">
        <v>2764</v>
      </c>
      <c r="F27" s="81" t="s">
        <v>142</v>
      </c>
      <c r="G27" s="81" t="s">
        <v>2765</v>
      </c>
      <c r="H27" s="83"/>
      <c r="I27" s="83"/>
      <c r="J27" s="83"/>
      <c r="K27" s="83"/>
      <c r="L27" s="83"/>
      <c r="M27" s="81" t="s">
        <v>43</v>
      </c>
      <c r="N27" s="81"/>
      <c r="O27" s="81"/>
      <c r="P27" s="81"/>
      <c r="Q27" s="81"/>
      <c r="R27" s="82"/>
      <c r="S27" s="81"/>
      <c r="T27" s="160" t="str">
        <f ca="1">IF(AND('Inserimento dati'!$B$3=$H$2, TabellaCTE[[#This Row],[LUN]]="X"), "X",IF(AND('Inserimento dati'!$B$3=$I$2, TabellaCTE[[#This Row],[MAR]]="X"), "X", IF(AND('Inserimento dati'!$B$3=$J$2, TabellaCTE[[#This Row],[MER]]="X"), "X",IF(AND('Inserimento dati'!$B$3=$K$2, TabellaCTE[[#This Row],[GIO]]="X"), "X", IF(AND('Inserimento dati'!$B$3=$L$2, TabellaCTE[[#This Row],[VEN]]="X"), "X","")))))</f>
        <v/>
      </c>
      <c r="U27" s="161" t="str">
        <f ca="1">IFERROR(MID(G27,_xlfn.AGGREGATE(15,6,(ROW(INDIRECT("1:"&amp;LEN(G27)-7)))/(ISNUMBER(--MID(G27,ROW(INDIRECT("1:"&amp;LEN(G27)-7)),8))),1),8),"")</f>
        <v/>
      </c>
    </row>
    <row r="28" spans="1:21" ht="30" x14ac:dyDescent="0.25">
      <c r="A28" s="84"/>
      <c r="B28" s="84" t="str">
        <f t="shared" si="0"/>
        <v>X</v>
      </c>
      <c r="C28" s="84" t="str">
        <f>IF(OR(TabellaCTE[[#This Row],[LUN]]="X",TabellaCTE[[#This Row],[MAR]]="X",TabellaCTE[[#This Row],[MER]]="X",TabellaCTE[[#This Row],[GIO]]="X",TabellaCTE[[#This Row],[VEN]]="X",),"X","")</f>
        <v/>
      </c>
      <c r="D28" s="85" t="s">
        <v>145</v>
      </c>
      <c r="E28" s="81" t="s">
        <v>2766</v>
      </c>
      <c r="F28" s="81" t="s">
        <v>142</v>
      </c>
      <c r="G28" s="81" t="s">
        <v>2767</v>
      </c>
      <c r="H28" s="83"/>
      <c r="I28" s="83"/>
      <c r="J28" s="83"/>
      <c r="K28" s="83"/>
      <c r="L28" s="83"/>
      <c r="M28" s="81" t="s">
        <v>43</v>
      </c>
      <c r="N28" s="81"/>
      <c r="O28" s="81"/>
      <c r="P28" s="81"/>
      <c r="Q28" s="81" t="s">
        <v>2768</v>
      </c>
      <c r="R28" s="82"/>
      <c r="S28" s="81"/>
      <c r="T28" s="132" t="str">
        <f ca="1">IF(AND('Inserimento dati'!$B$3=$H$2, TabellaCTE[[#This Row],[LUN]]="X"), "X",IF(AND('Inserimento dati'!$B$3=$I$2, TabellaCTE[[#This Row],[MAR]]="X"), "X", IF(AND('Inserimento dati'!$B$3=$J$2, TabellaCTE[[#This Row],[MER]]="X"), "X",IF(AND('Inserimento dati'!$B$3=$K$2, TabellaCTE[[#This Row],[GIO]]="X"), "X", IF(AND('Inserimento dati'!$B$3=$L$2, TabellaCTE[[#This Row],[VEN]]="X"), "X","")))))</f>
        <v/>
      </c>
      <c r="U28" s="162" t="str">
        <f ca="1">IFERROR(MID(G28,_xlfn.AGGREGATE(15,6,(ROW(INDIRECT("1:"&amp;LEN(G28)-7)))/(ISNUMBER(--MID(G28,ROW(INDIRECT("1:"&amp;LEN(G28)-7)),8))),1),8),"")</f>
        <v/>
      </c>
    </row>
    <row r="29" spans="1:21" ht="23.25" x14ac:dyDescent="0.25">
      <c r="A29" s="40"/>
      <c r="B29" s="40"/>
      <c r="C29" s="40"/>
      <c r="E29" s="8"/>
      <c r="F29" s="8" t="s">
        <v>19</v>
      </c>
      <c r="G29" s="8"/>
      <c r="H29" s="32"/>
      <c r="I29" s="32"/>
      <c r="J29" s="32"/>
      <c r="K29" s="32"/>
      <c r="L29" s="33"/>
      <c r="M29" s="41"/>
      <c r="N29" s="42"/>
      <c r="O29" s="42"/>
      <c r="P29" s="42"/>
      <c r="Q29" s="42"/>
      <c r="R29" s="42"/>
      <c r="S29" s="42"/>
      <c r="T29" s="43"/>
    </row>
    <row r="33" spans="4:4" x14ac:dyDescent="0.25">
      <c r="D33" s="4"/>
    </row>
  </sheetData>
  <mergeCells count="2">
    <mergeCell ref="A1:D1"/>
    <mergeCell ref="N2:P2"/>
  </mergeCells>
  <conditionalFormatting sqref="E9:G28 M9:S28">
    <cfRule type="expression" dxfId="4278" priority="31">
      <formula>SEARCH("IN CORSO",$M9)&gt;0</formula>
    </cfRule>
    <cfRule type="expression" dxfId="4277" priority="32">
      <formula>SEARCH("CHIUSO",$M9)&gt;0</formula>
    </cfRule>
    <cfRule type="expression" dxfId="4276" priority="33">
      <formula>SEARCH("EMESSO",$M9)&gt;0</formula>
    </cfRule>
    <cfRule type="expression" dxfId="4275" priority="34">
      <formula>SEARCH("RICHIESTO",$M9)&gt;0</formula>
    </cfRule>
    <cfRule type="expression" dxfId="4274" priority="35">
      <formula>SEARCH("DA CHIUDERE",$M9)&gt;0</formula>
    </cfRule>
    <cfRule type="expression" dxfId="4273" priority="36">
      <formula>SEARCH("INTERROTTO",$M9)&gt;0</formula>
    </cfRule>
  </conditionalFormatting>
  <conditionalFormatting sqref="E8:G8 M8:S8">
    <cfRule type="expression" dxfId="4272" priority="25">
      <formula>SEARCH("IN CORSO",$M8)&gt;0</formula>
    </cfRule>
    <cfRule type="expression" dxfId="4271" priority="26">
      <formula>SEARCH("CHIUSO",$M8)&gt;0</formula>
    </cfRule>
    <cfRule type="expression" dxfId="4270" priority="27">
      <formula>SEARCH("EMESSO",$M8)&gt;0</formula>
    </cfRule>
    <cfRule type="expression" dxfId="4269" priority="28">
      <formula>SEARCH("RICHIESTO",$M8)&gt;0</formula>
    </cfRule>
    <cfRule type="expression" dxfId="4268" priority="29">
      <formula>SEARCH("DA CHIUDERE",$M8)&gt;0</formula>
    </cfRule>
    <cfRule type="expression" dxfId="4267" priority="30">
      <formula>SEARCH("INTERROTTO",$M8)&gt;0</formula>
    </cfRule>
  </conditionalFormatting>
  <conditionalFormatting sqref="E7:G7 M7:S7">
    <cfRule type="expression" dxfId="4266" priority="19">
      <formula>SEARCH("IN CORSO",$M7)&gt;0</formula>
    </cfRule>
    <cfRule type="expression" dxfId="4265" priority="20">
      <formula>SEARCH("CHIUSO",$M7)&gt;0</formula>
    </cfRule>
    <cfRule type="expression" dxfId="4264" priority="21">
      <formula>SEARCH("EMESSO",$M7)&gt;0</formula>
    </cfRule>
    <cfRule type="expression" dxfId="4263" priority="22">
      <formula>SEARCH("RICHIESTO",$M7)&gt;0</formula>
    </cfRule>
    <cfRule type="expression" dxfId="4262" priority="23">
      <formula>SEARCH("DA CHIUDERE",$M7)&gt;0</formula>
    </cfRule>
    <cfRule type="expression" dxfId="4261" priority="24">
      <formula>SEARCH("INTERROTTO",$M7)&gt;0</formula>
    </cfRule>
  </conditionalFormatting>
  <conditionalFormatting sqref="E6:G6 M6:S6">
    <cfRule type="expression" dxfId="4260" priority="13">
      <formula>SEARCH("IN CORSO",$M6)&gt;0</formula>
    </cfRule>
    <cfRule type="expression" dxfId="4259" priority="14">
      <formula>SEARCH("CHIUSO",$M6)&gt;0</formula>
    </cfRule>
    <cfRule type="expression" dxfId="4258" priority="15">
      <formula>SEARCH("EMESSO",$M6)&gt;0</formula>
    </cfRule>
    <cfRule type="expression" dxfId="4257" priority="16">
      <formula>SEARCH("RICHIESTO",$M6)&gt;0</formula>
    </cfRule>
    <cfRule type="expression" dxfId="4256" priority="17">
      <formula>SEARCH("DA CHIUDERE",$M6)&gt;0</formula>
    </cfRule>
    <cfRule type="expression" dxfId="4255" priority="18">
      <formula>SEARCH("INTERROTTO",$M6)&gt;0</formula>
    </cfRule>
  </conditionalFormatting>
  <conditionalFormatting sqref="E5:G5 M5:S5">
    <cfRule type="expression" dxfId="4254" priority="7">
      <formula>SEARCH("IN CORSO",$M5)&gt;0</formula>
    </cfRule>
    <cfRule type="expression" dxfId="4253" priority="8">
      <formula>SEARCH("CHIUSO",$M5)&gt;0</formula>
    </cfRule>
    <cfRule type="expression" dxfId="4252" priority="9">
      <formula>SEARCH("EMESSO",$M5)&gt;0</formula>
    </cfRule>
    <cfRule type="expression" dxfId="4251" priority="10">
      <formula>SEARCH("RICHIESTO",$M5)&gt;0</formula>
    </cfRule>
    <cfRule type="expression" dxfId="4250" priority="11">
      <formula>SEARCH("DA CHIUDERE",$M5)&gt;0</formula>
    </cfRule>
    <cfRule type="expression" dxfId="4249" priority="12">
      <formula>SEARCH("INTERROTTO",$M5)&gt;0</formula>
    </cfRule>
  </conditionalFormatting>
  <conditionalFormatting sqref="E4:G4 M4:S4">
    <cfRule type="expression" dxfId="4248" priority="1">
      <formula>SEARCH("IN CORSO",$M4)&gt;0</formula>
    </cfRule>
    <cfRule type="expression" dxfId="4247" priority="2">
      <formula>SEARCH("CHIUSO",$M4)&gt;0</formula>
    </cfRule>
    <cfRule type="expression" dxfId="4246" priority="3">
      <formula>SEARCH("EMESSO",$M4)&gt;0</formula>
    </cfRule>
    <cfRule type="expression" dxfId="4245" priority="4">
      <formula>SEARCH("RICHIESTO",$M4)&gt;0</formula>
    </cfRule>
    <cfRule type="expression" dxfId="4244" priority="5">
      <formula>SEARCH("DA CHIUDERE",$M4)&gt;0</formula>
    </cfRule>
    <cfRule type="expression" dxfId="4243" priority="6">
      <formula>SEARCH("INTERROTTO",$M4)&gt;0</formula>
    </cfRule>
  </conditionalFormatting>
  <dataValidations count="2">
    <dataValidation type="list" allowBlank="1" sqref="M9" xr:uid="{8E65EA84-9945-4EB4-8452-875F87AD901A}">
      <formula1>"RICHIESTO,EMESSO,IN CORSO,INTERROTTO,DA CHIUDERE,SCADUTO,CHIUSO,"</formula1>
    </dataValidation>
    <dataValidation type="list" allowBlank="1" showInputMessage="1" showErrorMessage="1" sqref="M10:M28" xr:uid="{32639FBB-1684-4D00-9295-BC9BF914F120}">
      <formula1>"RICHIESTO,EMESSO,IN CORSO,INTERROTTO,DA CHIUDERE,SCADUTO,CHIUSO,"</formula1>
    </dataValidation>
  </dataValidations>
  <pageMargins left="0.70866141732283472" right="0.70866141732283472" top="0.74803149606299213" bottom="0.74803149606299213" header="0.31496062992125984" footer="0.31496062992125984"/>
  <pageSetup paperSize="9" scale="7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729" r:id="rId4" name="Button 657">
              <controlPr defaultSize="0" print="0" autoFill="0" autoPict="0" macro="[0]!AggiungiRiga">
                <anchor moveWithCells="1" sizeWithCells="1">
                  <from>
                    <xdr:col>0</xdr:col>
                    <xdr:colOff>9525</xdr:colOff>
                    <xdr:row>0</xdr:row>
                    <xdr:rowOff>1047750</xdr:rowOff>
                  </from>
                  <to>
                    <xdr:col>3</xdr:col>
                    <xdr:colOff>466725</xdr:colOff>
                    <xdr:row>0</xdr:row>
                    <xdr:rowOff>1314450</xdr:rowOff>
                  </to>
                </anchor>
              </controlPr>
            </control>
          </mc:Choice>
        </mc:AlternateContent>
        <mc:AlternateContent xmlns:mc="http://schemas.openxmlformats.org/markup-compatibility/2006">
          <mc:Choice Requires="x14">
            <control shapeId="112000" r:id="rId5" name="Button 3456">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112001" r:id="rId6" name="Button 3457">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112002" r:id="rId7" name="Button 3458">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112003" r:id="rId8" name="Button 3459">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112004" r:id="rId9" name="Button 3460">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112277" r:id="rId10" name="Button 3733">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112278" r:id="rId11" name="Button 3734">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112279" r:id="rId12" name="Button 3735">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112280" r:id="rId13" name="Button 3736">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112281" r:id="rId14" name="Button 3737">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112282" r:id="rId15" name="Button 3738">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controls>
    </mc:Choice>
  </mc:AlternateContent>
  <tableParts count="1">
    <tablePart r:id="rId1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4A37B8-38D9-4E8B-BCAB-75B03FB8E846}">
  <sheetPr codeName="Foglio11">
    <tabColor theme="3"/>
    <pageSetUpPr fitToPage="1"/>
  </sheetPr>
  <dimension ref="A1:V6"/>
  <sheetViews>
    <sheetView topLeftCell="B1" zoomScale="85" zoomScaleNormal="85" workbookViewId="0">
      <selection activeCell="A4" sqref="A4:U4"/>
    </sheetView>
  </sheetViews>
  <sheetFormatPr defaultColWidth="7.75" defaultRowHeight="15" x14ac:dyDescent="0.25"/>
  <cols>
    <col min="1" max="1" width="3.125" style="3" customWidth="1"/>
    <col min="2" max="2" width="3.125" style="1" customWidth="1"/>
    <col min="3" max="3" width="3.125" style="4" customWidth="1"/>
    <col min="4" max="4" width="7.75" style="5" bestFit="1" customWidth="1"/>
    <col min="5" max="5" width="9" style="5" customWidth="1"/>
    <col min="6" max="6" width="7.5" style="5" customWidth="1"/>
    <col min="7" max="7" width="70.625" style="5" customWidth="1"/>
    <col min="8" max="9" width="9.125" style="5" customWidth="1"/>
    <col min="10" max="11" width="9.125" style="4" customWidth="1"/>
    <col min="12" max="12" width="9.125" style="19" customWidth="1"/>
    <col min="13" max="13" width="13.75" style="19" customWidth="1"/>
    <col min="14" max="16" width="6.375" style="7" customWidth="1"/>
    <col min="17" max="17" width="55.625" style="7" customWidth="1"/>
    <col min="18" max="18" width="13.625" style="7" bestFit="1" customWidth="1"/>
    <col min="19" max="19" width="13.125" style="7" customWidth="1"/>
    <col min="20" max="20" width="3.125" style="7" customWidth="1"/>
    <col min="21" max="21" width="8.5" style="7" customWidth="1"/>
    <col min="22" max="22" width="17.125" style="7" bestFit="1" customWidth="1"/>
    <col min="23" max="28" width="8.5" style="7" customWidth="1"/>
    <col min="29" max="16384" width="7.75" style="7"/>
  </cols>
  <sheetData>
    <row r="1" spans="1:22" ht="128.1" customHeight="1" x14ac:dyDescent="0.35">
      <c r="A1" s="193"/>
      <c r="B1" s="193"/>
      <c r="C1" s="193"/>
      <c r="D1" s="193"/>
      <c r="G1" s="10"/>
      <c r="M1" s="39" t="s">
        <v>55</v>
      </c>
      <c r="Q1" s="39" t="s">
        <v>56</v>
      </c>
    </row>
    <row r="2" spans="1:22" ht="21" x14ac:dyDescent="0.35">
      <c r="A2" s="7"/>
      <c r="B2" s="7"/>
      <c r="C2" s="7"/>
      <c r="D2" s="7"/>
      <c r="E2" s="17" t="s">
        <v>13</v>
      </c>
      <c r="F2" s="10">
        <f>'Inserimento dati'!B5</f>
        <v>2025</v>
      </c>
      <c r="G2" s="38" t="str">
        <f ca="1">"REDATTO IL " &amp; TEXT(INDIRECT("'Inserimento dati'!B3"), "gg/mm/aaaa")</f>
        <v>REDATTO IL 25/10/2025</v>
      </c>
      <c r="H2" s="11">
        <f ca="1">INDIRECT("'Inserimento dati'!B1")</f>
        <v>45957</v>
      </c>
      <c r="I2" s="11">
        <f ca="1">H2 + 1</f>
        <v>45958</v>
      </c>
      <c r="J2" s="11">
        <f ca="1">I2 + 1</f>
        <v>45959</v>
      </c>
      <c r="K2" s="11">
        <f ca="1">J2 + 1</f>
        <v>45960</v>
      </c>
      <c r="L2" s="11">
        <f ca="1">K2 + 1</f>
        <v>45961</v>
      </c>
      <c r="N2" s="194" t="s">
        <v>50</v>
      </c>
      <c r="O2" s="194"/>
      <c r="P2" s="194"/>
      <c r="Q2" s="21"/>
    </row>
    <row r="3" spans="1:22" s="13" customFormat="1" ht="38.25" x14ac:dyDescent="0.2">
      <c r="A3" s="114" t="s">
        <v>53</v>
      </c>
      <c r="B3" s="115" t="s">
        <v>54</v>
      </c>
      <c r="C3" s="122" t="s">
        <v>32</v>
      </c>
      <c r="D3" s="119" t="s">
        <v>0</v>
      </c>
      <c r="E3" s="119" t="s">
        <v>1</v>
      </c>
      <c r="F3" s="119" t="s">
        <v>2</v>
      </c>
      <c r="G3" s="119" t="s">
        <v>16</v>
      </c>
      <c r="H3" s="117" t="s">
        <v>3</v>
      </c>
      <c r="I3" s="117" t="s">
        <v>4</v>
      </c>
      <c r="J3" s="117" t="s">
        <v>5</v>
      </c>
      <c r="K3" s="117" t="s">
        <v>6</v>
      </c>
      <c r="L3" s="117" t="s">
        <v>7</v>
      </c>
      <c r="M3" s="117" t="s">
        <v>18</v>
      </c>
      <c r="N3" s="117" t="s">
        <v>39</v>
      </c>
      <c r="O3" s="117" t="s">
        <v>40</v>
      </c>
      <c r="P3" s="117" t="s">
        <v>41</v>
      </c>
      <c r="Q3" s="117" t="s">
        <v>14</v>
      </c>
      <c r="R3" s="118" t="s">
        <v>15</v>
      </c>
      <c r="S3" s="117" t="s">
        <v>17</v>
      </c>
      <c r="T3" s="123" t="s">
        <v>33</v>
      </c>
      <c r="U3" s="124" t="s">
        <v>61</v>
      </c>
      <c r="V3" s="13" t="s">
        <v>141</v>
      </c>
    </row>
    <row r="4" spans="1:22" s="13" customFormat="1" ht="30" x14ac:dyDescent="0.25">
      <c r="A4" s="84"/>
      <c r="B4" s="84" t="str">
        <f t="shared" ref="B4" si="0">IF(OR(A4="x",A4="X"),"",IF(ISBLANK(A4),"X",""))</f>
        <v>X</v>
      </c>
      <c r="C4" s="84" t="str">
        <f>IF(OR(TabellaCTE9[[#This Row],[LUN]]="X",TabellaCTE9[[#This Row],[MAR]]="X",TabellaCTE9[[#This Row],[MER]]="X",TabellaCTE9[[#This Row],[GIO]]="X",TabellaCTE9[[#This Row],[VEN]]="X",),"X","")</f>
        <v/>
      </c>
      <c r="D4" s="85" t="s">
        <v>156</v>
      </c>
      <c r="E4" s="81" t="s">
        <v>2728</v>
      </c>
      <c r="F4" s="81">
        <v>2800</v>
      </c>
      <c r="G4" s="81" t="s">
        <v>2729</v>
      </c>
      <c r="H4" s="83"/>
      <c r="I4" s="83"/>
      <c r="J4" s="83"/>
      <c r="K4" s="83"/>
      <c r="L4" s="83"/>
      <c r="M4" s="81" t="s">
        <v>43</v>
      </c>
      <c r="N4" s="81"/>
      <c r="O4" s="81"/>
      <c r="P4" s="81"/>
      <c r="Q4" s="81"/>
      <c r="R4" s="82"/>
      <c r="S4" s="82"/>
      <c r="T4" s="157" t="str">
        <f ca="1">IF(AND('Inserimento dati'!$B$3=$H$2, TabellaCTE9[[#This Row],[LUN]]="X"), "X",IF(AND('Inserimento dati'!$B$3=$I$2, TabellaCTE9[[#This Row],[MAR]]="X"), "X", IF(AND('Inserimento dati'!$B$3=$J$2, TabellaCTE9[[#This Row],[MER]]="X"), "X",IF(AND('Inserimento dati'!$B$3=$K$2, TabellaCTE9[[#This Row],[GIO]]="X"), "X", IF(AND('Inserimento dati'!$B$3=$L$2, TabellaCTE9[[#This Row],[VEN]]="X"), "X","")))))</f>
        <v/>
      </c>
      <c r="U4" s="159" t="str">
        <f t="shared" ref="U4" ca="1" si="1">IFERROR(MID(G4,_xlfn.AGGREGATE(15,6,(ROW(INDIRECT("1:"&amp;LEN(G4)-7)))/(ISNUMBER(--MID(G4,ROW(INDIRECT("1:"&amp;LEN(G4)-7)),8))),1),8),"")</f>
        <v/>
      </c>
      <c r="V4" s="109"/>
    </row>
    <row r="6" spans="1:22" x14ac:dyDescent="0.25">
      <c r="D6" s="4"/>
    </row>
  </sheetData>
  <mergeCells count="2">
    <mergeCell ref="A1:D1"/>
    <mergeCell ref="N2:P2"/>
  </mergeCells>
  <conditionalFormatting sqref="E4:G4 M4:S4">
    <cfRule type="expression" dxfId="4219" priority="1">
      <formula>SEARCH("IN CORSO",$M4)&gt;0</formula>
    </cfRule>
    <cfRule type="expression" dxfId="4218" priority="2">
      <formula>SEARCH("CHIUSO",$M4)&gt;0</formula>
    </cfRule>
    <cfRule type="expression" dxfId="4217" priority="3">
      <formula>SEARCH("EMESSO",$M4)&gt;0</formula>
    </cfRule>
    <cfRule type="expression" dxfId="4216" priority="4">
      <formula>SEARCH("RICHIESTO",$M4)&gt;0</formula>
    </cfRule>
    <cfRule type="expression" dxfId="4215" priority="5">
      <formula>SEARCH("DA CHIUDERE",$M4)&gt;0</formula>
    </cfRule>
    <cfRule type="expression" dxfId="4214" priority="6">
      <formula>SEARCH("INTERROTTO",$M4)&gt;0</formula>
    </cfRule>
  </conditionalFormatting>
  <dataValidations count="1">
    <dataValidation type="list" allowBlank="1" showInputMessage="1" showErrorMessage="1" sqref="M4" xr:uid="{B98A1E9B-70AB-44AA-BB68-E885672954C9}">
      <formula1>"RICHIESTO,EMESSO,IN CORSO,INTERROTTO,DA CHIUDERE,SCADUTO,CHIUSO,"</formula1>
    </dataValidation>
  </dataValidations>
  <pageMargins left="0.70866141732283472" right="0.70866141732283472" top="0.74803149606299213" bottom="0.74803149606299213" header="0.31496062992125984" footer="0.31496062992125984"/>
  <pageSetup paperSize="9" scale="4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16417" r:id="rId4" name="Button 1">
              <controlPr defaultSize="0" print="0" autoFill="0" autoPict="0" macro="[0]!AggiungiRiga">
                <anchor moveWithCells="1" sizeWithCells="1">
                  <from>
                    <xdr:col>0</xdr:col>
                    <xdr:colOff>9525</xdr:colOff>
                    <xdr:row>0</xdr:row>
                    <xdr:rowOff>1047750</xdr:rowOff>
                  </from>
                  <to>
                    <xdr:col>3</xdr:col>
                    <xdr:colOff>466725</xdr:colOff>
                    <xdr:row>0</xdr:row>
                    <xdr:rowOff>1314450</xdr:rowOff>
                  </to>
                </anchor>
              </controlPr>
            </control>
          </mc:Choice>
        </mc:AlternateContent>
        <mc:AlternateContent xmlns:mc="http://schemas.openxmlformats.org/markup-compatibility/2006">
          <mc:Choice Requires="x14">
            <control shapeId="316418" r:id="rId5" name="Button 2">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316419" r:id="rId6" name="Button 3">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316420" r:id="rId7" name="Button 4">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316421" r:id="rId8" name="Button 5">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316422" r:id="rId9" name="Button 6">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316423" r:id="rId10" name="Button 7">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316424" r:id="rId11" name="Button 8">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316425" r:id="rId12" name="Button 9">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316426" r:id="rId13" name="Button 10">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316427" r:id="rId14" name="Button 11">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316428" r:id="rId15" name="Button 12">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controls>
    </mc:Choice>
  </mc:AlternateContent>
  <tableParts count="1">
    <tablePart r:id="rId1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oglio5">
    <tabColor theme="3"/>
    <pageSetUpPr fitToPage="1"/>
  </sheetPr>
  <dimension ref="A1:V204"/>
  <sheetViews>
    <sheetView zoomScale="85" zoomScaleNormal="85" workbookViewId="0">
      <selection activeCell="A4" sqref="A4:U204"/>
    </sheetView>
  </sheetViews>
  <sheetFormatPr defaultColWidth="7.75" defaultRowHeight="15" x14ac:dyDescent="0.25"/>
  <cols>
    <col min="1" max="1" width="3.125" style="3" customWidth="1"/>
    <col min="2" max="2" width="3.125" style="1" customWidth="1"/>
    <col min="3" max="3" width="3.125" style="4" customWidth="1"/>
    <col min="4" max="4" width="9" style="5" bestFit="1" customWidth="1"/>
    <col min="5" max="5" width="9" style="5" customWidth="1"/>
    <col min="6" max="6" width="7.5" style="5" customWidth="1"/>
    <col min="7" max="7" width="70.625" style="5" customWidth="1"/>
    <col min="8" max="9" width="9.125" style="5" customWidth="1"/>
    <col min="10" max="11" width="9.125" style="4" customWidth="1"/>
    <col min="12" max="12" width="9.125" style="6" customWidth="1"/>
    <col min="13" max="13" width="13.75" style="6" customWidth="1"/>
    <col min="14" max="16" width="6.375" style="7" customWidth="1"/>
    <col min="17" max="17" width="55.625" style="7" customWidth="1"/>
    <col min="18" max="18" width="13.625" style="7" bestFit="1" customWidth="1"/>
    <col min="19" max="19" width="13.125" style="7" customWidth="1"/>
    <col min="20" max="20" width="3.125" style="7" customWidth="1"/>
    <col min="21" max="21" width="7.75" style="7"/>
    <col min="22" max="22" width="17" style="7" bestFit="1" customWidth="1"/>
    <col min="23" max="16384" width="7.75" style="7"/>
  </cols>
  <sheetData>
    <row r="1" spans="1:22" ht="128.1" customHeight="1" x14ac:dyDescent="0.35">
      <c r="A1" s="193"/>
      <c r="B1" s="193"/>
      <c r="C1" s="193"/>
      <c r="D1" s="193"/>
      <c r="G1" s="10"/>
      <c r="L1" s="19"/>
      <c r="M1" s="39" t="s">
        <v>55</v>
      </c>
      <c r="Q1" s="39" t="s">
        <v>56</v>
      </c>
    </row>
    <row r="2" spans="1:22" ht="21" x14ac:dyDescent="0.35">
      <c r="A2" s="7"/>
      <c r="B2" s="7"/>
      <c r="C2" s="7"/>
      <c r="D2" s="7"/>
      <c r="E2" s="17" t="s">
        <v>13</v>
      </c>
      <c r="F2" s="10">
        <f>'Inserimento dati'!B5</f>
        <v>2025</v>
      </c>
      <c r="G2" s="38" t="str">
        <f ca="1">"REDATTO IL " &amp; TEXT(INDIRECT("'Inserimento dati'!B3"), "gg/mm/aaaa")</f>
        <v>REDATTO IL 25/10/2025</v>
      </c>
      <c r="H2" s="11">
        <f ca="1">INDIRECT("'Inserimento dati'!B1")</f>
        <v>45957</v>
      </c>
      <c r="I2" s="11">
        <f ca="1">H2 + 1</f>
        <v>45958</v>
      </c>
      <c r="J2" s="11">
        <f ca="1">I2 + 1</f>
        <v>45959</v>
      </c>
      <c r="K2" s="11">
        <f ca="1">J2 + 1</f>
        <v>45960</v>
      </c>
      <c r="L2" s="11">
        <f ca="1">K2 + 1</f>
        <v>45961</v>
      </c>
      <c r="M2" s="19"/>
      <c r="N2" s="194" t="s">
        <v>50</v>
      </c>
      <c r="O2" s="194"/>
      <c r="P2" s="194"/>
      <c r="Q2" s="21"/>
    </row>
    <row r="3" spans="1:22" s="13" customFormat="1" ht="38.25" x14ac:dyDescent="0.2">
      <c r="A3" s="114" t="s">
        <v>53</v>
      </c>
      <c r="B3" s="115" t="s">
        <v>54</v>
      </c>
      <c r="C3" s="122" t="s">
        <v>32</v>
      </c>
      <c r="D3" s="119" t="s">
        <v>0</v>
      </c>
      <c r="E3" s="119" t="s">
        <v>1</v>
      </c>
      <c r="F3" s="119" t="s">
        <v>2</v>
      </c>
      <c r="G3" s="119" t="s">
        <v>16</v>
      </c>
      <c r="H3" s="117" t="s">
        <v>3</v>
      </c>
      <c r="I3" s="117" t="s">
        <v>4</v>
      </c>
      <c r="J3" s="117" t="s">
        <v>5</v>
      </c>
      <c r="K3" s="117" t="s">
        <v>6</v>
      </c>
      <c r="L3" s="117" t="s">
        <v>7</v>
      </c>
      <c r="M3" s="117" t="s">
        <v>18</v>
      </c>
      <c r="N3" s="117" t="s">
        <v>39</v>
      </c>
      <c r="O3" s="117" t="s">
        <v>40</v>
      </c>
      <c r="P3" s="117" t="s">
        <v>41</v>
      </c>
      <c r="Q3" s="117" t="s">
        <v>14</v>
      </c>
      <c r="R3" s="118" t="s">
        <v>15</v>
      </c>
      <c r="S3" s="117" t="s">
        <v>17</v>
      </c>
      <c r="T3" s="123" t="s">
        <v>33</v>
      </c>
      <c r="U3" s="124" t="s">
        <v>61</v>
      </c>
      <c r="V3" s="13" t="s">
        <v>141</v>
      </c>
    </row>
    <row r="4" spans="1:22" s="13" customFormat="1" ht="45" x14ac:dyDescent="0.2">
      <c r="A4" s="84"/>
      <c r="B4" s="84"/>
      <c r="C4" s="84" t="str">
        <f>IF(OR(TabellaBLENDING[[#This Row],[LUN]]="X",TabellaBLENDING[[#This Row],[MAR]]="X",TabellaBLENDING[[#This Row],[MER]]="X",TabellaBLENDING[[#This Row],[GIO]]="X",TabellaBLENDING[[#This Row],[VEN]]="X",),"X","")</f>
        <v/>
      </c>
      <c r="D4" s="81" t="s">
        <v>30</v>
      </c>
      <c r="E4" s="81" t="s">
        <v>2769</v>
      </c>
      <c r="F4" s="81" t="s">
        <v>175</v>
      </c>
      <c r="G4" s="81" t="s">
        <v>2770</v>
      </c>
      <c r="H4" s="83"/>
      <c r="I4" s="83"/>
      <c r="J4" s="83"/>
      <c r="K4" s="83"/>
      <c r="L4" s="83"/>
      <c r="M4" s="81" t="s">
        <v>52</v>
      </c>
      <c r="N4" s="81"/>
      <c r="O4" s="81"/>
      <c r="P4" s="81"/>
      <c r="Q4" s="81" t="s">
        <v>2771</v>
      </c>
      <c r="R4" s="82">
        <v>45863</v>
      </c>
      <c r="S4" s="82" t="s">
        <v>23</v>
      </c>
      <c r="T4"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 s="87"/>
      <c r="V4" s="109">
        <v>45951.914293981485</v>
      </c>
    </row>
    <row r="5" spans="1:22" s="13" customFormat="1" ht="30" x14ac:dyDescent="0.2">
      <c r="A5" s="84"/>
      <c r="B5" s="84" t="str">
        <f t="shared" ref="B5:B36" si="0">IF(OR(A5="x",A5="X"),"",IF(ISBLANK(A5),"X",""))</f>
        <v>X</v>
      </c>
      <c r="C5" s="84" t="str">
        <f>IF(OR(TabellaBLENDING[[#This Row],[LUN]]="X",TabellaBLENDING[[#This Row],[MAR]]="X",TabellaBLENDING[[#This Row],[MER]]="X",TabellaBLENDING[[#This Row],[GIO]]="X",TabellaBLENDING[[#This Row],[VEN]]="X",),"X","")</f>
        <v/>
      </c>
      <c r="D5" s="81" t="s">
        <v>30</v>
      </c>
      <c r="E5" s="81" t="s">
        <v>2772</v>
      </c>
      <c r="F5" s="81" t="s">
        <v>30</v>
      </c>
      <c r="G5" s="81" t="s">
        <v>2773</v>
      </c>
      <c r="H5" s="83"/>
      <c r="I5" s="83"/>
      <c r="J5" s="83"/>
      <c r="K5" s="83"/>
      <c r="L5" s="83"/>
      <c r="M5" s="81" t="s">
        <v>52</v>
      </c>
      <c r="N5" s="81"/>
      <c r="O5" s="81"/>
      <c r="P5" s="81"/>
      <c r="Q5" s="81"/>
      <c r="R5" s="82"/>
      <c r="S5" s="82"/>
      <c r="T5"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 s="134" t="str">
        <f t="shared" ref="U5:U36" ca="1" si="1">IFERROR(MID(G5,_xlfn.AGGREGATE(15,6,(ROW(INDIRECT("1:"&amp;LEN(G5)-7)))/(ISNUMBER(--MID(G5,ROW(INDIRECT("1:"&amp;LEN(G5)-7)),8))),1),8),"")</f>
        <v/>
      </c>
      <c r="V5" s="109">
        <v>45951.914247685185</v>
      </c>
    </row>
    <row r="6" spans="1:22" s="13" customFormat="1" ht="30" x14ac:dyDescent="0.2">
      <c r="A6" s="84"/>
      <c r="B6" s="84" t="str">
        <f t="shared" si="0"/>
        <v>X</v>
      </c>
      <c r="C6" s="84" t="str">
        <f>IF(OR(TabellaBLENDING[[#This Row],[LUN]]="X",TabellaBLENDING[[#This Row],[MAR]]="X",TabellaBLENDING[[#This Row],[MER]]="X",TabellaBLENDING[[#This Row],[GIO]]="X",TabellaBLENDING[[#This Row],[VEN]]="X",),"X","")</f>
        <v/>
      </c>
      <c r="D6" s="81" t="s">
        <v>30</v>
      </c>
      <c r="E6" s="81" t="s">
        <v>2774</v>
      </c>
      <c r="F6" s="81">
        <v>6500</v>
      </c>
      <c r="G6" s="81" t="s">
        <v>2775</v>
      </c>
      <c r="H6" s="83"/>
      <c r="I6" s="83"/>
      <c r="J6" s="83"/>
      <c r="K6" s="83"/>
      <c r="L6" s="83"/>
      <c r="M6" s="81" t="s">
        <v>52</v>
      </c>
      <c r="N6" s="81"/>
      <c r="O6" s="81"/>
      <c r="P6" s="81"/>
      <c r="Q6" s="81" t="s">
        <v>725</v>
      </c>
      <c r="R6" s="82">
        <v>45763</v>
      </c>
      <c r="S6" s="82" t="s">
        <v>23</v>
      </c>
      <c r="T6"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 s="134" t="str">
        <f t="shared" ca="1" si="1"/>
        <v/>
      </c>
      <c r="V6" s="109">
        <v>45947.585509259261</v>
      </c>
    </row>
    <row r="7" spans="1:22" s="13" customFormat="1" ht="23.25" x14ac:dyDescent="0.2">
      <c r="A7" s="84"/>
      <c r="B7" s="84" t="str">
        <f t="shared" si="0"/>
        <v>X</v>
      </c>
      <c r="C7" s="84" t="str">
        <f>IF(OR(TabellaBLENDING[[#This Row],[LUN]]="X",TabellaBLENDING[[#This Row],[MAR]]="X",TabellaBLENDING[[#This Row],[MER]]="X",TabellaBLENDING[[#This Row],[GIO]]="X",TabellaBLENDING[[#This Row],[VEN]]="X",),"X","")</f>
        <v/>
      </c>
      <c r="D7" s="81" t="s">
        <v>30</v>
      </c>
      <c r="E7" s="81" t="s">
        <v>2776</v>
      </c>
      <c r="F7" s="81">
        <v>6500</v>
      </c>
      <c r="G7" s="81" t="s">
        <v>2777</v>
      </c>
      <c r="H7" s="83"/>
      <c r="I7" s="83"/>
      <c r="J7" s="83"/>
      <c r="K7" s="83"/>
      <c r="L7" s="83"/>
      <c r="M7" s="81" t="s">
        <v>52</v>
      </c>
      <c r="N7" s="81"/>
      <c r="O7" s="81"/>
      <c r="P7" s="81"/>
      <c r="Q7" s="81" t="s">
        <v>725</v>
      </c>
      <c r="R7" s="82">
        <v>45769</v>
      </c>
      <c r="S7" s="82" t="s">
        <v>45</v>
      </c>
      <c r="T7"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 s="134" t="str">
        <f t="shared" ca="1" si="1"/>
        <v/>
      </c>
      <c r="V7" s="109">
        <v>45946.543043981481</v>
      </c>
    </row>
    <row r="8" spans="1:22" s="13" customFormat="1" ht="23.25" x14ac:dyDescent="0.2">
      <c r="A8" s="84"/>
      <c r="B8" s="84" t="str">
        <f t="shared" si="0"/>
        <v>X</v>
      </c>
      <c r="C8" s="84" t="str">
        <f>IF(OR(TabellaBLENDING[[#This Row],[LUN]]="X",TabellaBLENDING[[#This Row],[MAR]]="X",TabellaBLENDING[[#This Row],[MER]]="X",TabellaBLENDING[[#This Row],[GIO]]="X",TabellaBLENDING[[#This Row],[VEN]]="X",),"X","")</f>
        <v/>
      </c>
      <c r="D8" s="81" t="s">
        <v>30</v>
      </c>
      <c r="E8" s="81" t="s">
        <v>2778</v>
      </c>
      <c r="F8" s="81">
        <v>6500</v>
      </c>
      <c r="G8" s="81" t="s">
        <v>2779</v>
      </c>
      <c r="H8" s="83"/>
      <c r="I8" s="83"/>
      <c r="J8" s="83"/>
      <c r="K8" s="83"/>
      <c r="L8" s="83"/>
      <c r="M8" s="81" t="s">
        <v>52</v>
      </c>
      <c r="N8" s="81"/>
      <c r="O8" s="81"/>
      <c r="P8" s="81"/>
      <c r="Q8" s="81" t="s">
        <v>725</v>
      </c>
      <c r="R8" s="82">
        <v>45797</v>
      </c>
      <c r="S8" s="82" t="s">
        <v>535</v>
      </c>
      <c r="T8"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 s="134" t="str">
        <f t="shared" ca="1" si="1"/>
        <v/>
      </c>
      <c r="V8" s="109">
        <v>45943.830243055556</v>
      </c>
    </row>
    <row r="9" spans="1:22" s="13" customFormat="1" ht="30" x14ac:dyDescent="0.2">
      <c r="A9" s="84"/>
      <c r="B9" s="84" t="str">
        <f t="shared" si="0"/>
        <v>X</v>
      </c>
      <c r="C9" s="84" t="str">
        <f>IF(OR(TabellaBLENDING[[#This Row],[LUN]]="X",TabellaBLENDING[[#This Row],[MAR]]="X",TabellaBLENDING[[#This Row],[MER]]="X",TabellaBLENDING[[#This Row],[GIO]]="X",TabellaBLENDING[[#This Row],[VEN]]="X",),"X","")</f>
        <v/>
      </c>
      <c r="D9" s="81" t="s">
        <v>30</v>
      </c>
      <c r="E9" s="81" t="s">
        <v>2780</v>
      </c>
      <c r="F9" s="81">
        <v>4500</v>
      </c>
      <c r="G9" s="81" t="s">
        <v>2781</v>
      </c>
      <c r="H9" s="83"/>
      <c r="I9" s="83"/>
      <c r="J9" s="83"/>
      <c r="K9" s="83"/>
      <c r="L9" s="83"/>
      <c r="M9" s="81" t="s">
        <v>52</v>
      </c>
      <c r="N9" s="81"/>
      <c r="O9" s="81"/>
      <c r="P9" s="81"/>
      <c r="Q9" s="81" t="s">
        <v>725</v>
      </c>
      <c r="R9" s="82">
        <v>45806</v>
      </c>
      <c r="S9" s="82" t="s">
        <v>23</v>
      </c>
      <c r="T9"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 s="134" t="str">
        <f t="shared" ca="1" si="1"/>
        <v/>
      </c>
      <c r="V9" s="109">
        <v>45939.579513888886</v>
      </c>
    </row>
    <row r="10" spans="1:22" s="13" customFormat="1" ht="30" x14ac:dyDescent="0.25">
      <c r="A10" s="84"/>
      <c r="B10" s="84" t="str">
        <f t="shared" si="0"/>
        <v>X</v>
      </c>
      <c r="C10" s="84" t="str">
        <f>IF(OR(TabellaBLENDING[[#This Row],[LUN]]="X",TabellaBLENDING[[#This Row],[MAR]]="X",TabellaBLENDING[[#This Row],[MER]]="X",TabellaBLENDING[[#This Row],[GIO]]="X",TabellaBLENDING[[#This Row],[VEN]]="X",),"X","")</f>
        <v/>
      </c>
      <c r="D10" s="81" t="s">
        <v>30</v>
      </c>
      <c r="E10" s="81" t="s">
        <v>2782</v>
      </c>
      <c r="F10" s="81" t="s">
        <v>30</v>
      </c>
      <c r="G10" s="81" t="s">
        <v>2783</v>
      </c>
      <c r="H10" s="83"/>
      <c r="I10" s="83"/>
      <c r="J10" s="83"/>
      <c r="K10" s="83"/>
      <c r="L10" s="83"/>
      <c r="M10" s="81" t="s">
        <v>52</v>
      </c>
      <c r="N10" s="81"/>
      <c r="O10" s="81"/>
      <c r="P10" s="81"/>
      <c r="Q10" s="81"/>
      <c r="R10" s="82"/>
      <c r="S10" s="82"/>
      <c r="T10"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 s="158" t="str">
        <f t="shared" ca="1" si="1"/>
        <v/>
      </c>
      <c r="V10" s="109">
        <v>45938.304074074076</v>
      </c>
    </row>
    <row r="11" spans="1:22" s="13" customFormat="1" ht="30" x14ac:dyDescent="0.25">
      <c r="A11" s="84"/>
      <c r="B11" s="84" t="str">
        <f t="shared" si="0"/>
        <v>X</v>
      </c>
      <c r="C11" s="84" t="str">
        <f>IF(OR(TabellaBLENDING[[#This Row],[LUN]]="X",TabellaBLENDING[[#This Row],[MAR]]="X",TabellaBLENDING[[#This Row],[MER]]="X",TabellaBLENDING[[#This Row],[GIO]]="X",TabellaBLENDING[[#This Row],[VEN]]="X",),"X","")</f>
        <v/>
      </c>
      <c r="D11" s="81" t="s">
        <v>30</v>
      </c>
      <c r="E11" s="81" t="s">
        <v>2784</v>
      </c>
      <c r="F11" s="81" t="s">
        <v>30</v>
      </c>
      <c r="G11" s="81" t="s">
        <v>2785</v>
      </c>
      <c r="H11" s="83"/>
      <c r="I11" s="83"/>
      <c r="J11" s="83"/>
      <c r="K11" s="83"/>
      <c r="L11" s="83"/>
      <c r="M11" s="81" t="s">
        <v>52</v>
      </c>
      <c r="N11" s="81" t="s">
        <v>8</v>
      </c>
      <c r="O11" s="81"/>
      <c r="P11" s="81"/>
      <c r="Q11" s="81" t="s">
        <v>2786</v>
      </c>
      <c r="R11" s="82">
        <v>45782</v>
      </c>
      <c r="S11" s="82" t="s">
        <v>535</v>
      </c>
      <c r="T11" s="138"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 s="158" t="str">
        <f t="shared" ca="1" si="1"/>
        <v/>
      </c>
      <c r="V11" s="109">
        <v>45938.298414351855</v>
      </c>
    </row>
    <row r="12" spans="1:22" s="13" customFormat="1" ht="30" x14ac:dyDescent="0.25">
      <c r="A12" s="84"/>
      <c r="B12" s="84" t="str">
        <f t="shared" si="0"/>
        <v>X</v>
      </c>
      <c r="C12" s="84" t="str">
        <f>IF(OR(TabellaBLENDING[[#This Row],[LUN]]="X",TabellaBLENDING[[#This Row],[MAR]]="X",TabellaBLENDING[[#This Row],[MER]]="X",TabellaBLENDING[[#This Row],[GIO]]="X",TabellaBLENDING[[#This Row],[VEN]]="X",),"X","")</f>
        <v/>
      </c>
      <c r="D12" s="81" t="s">
        <v>30</v>
      </c>
      <c r="E12" s="81" t="s">
        <v>2787</v>
      </c>
      <c r="F12" s="81" t="s">
        <v>30</v>
      </c>
      <c r="G12" s="81" t="s">
        <v>2788</v>
      </c>
      <c r="H12" s="83"/>
      <c r="I12" s="83"/>
      <c r="J12" s="83"/>
      <c r="K12" s="83"/>
      <c r="L12" s="83"/>
      <c r="M12" s="81" t="s">
        <v>52</v>
      </c>
      <c r="N12" s="81"/>
      <c r="O12" s="81"/>
      <c r="P12" s="81"/>
      <c r="Q12" s="81"/>
      <c r="R12" s="82"/>
      <c r="S12" s="82"/>
      <c r="T12" s="138"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 s="158" t="str">
        <f t="shared" ca="1" si="1"/>
        <v/>
      </c>
      <c r="V12" s="109">
        <v>45934.685555555552</v>
      </c>
    </row>
    <row r="13" spans="1:22" s="13" customFormat="1" ht="30" x14ac:dyDescent="0.25">
      <c r="A13" s="84"/>
      <c r="B13" s="84" t="str">
        <f t="shared" si="0"/>
        <v>X</v>
      </c>
      <c r="C13" s="84" t="str">
        <f>IF(OR(TabellaBLENDING[[#This Row],[LUN]]="X",TabellaBLENDING[[#This Row],[MAR]]="X",TabellaBLENDING[[#This Row],[MER]]="X",TabellaBLENDING[[#This Row],[GIO]]="X",TabellaBLENDING[[#This Row],[VEN]]="X",),"X","")</f>
        <v/>
      </c>
      <c r="D13" s="81" t="s">
        <v>30</v>
      </c>
      <c r="E13" s="81" t="s">
        <v>2789</v>
      </c>
      <c r="F13" s="81" t="s">
        <v>30</v>
      </c>
      <c r="G13" s="81" t="s">
        <v>2790</v>
      </c>
      <c r="H13" s="83"/>
      <c r="I13" s="83"/>
      <c r="J13" s="83"/>
      <c r="K13" s="83"/>
      <c r="L13" s="83"/>
      <c r="M13" s="81" t="s">
        <v>52</v>
      </c>
      <c r="N13" s="82"/>
      <c r="O13" s="82"/>
      <c r="P13" s="82"/>
      <c r="Q13" s="82"/>
      <c r="R13" s="82"/>
      <c r="S13" s="82"/>
      <c r="T13" s="138"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 s="158" t="str">
        <f t="shared" ca="1" si="1"/>
        <v/>
      </c>
      <c r="V13" s="109">
        <v>45934.685543981483</v>
      </c>
    </row>
    <row r="14" spans="1:22" s="13" customFormat="1" ht="30" x14ac:dyDescent="0.25">
      <c r="A14" s="84"/>
      <c r="B14" s="84" t="str">
        <f t="shared" si="0"/>
        <v>X</v>
      </c>
      <c r="C14" s="84" t="str">
        <f>IF(OR(TabellaBLENDING[[#This Row],[LUN]]="X",TabellaBLENDING[[#This Row],[MAR]]="X",TabellaBLENDING[[#This Row],[MER]]="X",TabellaBLENDING[[#This Row],[GIO]]="X",TabellaBLENDING[[#This Row],[VEN]]="X",),"X","")</f>
        <v/>
      </c>
      <c r="D14" s="81" t="s">
        <v>30</v>
      </c>
      <c r="E14" s="81" t="s">
        <v>2791</v>
      </c>
      <c r="F14" s="81" t="s">
        <v>30</v>
      </c>
      <c r="G14" s="81" t="s">
        <v>2792</v>
      </c>
      <c r="H14" s="83"/>
      <c r="I14" s="83"/>
      <c r="J14" s="83"/>
      <c r="K14" s="83"/>
      <c r="L14" s="83"/>
      <c r="M14" s="81" t="s">
        <v>52</v>
      </c>
      <c r="N14" s="81"/>
      <c r="O14" s="81"/>
      <c r="P14" s="81"/>
      <c r="Q14" s="81" t="s">
        <v>2793</v>
      </c>
      <c r="R14" s="82">
        <v>45782</v>
      </c>
      <c r="S14" s="82" t="s">
        <v>535</v>
      </c>
      <c r="T14" s="138"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 s="158" t="str">
        <f t="shared" ca="1" si="1"/>
        <v/>
      </c>
      <c r="V14" s="109">
        <v>45934.685532407406</v>
      </c>
    </row>
    <row r="15" spans="1:22" s="13" customFormat="1" ht="30" x14ac:dyDescent="0.25">
      <c r="A15" s="84"/>
      <c r="B15" s="84" t="str">
        <f t="shared" si="0"/>
        <v>X</v>
      </c>
      <c r="C15" s="84" t="str">
        <f>IF(OR(TabellaBLENDING[[#This Row],[LUN]]="X",TabellaBLENDING[[#This Row],[MAR]]="X",TabellaBLENDING[[#This Row],[MER]]="X",TabellaBLENDING[[#This Row],[GIO]]="X",TabellaBLENDING[[#This Row],[VEN]]="X",),"X","")</f>
        <v/>
      </c>
      <c r="D15" s="81" t="s">
        <v>30</v>
      </c>
      <c r="E15" s="81" t="s">
        <v>2794</v>
      </c>
      <c r="F15" s="81" t="s">
        <v>30</v>
      </c>
      <c r="G15" s="81" t="s">
        <v>2795</v>
      </c>
      <c r="H15" s="83"/>
      <c r="I15" s="83"/>
      <c r="J15" s="83"/>
      <c r="K15" s="83"/>
      <c r="L15" s="83"/>
      <c r="M15" s="81" t="s">
        <v>52</v>
      </c>
      <c r="N15" s="82"/>
      <c r="O15" s="82"/>
      <c r="P15" s="82"/>
      <c r="Q15" s="82" t="s">
        <v>2796</v>
      </c>
      <c r="R15" s="82">
        <v>45779</v>
      </c>
      <c r="S15" s="82" t="s">
        <v>535</v>
      </c>
      <c r="T15" s="138"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 s="158" t="str">
        <f t="shared" ca="1" si="1"/>
        <v/>
      </c>
      <c r="V15" s="109"/>
    </row>
    <row r="16" spans="1:22" ht="30" x14ac:dyDescent="0.25">
      <c r="A16" s="84"/>
      <c r="B16" s="84" t="str">
        <f t="shared" si="0"/>
        <v>X</v>
      </c>
      <c r="C16" s="84" t="str">
        <f>IF(OR(TabellaBLENDING[[#This Row],[LUN]]="X",TabellaBLENDING[[#This Row],[MAR]]="X",TabellaBLENDING[[#This Row],[MER]]="X",TabellaBLENDING[[#This Row],[GIO]]="X",TabellaBLENDING[[#This Row],[VEN]]="X",),"X","")</f>
        <v/>
      </c>
      <c r="D16" s="81" t="s">
        <v>30</v>
      </c>
      <c r="E16" s="81" t="s">
        <v>2797</v>
      </c>
      <c r="F16" s="81" t="s">
        <v>30</v>
      </c>
      <c r="G16" s="81" t="s">
        <v>2798</v>
      </c>
      <c r="H16" s="83"/>
      <c r="I16" s="83"/>
      <c r="J16" s="83"/>
      <c r="K16" s="83"/>
      <c r="L16" s="83"/>
      <c r="M16" s="82" t="s">
        <v>52</v>
      </c>
      <c r="N16" s="82"/>
      <c r="O16" s="82"/>
      <c r="P16" s="82"/>
      <c r="Q16" s="82" t="s">
        <v>2799</v>
      </c>
      <c r="R16" s="82">
        <v>45775</v>
      </c>
      <c r="S16" s="82" t="s">
        <v>2800</v>
      </c>
      <c r="T16" s="138"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 s="137" t="str">
        <f t="shared" ca="1" si="1"/>
        <v/>
      </c>
    </row>
    <row r="17" spans="1:21" ht="30" x14ac:dyDescent="0.25">
      <c r="A17" s="84"/>
      <c r="B17" s="84" t="str">
        <f t="shared" si="0"/>
        <v>X</v>
      </c>
      <c r="C17" s="84" t="str">
        <f>IF(OR(TabellaBLENDING[[#This Row],[LUN]]="X",TabellaBLENDING[[#This Row],[MAR]]="X",TabellaBLENDING[[#This Row],[MER]]="X",TabellaBLENDING[[#This Row],[GIO]]="X",TabellaBLENDING[[#This Row],[VEN]]="X",),"X","")</f>
        <v/>
      </c>
      <c r="D17" s="81" t="s">
        <v>30</v>
      </c>
      <c r="E17" s="81" t="s">
        <v>2801</v>
      </c>
      <c r="F17" s="81" t="s">
        <v>30</v>
      </c>
      <c r="G17" s="81" t="s">
        <v>2802</v>
      </c>
      <c r="H17" s="83"/>
      <c r="I17" s="83"/>
      <c r="J17" s="83"/>
      <c r="K17" s="83"/>
      <c r="L17" s="83"/>
      <c r="M17" s="82" t="s">
        <v>52</v>
      </c>
      <c r="N17" s="82"/>
      <c r="O17" s="82"/>
      <c r="P17" s="82"/>
      <c r="Q17" s="82" t="s">
        <v>2803</v>
      </c>
      <c r="R17" s="82">
        <v>45775</v>
      </c>
      <c r="S17" s="82" t="s">
        <v>2800</v>
      </c>
      <c r="T17" s="138"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 s="158" t="str">
        <f t="shared" ca="1" si="1"/>
        <v/>
      </c>
    </row>
    <row r="18" spans="1:21" ht="30" x14ac:dyDescent="0.25">
      <c r="A18" s="84"/>
      <c r="B18" s="84" t="str">
        <f t="shared" si="0"/>
        <v>X</v>
      </c>
      <c r="C18" s="84" t="str">
        <f>IF(OR(TabellaBLENDING[[#This Row],[LUN]]="X",TabellaBLENDING[[#This Row],[MAR]]="X",TabellaBLENDING[[#This Row],[MER]]="X",TabellaBLENDING[[#This Row],[GIO]]="X",TabellaBLENDING[[#This Row],[VEN]]="X",),"X","")</f>
        <v/>
      </c>
      <c r="D18" s="81" t="s">
        <v>30</v>
      </c>
      <c r="E18" s="81" t="s">
        <v>2804</v>
      </c>
      <c r="F18" s="81" t="s">
        <v>30</v>
      </c>
      <c r="G18" s="81" t="s">
        <v>2805</v>
      </c>
      <c r="H18" s="83"/>
      <c r="I18" s="83"/>
      <c r="J18" s="83"/>
      <c r="K18" s="83"/>
      <c r="L18" s="83"/>
      <c r="M18" s="81" t="s">
        <v>52</v>
      </c>
      <c r="N18" s="81"/>
      <c r="O18" s="81"/>
      <c r="P18" s="81"/>
      <c r="Q18" s="81"/>
      <c r="R18" s="82"/>
      <c r="S18" s="82"/>
      <c r="T18" s="138"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 s="158" t="str">
        <f t="shared" ca="1" si="1"/>
        <v/>
      </c>
    </row>
    <row r="19" spans="1:21" ht="30" x14ac:dyDescent="0.25">
      <c r="A19" s="84"/>
      <c r="B19" s="84" t="str">
        <f t="shared" si="0"/>
        <v>X</v>
      </c>
      <c r="C19" s="84" t="str">
        <f>IF(OR(TabellaBLENDING[[#This Row],[LUN]]="X",TabellaBLENDING[[#This Row],[MAR]]="X",TabellaBLENDING[[#This Row],[MER]]="X",TabellaBLENDING[[#This Row],[GIO]]="X",TabellaBLENDING[[#This Row],[VEN]]="X",),"X","")</f>
        <v/>
      </c>
      <c r="D19" s="81" t="s">
        <v>30</v>
      </c>
      <c r="E19" s="81" t="s">
        <v>2806</v>
      </c>
      <c r="F19" s="81" t="s">
        <v>30</v>
      </c>
      <c r="G19" s="81" t="s">
        <v>2807</v>
      </c>
      <c r="H19" s="83"/>
      <c r="I19" s="83"/>
      <c r="J19" s="83"/>
      <c r="K19" s="83"/>
      <c r="L19" s="83"/>
      <c r="M19" s="81" t="s">
        <v>52</v>
      </c>
      <c r="N19" s="81"/>
      <c r="O19" s="81"/>
      <c r="P19" s="81"/>
      <c r="Q19" s="81"/>
      <c r="R19" s="82">
        <v>45710</v>
      </c>
      <c r="S19" s="82"/>
      <c r="T19" s="138"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9" s="158" t="str">
        <f t="shared" ca="1" si="1"/>
        <v/>
      </c>
    </row>
    <row r="20" spans="1:21" ht="30" x14ac:dyDescent="0.25">
      <c r="A20" s="84"/>
      <c r="B20" s="84" t="str">
        <f t="shared" si="0"/>
        <v>X</v>
      </c>
      <c r="C20" s="84" t="str">
        <f>IF(OR(TabellaBLENDING[[#This Row],[LUN]]="X",TabellaBLENDING[[#This Row],[MAR]]="X",TabellaBLENDING[[#This Row],[MER]]="X",TabellaBLENDING[[#This Row],[GIO]]="X",TabellaBLENDING[[#This Row],[VEN]]="X",),"X","")</f>
        <v/>
      </c>
      <c r="D20" s="81" t="s">
        <v>30</v>
      </c>
      <c r="E20" s="81" t="s">
        <v>2808</v>
      </c>
      <c r="F20" s="81" t="s">
        <v>30</v>
      </c>
      <c r="G20" s="81" t="s">
        <v>2809</v>
      </c>
      <c r="H20" s="83"/>
      <c r="I20" s="83"/>
      <c r="J20" s="83"/>
      <c r="K20" s="83"/>
      <c r="L20" s="83"/>
      <c r="M20" s="81" t="s">
        <v>52</v>
      </c>
      <c r="N20" s="81"/>
      <c r="O20" s="81"/>
      <c r="P20" s="81"/>
      <c r="Q20" s="81"/>
      <c r="R20" s="82"/>
      <c r="S20" s="82"/>
      <c r="T20" s="138"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0" s="158" t="str">
        <f t="shared" ca="1" si="1"/>
        <v/>
      </c>
    </row>
    <row r="21" spans="1:21" ht="30" x14ac:dyDescent="0.25">
      <c r="A21" s="84"/>
      <c r="B21" s="84" t="str">
        <f t="shared" si="0"/>
        <v>X</v>
      </c>
      <c r="C21" s="84" t="str">
        <f>IF(OR(TabellaBLENDING[[#This Row],[LUN]]="X",TabellaBLENDING[[#This Row],[MAR]]="X",TabellaBLENDING[[#This Row],[MER]]="X",TabellaBLENDING[[#This Row],[GIO]]="X",TabellaBLENDING[[#This Row],[VEN]]="X",),"X","")</f>
        <v/>
      </c>
      <c r="D21" s="81" t="s">
        <v>30</v>
      </c>
      <c r="E21" s="81" t="s">
        <v>2810</v>
      </c>
      <c r="F21" s="81" t="s">
        <v>30</v>
      </c>
      <c r="G21" s="81" t="s">
        <v>2811</v>
      </c>
      <c r="H21" s="83"/>
      <c r="I21" s="83"/>
      <c r="J21" s="83"/>
      <c r="K21" s="83"/>
      <c r="L21" s="83"/>
      <c r="M21" s="81" t="s">
        <v>52</v>
      </c>
      <c r="N21" s="81"/>
      <c r="O21" s="81"/>
      <c r="P21" s="81"/>
      <c r="Q21" s="81"/>
      <c r="R21" s="82"/>
      <c r="S21" s="82"/>
      <c r="T21" s="138"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1" s="158" t="str">
        <f t="shared" ca="1" si="1"/>
        <v/>
      </c>
    </row>
    <row r="22" spans="1:21" ht="30" x14ac:dyDescent="0.25">
      <c r="A22" s="84"/>
      <c r="B22" s="84" t="str">
        <f t="shared" si="0"/>
        <v>X</v>
      </c>
      <c r="C22" s="84" t="str">
        <f>IF(OR(TabellaBLENDING[[#This Row],[LUN]]="X",TabellaBLENDING[[#This Row],[MAR]]="X",TabellaBLENDING[[#This Row],[MER]]="X",TabellaBLENDING[[#This Row],[GIO]]="X",TabellaBLENDING[[#This Row],[VEN]]="X",),"X","")</f>
        <v/>
      </c>
      <c r="D22" s="81" t="s">
        <v>30</v>
      </c>
      <c r="E22" s="81" t="s">
        <v>2812</v>
      </c>
      <c r="F22" s="81" t="s">
        <v>30</v>
      </c>
      <c r="G22" s="81" t="s">
        <v>2813</v>
      </c>
      <c r="H22" s="83"/>
      <c r="I22" s="83"/>
      <c r="J22" s="83"/>
      <c r="K22" s="83"/>
      <c r="L22" s="83"/>
      <c r="M22" s="81" t="s">
        <v>52</v>
      </c>
      <c r="N22" s="81"/>
      <c r="O22" s="81"/>
      <c r="P22" s="81"/>
      <c r="Q22" s="81"/>
      <c r="R22" s="82"/>
      <c r="S22" s="82"/>
      <c r="T22" s="138"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2" s="158" t="str">
        <f t="shared" ca="1" si="1"/>
        <v/>
      </c>
    </row>
    <row r="23" spans="1:21" ht="23.25" x14ac:dyDescent="0.25">
      <c r="A23" s="84"/>
      <c r="B23" s="84" t="str">
        <f t="shared" si="0"/>
        <v>X</v>
      </c>
      <c r="C23" s="84" t="str">
        <f>IF(OR(TabellaBLENDING[[#This Row],[LUN]]="X",TabellaBLENDING[[#This Row],[MAR]]="X",TabellaBLENDING[[#This Row],[MER]]="X",TabellaBLENDING[[#This Row],[GIO]]="X",TabellaBLENDING[[#This Row],[VEN]]="X",),"X","")</f>
        <v/>
      </c>
      <c r="D23" s="81" t="s">
        <v>30</v>
      </c>
      <c r="E23" s="81" t="s">
        <v>2814</v>
      </c>
      <c r="F23" s="81" t="s">
        <v>2815</v>
      </c>
      <c r="G23" s="81" t="s">
        <v>2816</v>
      </c>
      <c r="H23" s="83"/>
      <c r="I23" s="83"/>
      <c r="J23" s="83"/>
      <c r="K23" s="83"/>
      <c r="L23" s="83"/>
      <c r="M23" s="81" t="s">
        <v>52</v>
      </c>
      <c r="N23" s="81"/>
      <c r="O23" s="81"/>
      <c r="P23" s="81"/>
      <c r="Q23" s="81"/>
      <c r="R23" s="82"/>
      <c r="S23" s="82"/>
      <c r="T23" s="138"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3" s="158" t="str">
        <f t="shared" ca="1" si="1"/>
        <v/>
      </c>
    </row>
    <row r="24" spans="1:21" ht="30" x14ac:dyDescent="0.25">
      <c r="A24" s="84"/>
      <c r="B24" s="84" t="str">
        <f t="shared" si="0"/>
        <v>X</v>
      </c>
      <c r="C24" s="84" t="str">
        <f>IF(OR(TabellaBLENDING[[#This Row],[LUN]]="X",TabellaBLENDING[[#This Row],[MAR]]="X",TabellaBLENDING[[#This Row],[MER]]="X",TabellaBLENDING[[#This Row],[GIO]]="X",TabellaBLENDING[[#This Row],[VEN]]="X",),"X","")</f>
        <v/>
      </c>
      <c r="D24" s="81" t="s">
        <v>30</v>
      </c>
      <c r="E24" s="81" t="s">
        <v>2817</v>
      </c>
      <c r="F24" s="81" t="s">
        <v>30</v>
      </c>
      <c r="G24" s="81" t="s">
        <v>2818</v>
      </c>
      <c r="H24" s="83"/>
      <c r="I24" s="83"/>
      <c r="J24" s="83"/>
      <c r="K24" s="83"/>
      <c r="L24" s="83"/>
      <c r="M24" s="81" t="s">
        <v>52</v>
      </c>
      <c r="N24" s="81"/>
      <c r="O24" s="81"/>
      <c r="P24" s="81"/>
      <c r="Q24" s="81"/>
      <c r="R24" s="82"/>
      <c r="S24" s="82"/>
      <c r="T24" s="138"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4" s="158" t="str">
        <f t="shared" ca="1" si="1"/>
        <v/>
      </c>
    </row>
    <row r="25" spans="1:21" ht="30" x14ac:dyDescent="0.25">
      <c r="A25" s="84"/>
      <c r="B25" s="84" t="str">
        <f t="shared" si="0"/>
        <v>X</v>
      </c>
      <c r="C25" s="84" t="str">
        <f>IF(OR(TabellaBLENDING[[#This Row],[LUN]]="X",TabellaBLENDING[[#This Row],[MAR]]="X",TabellaBLENDING[[#This Row],[MER]]="X",TabellaBLENDING[[#This Row],[GIO]]="X",TabellaBLENDING[[#This Row],[VEN]]="X",),"X","")</f>
        <v/>
      </c>
      <c r="D25" s="81" t="s">
        <v>30</v>
      </c>
      <c r="E25" s="81" t="s">
        <v>2819</v>
      </c>
      <c r="F25" s="81" t="s">
        <v>30</v>
      </c>
      <c r="G25" s="81" t="s">
        <v>2820</v>
      </c>
      <c r="H25" s="83"/>
      <c r="I25" s="83"/>
      <c r="J25" s="83"/>
      <c r="K25" s="83"/>
      <c r="L25" s="83"/>
      <c r="M25" s="81" t="s">
        <v>52</v>
      </c>
      <c r="N25" s="81"/>
      <c r="O25" s="81"/>
      <c r="P25" s="81"/>
      <c r="Q25" s="81"/>
      <c r="R25" s="82"/>
      <c r="S25" s="82"/>
      <c r="T25" s="138"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5" s="158" t="str">
        <f t="shared" ca="1" si="1"/>
        <v/>
      </c>
    </row>
    <row r="26" spans="1:21" ht="23.25" x14ac:dyDescent="0.25">
      <c r="A26" s="84"/>
      <c r="B26" s="84" t="str">
        <f t="shared" si="0"/>
        <v>X</v>
      </c>
      <c r="C26" s="84" t="str">
        <f>IF(OR(TabellaBLENDING[[#This Row],[LUN]]="X",TabellaBLENDING[[#This Row],[MAR]]="X",TabellaBLENDING[[#This Row],[MER]]="X",TabellaBLENDING[[#This Row],[GIO]]="X",TabellaBLENDING[[#This Row],[VEN]]="X",),"X","")</f>
        <v/>
      </c>
      <c r="D26" s="81" t="s">
        <v>30</v>
      </c>
      <c r="E26" s="81" t="s">
        <v>2821</v>
      </c>
      <c r="F26" s="81" t="s">
        <v>2815</v>
      </c>
      <c r="G26" s="81" t="s">
        <v>2822</v>
      </c>
      <c r="H26" s="83"/>
      <c r="I26" s="83"/>
      <c r="J26" s="83"/>
      <c r="K26" s="83"/>
      <c r="L26" s="83"/>
      <c r="M26" s="81" t="s">
        <v>52</v>
      </c>
      <c r="N26" s="81"/>
      <c r="O26" s="81"/>
      <c r="P26" s="81"/>
      <c r="Q26" s="81"/>
      <c r="R26" s="82"/>
      <c r="S26" s="82"/>
      <c r="T26" s="138"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6" s="158" t="str">
        <f t="shared" ca="1" si="1"/>
        <v/>
      </c>
    </row>
    <row r="27" spans="1:21" ht="23.25" x14ac:dyDescent="0.25">
      <c r="A27" s="84"/>
      <c r="B27" s="84" t="str">
        <f t="shared" si="0"/>
        <v>X</v>
      </c>
      <c r="C27" s="84" t="str">
        <f>IF(OR(TabellaBLENDING[[#This Row],[LUN]]="X",TabellaBLENDING[[#This Row],[MAR]]="X",TabellaBLENDING[[#This Row],[MER]]="X",TabellaBLENDING[[#This Row],[GIO]]="X",TabellaBLENDING[[#This Row],[VEN]]="X",),"X","")</f>
        <v/>
      </c>
      <c r="D27" s="81" t="s">
        <v>30</v>
      </c>
      <c r="E27" s="81" t="s">
        <v>2823</v>
      </c>
      <c r="F27" s="81" t="s">
        <v>2824</v>
      </c>
      <c r="G27" s="81" t="s">
        <v>2825</v>
      </c>
      <c r="H27" s="83"/>
      <c r="I27" s="83"/>
      <c r="J27" s="83"/>
      <c r="K27" s="83"/>
      <c r="L27" s="83"/>
      <c r="M27" s="81" t="s">
        <v>52</v>
      </c>
      <c r="N27" s="81"/>
      <c r="O27" s="81"/>
      <c r="P27" s="81"/>
      <c r="Q27" s="81"/>
      <c r="R27" s="82"/>
      <c r="S27" s="82"/>
      <c r="T27" s="138"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7" s="158" t="str">
        <f t="shared" ca="1" si="1"/>
        <v/>
      </c>
    </row>
    <row r="28" spans="1:21" ht="23.25" x14ac:dyDescent="0.25">
      <c r="A28" s="84"/>
      <c r="B28" s="84" t="str">
        <f t="shared" si="0"/>
        <v>X</v>
      </c>
      <c r="C28" s="84" t="str">
        <f>IF(OR(TabellaBLENDING[[#This Row],[LUN]]="X",TabellaBLENDING[[#This Row],[MAR]]="X",TabellaBLENDING[[#This Row],[MER]]="X",TabellaBLENDING[[#This Row],[GIO]]="X",TabellaBLENDING[[#This Row],[VEN]]="X",),"X","")</f>
        <v/>
      </c>
      <c r="D28" s="81" t="s">
        <v>30</v>
      </c>
      <c r="E28" s="81" t="s">
        <v>2826</v>
      </c>
      <c r="F28" s="81" t="s">
        <v>2824</v>
      </c>
      <c r="G28" s="81" t="s">
        <v>2827</v>
      </c>
      <c r="H28" s="83"/>
      <c r="I28" s="83"/>
      <c r="J28" s="83"/>
      <c r="K28" s="83"/>
      <c r="L28" s="83"/>
      <c r="M28" s="81" t="s">
        <v>52</v>
      </c>
      <c r="N28" s="81"/>
      <c r="O28" s="81"/>
      <c r="P28" s="81"/>
      <c r="Q28" s="81"/>
      <c r="R28" s="82"/>
      <c r="S28" s="82"/>
      <c r="T28" s="138"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8" s="158" t="str">
        <f t="shared" ca="1" si="1"/>
        <v/>
      </c>
    </row>
    <row r="29" spans="1:21" ht="45" x14ac:dyDescent="0.25">
      <c r="A29" s="84"/>
      <c r="B29" s="84" t="str">
        <f t="shared" si="0"/>
        <v>X</v>
      </c>
      <c r="C29" s="84" t="str">
        <f>IF(OR(TabellaBLENDING[[#This Row],[LUN]]="X",TabellaBLENDING[[#This Row],[MAR]]="X",TabellaBLENDING[[#This Row],[MER]]="X",TabellaBLENDING[[#This Row],[GIO]]="X",TabellaBLENDING[[#This Row],[VEN]]="X",),"X","")</f>
        <v/>
      </c>
      <c r="D29" s="81" t="s">
        <v>30</v>
      </c>
      <c r="E29" s="81" t="s">
        <v>2828</v>
      </c>
      <c r="F29" s="81" t="s">
        <v>30</v>
      </c>
      <c r="G29" s="81" t="s">
        <v>2829</v>
      </c>
      <c r="H29" s="83"/>
      <c r="I29" s="83"/>
      <c r="J29" s="83"/>
      <c r="K29" s="83"/>
      <c r="L29" s="83"/>
      <c r="M29" s="81" t="s">
        <v>52</v>
      </c>
      <c r="N29" s="81"/>
      <c r="O29" s="81"/>
      <c r="P29" s="81"/>
      <c r="Q29" s="81"/>
      <c r="R29" s="82"/>
      <c r="S29" s="82"/>
      <c r="T29" s="138"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9" s="158" t="str">
        <f t="shared" ca="1" si="1"/>
        <v/>
      </c>
    </row>
    <row r="30" spans="1:21" ht="30" x14ac:dyDescent="0.25">
      <c r="A30" s="84"/>
      <c r="B30" s="84" t="str">
        <f t="shared" si="0"/>
        <v>X</v>
      </c>
      <c r="C30" s="84" t="str">
        <f>IF(OR(TabellaBLENDING[[#This Row],[LUN]]="X",TabellaBLENDING[[#This Row],[MAR]]="X",TabellaBLENDING[[#This Row],[MER]]="X",TabellaBLENDING[[#This Row],[GIO]]="X",TabellaBLENDING[[#This Row],[VEN]]="X",),"X","")</f>
        <v/>
      </c>
      <c r="D30" s="81" t="s">
        <v>30</v>
      </c>
      <c r="E30" s="81" t="s">
        <v>2830</v>
      </c>
      <c r="F30" s="81" t="s">
        <v>30</v>
      </c>
      <c r="G30" s="81" t="s">
        <v>2831</v>
      </c>
      <c r="H30" s="83"/>
      <c r="I30" s="83"/>
      <c r="J30" s="83"/>
      <c r="K30" s="83"/>
      <c r="L30" s="83"/>
      <c r="M30" s="81" t="s">
        <v>52</v>
      </c>
      <c r="N30" s="81"/>
      <c r="O30" s="81"/>
      <c r="P30" s="81"/>
      <c r="Q30" s="81"/>
      <c r="R30" s="82"/>
      <c r="S30" s="82"/>
      <c r="T30" s="138"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0" s="158" t="str">
        <f t="shared" ca="1" si="1"/>
        <v/>
      </c>
    </row>
    <row r="31" spans="1:21" ht="30" x14ac:dyDescent="0.25">
      <c r="A31" s="84"/>
      <c r="B31" s="84" t="str">
        <f t="shared" si="0"/>
        <v>X</v>
      </c>
      <c r="C31" s="84" t="str">
        <f>IF(OR(TabellaBLENDING[[#This Row],[LUN]]="X",TabellaBLENDING[[#This Row],[MAR]]="X",TabellaBLENDING[[#This Row],[MER]]="X",TabellaBLENDING[[#This Row],[GIO]]="X",TabellaBLENDING[[#This Row],[VEN]]="X",),"X","")</f>
        <v/>
      </c>
      <c r="D31" s="81" t="s">
        <v>30</v>
      </c>
      <c r="E31" s="81" t="s">
        <v>2832</v>
      </c>
      <c r="F31" s="81" t="s">
        <v>30</v>
      </c>
      <c r="G31" s="81" t="s">
        <v>2833</v>
      </c>
      <c r="H31" s="83"/>
      <c r="I31" s="83"/>
      <c r="J31" s="83"/>
      <c r="K31" s="83"/>
      <c r="L31" s="83"/>
      <c r="M31" s="81" t="s">
        <v>52</v>
      </c>
      <c r="N31" s="81"/>
      <c r="O31" s="81"/>
      <c r="P31" s="81"/>
      <c r="Q31" s="81"/>
      <c r="R31" s="82"/>
      <c r="S31" s="82"/>
      <c r="T31" s="138"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1" s="158" t="str">
        <f t="shared" ca="1" si="1"/>
        <v/>
      </c>
    </row>
    <row r="32" spans="1:21" ht="30" x14ac:dyDescent="0.25">
      <c r="A32" s="84"/>
      <c r="B32" s="84" t="str">
        <f t="shared" si="0"/>
        <v>X</v>
      </c>
      <c r="C32" s="84" t="str">
        <f>IF(OR(TabellaBLENDING[[#This Row],[LUN]]="X",TabellaBLENDING[[#This Row],[MAR]]="X",TabellaBLENDING[[#This Row],[MER]]="X",TabellaBLENDING[[#This Row],[GIO]]="X",TabellaBLENDING[[#This Row],[VEN]]="X",),"X","")</f>
        <v/>
      </c>
      <c r="D32" s="81" t="s">
        <v>30</v>
      </c>
      <c r="E32" s="81" t="s">
        <v>2834</v>
      </c>
      <c r="F32" s="81" t="s">
        <v>30</v>
      </c>
      <c r="G32" s="81" t="s">
        <v>2835</v>
      </c>
      <c r="H32" s="83"/>
      <c r="I32" s="83"/>
      <c r="J32" s="83"/>
      <c r="K32" s="83"/>
      <c r="L32" s="83"/>
      <c r="M32" s="81" t="s">
        <v>52</v>
      </c>
      <c r="N32" s="81"/>
      <c r="O32" s="81"/>
      <c r="P32" s="81"/>
      <c r="Q32" s="81"/>
      <c r="R32" s="82"/>
      <c r="S32" s="82"/>
      <c r="T32" s="138"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2" s="158" t="str">
        <f t="shared" ca="1" si="1"/>
        <v/>
      </c>
    </row>
    <row r="33" spans="1:21" ht="30" x14ac:dyDescent="0.25">
      <c r="A33" s="84"/>
      <c r="B33" s="84" t="str">
        <f t="shared" si="0"/>
        <v>X</v>
      </c>
      <c r="C33" s="84" t="str">
        <f>IF(OR(TabellaBLENDING[[#This Row],[LUN]]="X",TabellaBLENDING[[#This Row],[MAR]]="X",TabellaBLENDING[[#This Row],[MER]]="X",TabellaBLENDING[[#This Row],[GIO]]="X",TabellaBLENDING[[#This Row],[VEN]]="X",),"X","")</f>
        <v/>
      </c>
      <c r="D33" s="81" t="s">
        <v>30</v>
      </c>
      <c r="E33" s="81" t="s">
        <v>2836</v>
      </c>
      <c r="F33" s="81" t="s">
        <v>30</v>
      </c>
      <c r="G33" s="81" t="s">
        <v>2837</v>
      </c>
      <c r="H33" s="83"/>
      <c r="I33" s="83"/>
      <c r="J33" s="83"/>
      <c r="K33" s="83"/>
      <c r="L33" s="83"/>
      <c r="M33" s="81" t="s">
        <v>52</v>
      </c>
      <c r="N33" s="81"/>
      <c r="O33" s="81"/>
      <c r="P33" s="81"/>
      <c r="Q33" s="81"/>
      <c r="R33" s="82"/>
      <c r="S33" s="82"/>
      <c r="T33" s="138"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3" s="158" t="str">
        <f t="shared" ca="1" si="1"/>
        <v/>
      </c>
    </row>
    <row r="34" spans="1:21" ht="30" x14ac:dyDescent="0.25">
      <c r="A34" s="84"/>
      <c r="B34" s="84" t="str">
        <f t="shared" si="0"/>
        <v>X</v>
      </c>
      <c r="C34" s="84" t="str">
        <f>IF(OR(TabellaBLENDING[[#This Row],[LUN]]="X",TabellaBLENDING[[#This Row],[MAR]]="X",TabellaBLENDING[[#This Row],[MER]]="X",TabellaBLENDING[[#This Row],[GIO]]="X",TabellaBLENDING[[#This Row],[VEN]]="X",),"X","")</f>
        <v/>
      </c>
      <c r="D34" s="81" t="s">
        <v>30</v>
      </c>
      <c r="E34" s="81" t="s">
        <v>2838</v>
      </c>
      <c r="F34" s="81" t="s">
        <v>30</v>
      </c>
      <c r="G34" s="81" t="s">
        <v>2839</v>
      </c>
      <c r="H34" s="83"/>
      <c r="I34" s="83"/>
      <c r="J34" s="83"/>
      <c r="K34" s="83"/>
      <c r="L34" s="83"/>
      <c r="M34" s="81" t="s">
        <v>52</v>
      </c>
      <c r="N34" s="81"/>
      <c r="O34" s="81"/>
      <c r="P34" s="81"/>
      <c r="Q34" s="81"/>
      <c r="R34" s="82"/>
      <c r="S34" s="82"/>
      <c r="T34" s="138"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4" s="158" t="str">
        <f t="shared" ca="1" si="1"/>
        <v/>
      </c>
    </row>
    <row r="35" spans="1:21" ht="30" x14ac:dyDescent="0.25">
      <c r="A35" s="84"/>
      <c r="B35" s="84" t="str">
        <f t="shared" si="0"/>
        <v>X</v>
      </c>
      <c r="C35" s="84" t="str">
        <f>IF(OR(TabellaBLENDING[[#This Row],[LUN]]="X",TabellaBLENDING[[#This Row],[MAR]]="X",TabellaBLENDING[[#This Row],[MER]]="X",TabellaBLENDING[[#This Row],[GIO]]="X",TabellaBLENDING[[#This Row],[VEN]]="X",),"X","")</f>
        <v/>
      </c>
      <c r="D35" s="81" t="s">
        <v>30</v>
      </c>
      <c r="E35" s="81" t="s">
        <v>2840</v>
      </c>
      <c r="F35" s="81" t="s">
        <v>30</v>
      </c>
      <c r="G35" s="81" t="s">
        <v>2841</v>
      </c>
      <c r="H35" s="83"/>
      <c r="I35" s="83"/>
      <c r="J35" s="83"/>
      <c r="K35" s="83"/>
      <c r="L35" s="83"/>
      <c r="M35" s="81" t="s">
        <v>52</v>
      </c>
      <c r="N35" s="81"/>
      <c r="O35" s="81"/>
      <c r="P35" s="81"/>
      <c r="Q35" s="81"/>
      <c r="R35" s="82"/>
      <c r="S35" s="82" t="s">
        <v>254</v>
      </c>
      <c r="T35" s="138"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5" s="158" t="str">
        <f t="shared" ca="1" si="1"/>
        <v/>
      </c>
    </row>
    <row r="36" spans="1:21" ht="30" x14ac:dyDescent="0.25">
      <c r="A36" s="84"/>
      <c r="B36" s="84" t="str">
        <f t="shared" si="0"/>
        <v>X</v>
      </c>
      <c r="C36" s="84" t="str">
        <f>IF(OR(TabellaBLENDING[[#This Row],[LUN]]="X",TabellaBLENDING[[#This Row],[MAR]]="X",TabellaBLENDING[[#This Row],[MER]]="X",TabellaBLENDING[[#This Row],[GIO]]="X",TabellaBLENDING[[#This Row],[VEN]]="X",),"X","")</f>
        <v/>
      </c>
      <c r="D36" s="81" t="s">
        <v>30</v>
      </c>
      <c r="E36" s="81" t="s">
        <v>2842</v>
      </c>
      <c r="F36" s="81" t="s">
        <v>2824</v>
      </c>
      <c r="G36" s="81" t="s">
        <v>2843</v>
      </c>
      <c r="H36" s="83"/>
      <c r="I36" s="83"/>
      <c r="J36" s="83"/>
      <c r="K36" s="83"/>
      <c r="L36" s="83"/>
      <c r="M36" s="81" t="s">
        <v>52</v>
      </c>
      <c r="N36" s="81"/>
      <c r="O36" s="81"/>
      <c r="P36" s="81"/>
      <c r="Q36" s="81"/>
      <c r="R36" s="82"/>
      <c r="S36" s="82"/>
      <c r="T36" s="138"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6" s="158" t="str">
        <f t="shared" ca="1" si="1"/>
        <v/>
      </c>
    </row>
    <row r="37" spans="1:21" ht="30" x14ac:dyDescent="0.25">
      <c r="A37" s="84"/>
      <c r="B37" s="84" t="str">
        <f t="shared" ref="B37:B68" si="2">IF(OR(A37="x",A37="X"),"",IF(ISBLANK(A37),"X",""))</f>
        <v>X</v>
      </c>
      <c r="C37" s="84" t="str">
        <f>IF(OR(TabellaBLENDING[[#This Row],[LUN]]="X",TabellaBLENDING[[#This Row],[MAR]]="X",TabellaBLENDING[[#This Row],[MER]]="X",TabellaBLENDING[[#This Row],[GIO]]="X",TabellaBLENDING[[#This Row],[VEN]]="X",),"X","")</f>
        <v/>
      </c>
      <c r="D37" s="81" t="s">
        <v>30</v>
      </c>
      <c r="E37" s="81" t="s">
        <v>2844</v>
      </c>
      <c r="F37" s="81" t="s">
        <v>30</v>
      </c>
      <c r="G37" s="81" t="s">
        <v>2845</v>
      </c>
      <c r="H37" s="83"/>
      <c r="I37" s="83"/>
      <c r="J37" s="83"/>
      <c r="K37" s="83"/>
      <c r="L37" s="83"/>
      <c r="M37" s="81" t="s">
        <v>52</v>
      </c>
      <c r="N37" s="81"/>
      <c r="O37" s="81"/>
      <c r="P37" s="81"/>
      <c r="Q37" s="81"/>
      <c r="R37" s="82"/>
      <c r="S37" s="82"/>
      <c r="T37" s="138"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7" s="158" t="str">
        <f t="shared" ref="U37:U68" ca="1" si="3">IFERROR(MID(G37,_xlfn.AGGREGATE(15,6,(ROW(INDIRECT("1:"&amp;LEN(G37)-7)))/(ISNUMBER(--MID(G37,ROW(INDIRECT("1:"&amp;LEN(G37)-7)),8))),1),8),"")</f>
        <v/>
      </c>
    </row>
    <row r="38" spans="1:21" ht="23.25" x14ac:dyDescent="0.25">
      <c r="A38" s="84"/>
      <c r="B38" s="84" t="str">
        <f t="shared" si="2"/>
        <v>X</v>
      </c>
      <c r="C38" s="84" t="str">
        <f>IF(OR(TabellaBLENDING[[#This Row],[LUN]]="X",TabellaBLENDING[[#This Row],[MAR]]="X",TabellaBLENDING[[#This Row],[MER]]="X",TabellaBLENDING[[#This Row],[GIO]]="X",TabellaBLENDING[[#This Row],[VEN]]="X",),"X","")</f>
        <v/>
      </c>
      <c r="D38" s="81" t="s">
        <v>30</v>
      </c>
      <c r="E38" s="81" t="s">
        <v>2846</v>
      </c>
      <c r="F38" s="81" t="s">
        <v>2815</v>
      </c>
      <c r="G38" s="81" t="s">
        <v>2847</v>
      </c>
      <c r="H38" s="83"/>
      <c r="I38" s="83"/>
      <c r="J38" s="83"/>
      <c r="K38" s="83"/>
      <c r="L38" s="83"/>
      <c r="M38" s="81" t="s">
        <v>52</v>
      </c>
      <c r="N38" s="81"/>
      <c r="O38" s="81"/>
      <c r="P38" s="81"/>
      <c r="Q38" s="81"/>
      <c r="R38" s="82"/>
      <c r="S38" s="82"/>
      <c r="T38" s="138"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8" s="158" t="str">
        <f t="shared" ca="1" si="3"/>
        <v/>
      </c>
    </row>
    <row r="39" spans="1:21" ht="30" x14ac:dyDescent="0.25">
      <c r="A39" s="84"/>
      <c r="B39" s="84" t="str">
        <f t="shared" si="2"/>
        <v>X</v>
      </c>
      <c r="C39" s="84" t="str">
        <f>IF(OR(TabellaBLENDING[[#This Row],[LUN]]="X",TabellaBLENDING[[#This Row],[MAR]]="X",TabellaBLENDING[[#This Row],[MER]]="X",TabellaBLENDING[[#This Row],[GIO]]="X",TabellaBLENDING[[#This Row],[VEN]]="X",),"X","")</f>
        <v/>
      </c>
      <c r="D39" s="81" t="s">
        <v>30</v>
      </c>
      <c r="E39" s="81" t="s">
        <v>2848</v>
      </c>
      <c r="F39" s="81" t="s">
        <v>30</v>
      </c>
      <c r="G39" s="81" t="s">
        <v>2849</v>
      </c>
      <c r="H39" s="83"/>
      <c r="I39" s="83"/>
      <c r="J39" s="83"/>
      <c r="K39" s="83"/>
      <c r="L39" s="83"/>
      <c r="M39" s="81" t="s">
        <v>52</v>
      </c>
      <c r="N39" s="81"/>
      <c r="O39" s="81"/>
      <c r="P39" s="81"/>
      <c r="Q39" s="81"/>
      <c r="R39" s="82"/>
      <c r="S39" s="82"/>
      <c r="T39" s="138"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9" s="158" t="str">
        <f t="shared" ca="1" si="3"/>
        <v/>
      </c>
    </row>
    <row r="40" spans="1:21" ht="30" x14ac:dyDescent="0.25">
      <c r="A40" s="84"/>
      <c r="B40" s="84" t="str">
        <f t="shared" si="2"/>
        <v>X</v>
      </c>
      <c r="C40" s="84" t="str">
        <f>IF(OR(TabellaBLENDING[[#This Row],[LUN]]="X",TabellaBLENDING[[#This Row],[MAR]]="X",TabellaBLENDING[[#This Row],[MER]]="X",TabellaBLENDING[[#This Row],[GIO]]="X",TabellaBLENDING[[#This Row],[VEN]]="X",),"X","")</f>
        <v/>
      </c>
      <c r="D40" s="81" t="s">
        <v>30</v>
      </c>
      <c r="E40" s="81" t="s">
        <v>2850</v>
      </c>
      <c r="F40" s="81" t="s">
        <v>30</v>
      </c>
      <c r="G40" s="81" t="s">
        <v>2851</v>
      </c>
      <c r="H40" s="83"/>
      <c r="I40" s="83"/>
      <c r="J40" s="83"/>
      <c r="K40" s="83"/>
      <c r="L40" s="83"/>
      <c r="M40" s="81" t="s">
        <v>52</v>
      </c>
      <c r="N40" s="81"/>
      <c r="O40" s="81"/>
      <c r="P40" s="81"/>
      <c r="Q40" s="81"/>
      <c r="R40" s="82"/>
      <c r="S40" s="82" t="s">
        <v>38</v>
      </c>
      <c r="T40" s="138"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0" s="158" t="str">
        <f t="shared" ca="1" si="3"/>
        <v/>
      </c>
    </row>
    <row r="41" spans="1:21" ht="45" x14ac:dyDescent="0.25">
      <c r="A41" s="84"/>
      <c r="B41" s="84" t="str">
        <f t="shared" si="2"/>
        <v>X</v>
      </c>
      <c r="C41" s="84" t="str">
        <f>IF(OR(TabellaBLENDING[[#This Row],[LUN]]="X",TabellaBLENDING[[#This Row],[MAR]]="X",TabellaBLENDING[[#This Row],[MER]]="X",TabellaBLENDING[[#This Row],[GIO]]="X",TabellaBLENDING[[#This Row],[VEN]]="X",),"X","")</f>
        <v/>
      </c>
      <c r="D41" s="81" t="s">
        <v>30</v>
      </c>
      <c r="E41" s="81" t="s">
        <v>2852</v>
      </c>
      <c r="F41" s="81" t="s">
        <v>30</v>
      </c>
      <c r="G41" s="81" t="s">
        <v>2853</v>
      </c>
      <c r="H41" s="83"/>
      <c r="I41" s="83"/>
      <c r="J41" s="83"/>
      <c r="K41" s="83"/>
      <c r="L41" s="83"/>
      <c r="M41" s="81" t="s">
        <v>52</v>
      </c>
      <c r="N41" s="81"/>
      <c r="O41" s="81"/>
      <c r="P41" s="81"/>
      <c r="Q41" s="81" t="s">
        <v>2854</v>
      </c>
      <c r="R41" s="82">
        <v>45720</v>
      </c>
      <c r="S41" s="82" t="s">
        <v>254</v>
      </c>
      <c r="T41" s="138"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1" s="158" t="str">
        <f t="shared" ca="1" si="3"/>
        <v/>
      </c>
    </row>
    <row r="42" spans="1:21" ht="30" x14ac:dyDescent="0.25">
      <c r="A42" s="84"/>
      <c r="B42" s="84" t="str">
        <f t="shared" si="2"/>
        <v>X</v>
      </c>
      <c r="C42" s="84" t="str">
        <f>IF(OR(TabellaBLENDING[[#This Row],[LUN]]="X",TabellaBLENDING[[#This Row],[MAR]]="X",TabellaBLENDING[[#This Row],[MER]]="X",TabellaBLENDING[[#This Row],[GIO]]="X",TabellaBLENDING[[#This Row],[VEN]]="X",),"X","")</f>
        <v/>
      </c>
      <c r="D42" s="81" t="s">
        <v>30</v>
      </c>
      <c r="E42" s="81" t="s">
        <v>2855</v>
      </c>
      <c r="F42" s="81" t="s">
        <v>30</v>
      </c>
      <c r="G42" s="81" t="s">
        <v>2856</v>
      </c>
      <c r="H42" s="83"/>
      <c r="I42" s="83"/>
      <c r="J42" s="83"/>
      <c r="K42" s="83"/>
      <c r="L42" s="83"/>
      <c r="M42" s="81" t="s">
        <v>52</v>
      </c>
      <c r="N42" s="81"/>
      <c r="O42" s="81"/>
      <c r="P42" s="81"/>
      <c r="Q42" s="81" t="s">
        <v>2857</v>
      </c>
      <c r="R42" s="82">
        <v>45715</v>
      </c>
      <c r="S42" s="82" t="s">
        <v>9</v>
      </c>
      <c r="T42" s="138"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2" s="158" t="str">
        <f t="shared" ca="1" si="3"/>
        <v/>
      </c>
    </row>
    <row r="43" spans="1:21" ht="30" x14ac:dyDescent="0.25">
      <c r="A43" s="84"/>
      <c r="B43" s="84" t="str">
        <f t="shared" si="2"/>
        <v>X</v>
      </c>
      <c r="C43" s="84" t="str">
        <f>IF(OR(TabellaBLENDING[[#This Row],[LUN]]="X",TabellaBLENDING[[#This Row],[MAR]]="X",TabellaBLENDING[[#This Row],[MER]]="X",TabellaBLENDING[[#This Row],[GIO]]="X",TabellaBLENDING[[#This Row],[VEN]]="X",),"X","")</f>
        <v/>
      </c>
      <c r="D43" s="81" t="s">
        <v>30</v>
      </c>
      <c r="E43" s="81" t="s">
        <v>2858</v>
      </c>
      <c r="F43" s="81" t="s">
        <v>30</v>
      </c>
      <c r="G43" s="81" t="s">
        <v>2859</v>
      </c>
      <c r="H43" s="83"/>
      <c r="I43" s="83"/>
      <c r="J43" s="83"/>
      <c r="K43" s="83"/>
      <c r="L43" s="83"/>
      <c r="M43" s="81" t="s">
        <v>52</v>
      </c>
      <c r="N43" s="81"/>
      <c r="O43" s="81"/>
      <c r="P43" s="81"/>
      <c r="Q43" s="81" t="s">
        <v>2008</v>
      </c>
      <c r="R43" s="82">
        <v>45706</v>
      </c>
      <c r="S43" s="82" t="s">
        <v>254</v>
      </c>
      <c r="T43" s="138"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3" s="158" t="str">
        <f t="shared" ca="1" si="3"/>
        <v/>
      </c>
    </row>
    <row r="44" spans="1:21" ht="30" x14ac:dyDescent="0.25">
      <c r="A44" s="84"/>
      <c r="B44" s="84" t="str">
        <f t="shared" si="2"/>
        <v>X</v>
      </c>
      <c r="C44" s="84" t="str">
        <f>IF(OR(TabellaBLENDING[[#This Row],[LUN]]="X",TabellaBLENDING[[#This Row],[MAR]]="X",TabellaBLENDING[[#This Row],[MER]]="X",TabellaBLENDING[[#This Row],[GIO]]="X",TabellaBLENDING[[#This Row],[VEN]]="X",),"X","")</f>
        <v/>
      </c>
      <c r="D44" s="81" t="s">
        <v>30</v>
      </c>
      <c r="E44" s="81" t="s">
        <v>2860</v>
      </c>
      <c r="F44" s="81" t="s">
        <v>30</v>
      </c>
      <c r="G44" s="81" t="s">
        <v>2861</v>
      </c>
      <c r="H44" s="83"/>
      <c r="I44" s="83"/>
      <c r="J44" s="83"/>
      <c r="K44" s="83"/>
      <c r="L44" s="83"/>
      <c r="M44" s="81" t="s">
        <v>52</v>
      </c>
      <c r="N44" s="81"/>
      <c r="O44" s="81"/>
      <c r="P44" s="81"/>
      <c r="Q44" s="81" t="s">
        <v>2008</v>
      </c>
      <c r="R44" s="82">
        <v>45701</v>
      </c>
      <c r="S44" s="82" t="s">
        <v>254</v>
      </c>
      <c r="T44" s="8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4" s="158" t="str">
        <f t="shared" ca="1" si="3"/>
        <v/>
      </c>
    </row>
    <row r="45" spans="1:21" ht="23.25" x14ac:dyDescent="0.25">
      <c r="A45" s="84"/>
      <c r="B45" s="84" t="str">
        <f t="shared" si="2"/>
        <v>X</v>
      </c>
      <c r="C45" s="84" t="str">
        <f>IF(OR(TabellaBLENDING[[#This Row],[LUN]]="X",TabellaBLENDING[[#This Row],[MAR]]="X",TabellaBLENDING[[#This Row],[MER]]="X",TabellaBLENDING[[#This Row],[GIO]]="X",TabellaBLENDING[[#This Row],[VEN]]="X",),"X","")</f>
        <v/>
      </c>
      <c r="D45" s="81" t="s">
        <v>30</v>
      </c>
      <c r="E45" s="81" t="s">
        <v>2862</v>
      </c>
      <c r="F45" s="81">
        <v>1300</v>
      </c>
      <c r="G45" s="81" t="s">
        <v>2863</v>
      </c>
      <c r="H45" s="83"/>
      <c r="I45" s="83"/>
      <c r="J45" s="83"/>
      <c r="K45" s="83"/>
      <c r="L45" s="83"/>
      <c r="M45" s="81" t="s">
        <v>52</v>
      </c>
      <c r="N45" s="81"/>
      <c r="O45" s="81"/>
      <c r="P45" s="81"/>
      <c r="Q45" s="81"/>
      <c r="R45" s="82"/>
      <c r="S45" s="82" t="s">
        <v>254</v>
      </c>
      <c r="T45" s="8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5" s="158" t="str">
        <f t="shared" ca="1" si="3"/>
        <v/>
      </c>
    </row>
    <row r="46" spans="1:21" ht="23.25" x14ac:dyDescent="0.25">
      <c r="A46" s="84"/>
      <c r="B46" s="84" t="str">
        <f t="shared" si="2"/>
        <v>X</v>
      </c>
      <c r="C46" s="84" t="str">
        <f>IF(OR(TabellaBLENDING[[#This Row],[LUN]]="X",TabellaBLENDING[[#This Row],[MAR]]="X",TabellaBLENDING[[#This Row],[MER]]="X",TabellaBLENDING[[#This Row],[GIO]]="X",TabellaBLENDING[[#This Row],[VEN]]="X",),"X","")</f>
        <v/>
      </c>
      <c r="D46" s="81" t="s">
        <v>30</v>
      </c>
      <c r="E46" s="81" t="s">
        <v>2864</v>
      </c>
      <c r="F46" s="81">
        <v>1300</v>
      </c>
      <c r="G46" s="81" t="s">
        <v>2865</v>
      </c>
      <c r="H46" s="83"/>
      <c r="I46" s="83"/>
      <c r="J46" s="83"/>
      <c r="K46" s="83"/>
      <c r="L46" s="83"/>
      <c r="M46" s="81" t="s">
        <v>52</v>
      </c>
      <c r="N46" s="81"/>
      <c r="O46" s="81"/>
      <c r="P46" s="81"/>
      <c r="Q46" s="81"/>
      <c r="R46" s="82"/>
      <c r="S46" s="82" t="s">
        <v>254</v>
      </c>
      <c r="T46" s="8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6" s="158" t="str">
        <f t="shared" ca="1" si="3"/>
        <v/>
      </c>
    </row>
    <row r="47" spans="1:21" ht="30" x14ac:dyDescent="0.25">
      <c r="A47" s="84"/>
      <c r="B47" s="84" t="str">
        <f t="shared" si="2"/>
        <v>X</v>
      </c>
      <c r="C47" s="84" t="str">
        <f>IF(OR(TabellaBLENDING[[#This Row],[LUN]]="X",TabellaBLENDING[[#This Row],[MAR]]="X",TabellaBLENDING[[#This Row],[MER]]="X",TabellaBLENDING[[#This Row],[GIO]]="X",TabellaBLENDING[[#This Row],[VEN]]="X",),"X","")</f>
        <v/>
      </c>
      <c r="D47" s="81" t="s">
        <v>30</v>
      </c>
      <c r="E47" s="81" t="s">
        <v>2866</v>
      </c>
      <c r="F47" s="81" t="s">
        <v>30</v>
      </c>
      <c r="G47" s="81" t="s">
        <v>2867</v>
      </c>
      <c r="H47" s="83"/>
      <c r="I47" s="83"/>
      <c r="J47" s="83"/>
      <c r="K47" s="83"/>
      <c r="L47" s="83"/>
      <c r="M47" s="81" t="s">
        <v>52</v>
      </c>
      <c r="N47" s="81"/>
      <c r="O47" s="81"/>
      <c r="P47" s="81"/>
      <c r="Q47" s="81"/>
      <c r="R47" s="82">
        <v>45700</v>
      </c>
      <c r="S47" s="82" t="s">
        <v>254</v>
      </c>
      <c r="T47" s="8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7" s="158" t="str">
        <f t="shared" ca="1" si="3"/>
        <v/>
      </c>
    </row>
    <row r="48" spans="1:21" ht="30" x14ac:dyDescent="0.25">
      <c r="A48" s="84"/>
      <c r="B48" s="84" t="str">
        <f t="shared" si="2"/>
        <v>X</v>
      </c>
      <c r="C48" s="84" t="str">
        <f>IF(OR(TabellaBLENDING[[#This Row],[LUN]]="X",TabellaBLENDING[[#This Row],[MAR]]="X",TabellaBLENDING[[#This Row],[MER]]="X",TabellaBLENDING[[#This Row],[GIO]]="X",TabellaBLENDING[[#This Row],[VEN]]="X",),"X","")</f>
        <v/>
      </c>
      <c r="D48" s="81" t="s">
        <v>30</v>
      </c>
      <c r="E48" s="81" t="s">
        <v>2868</v>
      </c>
      <c r="F48" s="81" t="s">
        <v>30</v>
      </c>
      <c r="G48" s="81" t="s">
        <v>2869</v>
      </c>
      <c r="H48" s="83"/>
      <c r="I48" s="83"/>
      <c r="J48" s="83"/>
      <c r="K48" s="83"/>
      <c r="L48" s="83"/>
      <c r="M48" s="81" t="s">
        <v>52</v>
      </c>
      <c r="N48" s="81"/>
      <c r="O48" s="81"/>
      <c r="P48" s="81"/>
      <c r="Q48" s="81"/>
      <c r="R48" s="82"/>
      <c r="S48" s="82" t="s">
        <v>254</v>
      </c>
      <c r="T48" s="8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8" s="158" t="str">
        <f t="shared" ca="1" si="3"/>
        <v/>
      </c>
    </row>
    <row r="49" spans="1:21" ht="30" x14ac:dyDescent="0.25">
      <c r="A49" s="84"/>
      <c r="B49" s="84" t="str">
        <f t="shared" si="2"/>
        <v>X</v>
      </c>
      <c r="C49" s="84" t="str">
        <f>IF(OR(TabellaBLENDING[[#This Row],[LUN]]="X",TabellaBLENDING[[#This Row],[MAR]]="X",TabellaBLENDING[[#This Row],[MER]]="X",TabellaBLENDING[[#This Row],[GIO]]="X",TabellaBLENDING[[#This Row],[VEN]]="X",),"X","")</f>
        <v/>
      </c>
      <c r="D49" s="81" t="s">
        <v>30</v>
      </c>
      <c r="E49" s="81" t="s">
        <v>2870</v>
      </c>
      <c r="F49" s="81" t="s">
        <v>30</v>
      </c>
      <c r="G49" s="81" t="s">
        <v>2871</v>
      </c>
      <c r="H49" s="83"/>
      <c r="I49" s="83"/>
      <c r="J49" s="83"/>
      <c r="K49" s="83"/>
      <c r="L49" s="83"/>
      <c r="M49" s="81" t="s">
        <v>52</v>
      </c>
      <c r="N49" s="81"/>
      <c r="O49" s="81"/>
      <c r="P49" s="81"/>
      <c r="Q49" s="81"/>
      <c r="R49" s="82"/>
      <c r="S49" s="82" t="s">
        <v>254</v>
      </c>
      <c r="T49" s="8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9" s="158" t="str">
        <f t="shared" ca="1" si="3"/>
        <v/>
      </c>
    </row>
    <row r="50" spans="1:21" ht="30" x14ac:dyDescent="0.25">
      <c r="A50" s="84"/>
      <c r="B50" s="84" t="str">
        <f t="shared" si="2"/>
        <v>X</v>
      </c>
      <c r="C50" s="84" t="str">
        <f>IF(OR(TabellaBLENDING[[#This Row],[LUN]]="X",TabellaBLENDING[[#This Row],[MAR]]="X",TabellaBLENDING[[#This Row],[MER]]="X",TabellaBLENDING[[#This Row],[GIO]]="X",TabellaBLENDING[[#This Row],[VEN]]="X",),"X","")</f>
        <v/>
      </c>
      <c r="D50" s="81" t="s">
        <v>30</v>
      </c>
      <c r="E50" s="81" t="s">
        <v>2872</v>
      </c>
      <c r="F50" s="81" t="s">
        <v>30</v>
      </c>
      <c r="G50" s="81" t="s">
        <v>2873</v>
      </c>
      <c r="H50" s="83"/>
      <c r="I50" s="83"/>
      <c r="J50" s="83"/>
      <c r="K50" s="83"/>
      <c r="L50" s="83"/>
      <c r="M50" s="81" t="s">
        <v>52</v>
      </c>
      <c r="N50" s="81"/>
      <c r="O50" s="81"/>
      <c r="P50" s="81"/>
      <c r="Q50" s="81"/>
      <c r="R50" s="82"/>
      <c r="S50" s="82" t="s">
        <v>254</v>
      </c>
      <c r="T50" s="8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0" s="158" t="str">
        <f t="shared" ca="1" si="3"/>
        <v/>
      </c>
    </row>
    <row r="51" spans="1:21" ht="30" x14ac:dyDescent="0.25">
      <c r="A51" s="84"/>
      <c r="B51" s="84" t="str">
        <f t="shared" si="2"/>
        <v>X</v>
      </c>
      <c r="C51" s="84" t="str">
        <f>IF(OR(TabellaBLENDING[[#This Row],[LUN]]="X",TabellaBLENDING[[#This Row],[MAR]]="X",TabellaBLENDING[[#This Row],[MER]]="X",TabellaBLENDING[[#This Row],[GIO]]="X",TabellaBLENDING[[#This Row],[VEN]]="X",),"X","")</f>
        <v/>
      </c>
      <c r="D51" s="81" t="s">
        <v>30</v>
      </c>
      <c r="E51" s="81" t="s">
        <v>2874</v>
      </c>
      <c r="F51" s="81" t="s">
        <v>30</v>
      </c>
      <c r="G51" s="81" t="s">
        <v>2875</v>
      </c>
      <c r="H51" s="83"/>
      <c r="I51" s="83"/>
      <c r="J51" s="83"/>
      <c r="K51" s="83"/>
      <c r="L51" s="83"/>
      <c r="M51" s="81" t="s">
        <v>52</v>
      </c>
      <c r="N51" s="81"/>
      <c r="O51" s="81"/>
      <c r="P51" s="81"/>
      <c r="Q51" s="81"/>
      <c r="R51" s="82"/>
      <c r="S51" s="82" t="s">
        <v>254</v>
      </c>
      <c r="T51" s="8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1" s="158" t="str">
        <f t="shared" ca="1" si="3"/>
        <v/>
      </c>
    </row>
    <row r="52" spans="1:21" ht="23.25" x14ac:dyDescent="0.25">
      <c r="A52" s="84"/>
      <c r="B52" s="84" t="str">
        <f t="shared" si="2"/>
        <v>X</v>
      </c>
      <c r="C52" s="84" t="str">
        <f>IF(OR(TabellaBLENDING[[#This Row],[LUN]]="X",TabellaBLENDING[[#This Row],[MAR]]="X",TabellaBLENDING[[#This Row],[MER]]="X",TabellaBLENDING[[#This Row],[GIO]]="X",TabellaBLENDING[[#This Row],[VEN]]="X",),"X","")</f>
        <v/>
      </c>
      <c r="D52" s="81" t="s">
        <v>30</v>
      </c>
      <c r="E52" s="81" t="s">
        <v>2876</v>
      </c>
      <c r="F52" s="81" t="s">
        <v>2824</v>
      </c>
      <c r="G52" s="81" t="s">
        <v>2877</v>
      </c>
      <c r="H52" s="83"/>
      <c r="I52" s="83"/>
      <c r="J52" s="83"/>
      <c r="K52" s="83"/>
      <c r="L52" s="83"/>
      <c r="M52" s="81" t="s">
        <v>52</v>
      </c>
      <c r="N52" s="81"/>
      <c r="O52" s="81"/>
      <c r="P52" s="81"/>
      <c r="Q52" s="81"/>
      <c r="R52" s="82"/>
      <c r="S52" s="82"/>
      <c r="T52" s="8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2" s="158" t="str">
        <f t="shared" ca="1" si="3"/>
        <v/>
      </c>
    </row>
    <row r="53" spans="1:21" ht="30" x14ac:dyDescent="0.25">
      <c r="A53" s="84"/>
      <c r="B53" s="84" t="str">
        <f t="shared" si="2"/>
        <v>X</v>
      </c>
      <c r="C53" s="84" t="str">
        <f>IF(OR(TabellaBLENDING[[#This Row],[LUN]]="X",TabellaBLENDING[[#This Row],[MAR]]="X",TabellaBLENDING[[#This Row],[MER]]="X",TabellaBLENDING[[#This Row],[GIO]]="X",TabellaBLENDING[[#This Row],[VEN]]="X",),"X","")</f>
        <v/>
      </c>
      <c r="D53" s="81" t="s">
        <v>30</v>
      </c>
      <c r="E53" s="81" t="s">
        <v>2878</v>
      </c>
      <c r="F53" s="81">
        <v>1300</v>
      </c>
      <c r="G53" s="81" t="s">
        <v>2879</v>
      </c>
      <c r="H53" s="83"/>
      <c r="I53" s="83"/>
      <c r="J53" s="83"/>
      <c r="K53" s="83"/>
      <c r="L53" s="83"/>
      <c r="M53" s="81" t="s">
        <v>52</v>
      </c>
      <c r="N53" s="81"/>
      <c r="O53" s="81"/>
      <c r="P53" s="81"/>
      <c r="Q53" s="81"/>
      <c r="R53" s="82"/>
      <c r="S53" s="82"/>
      <c r="T53" s="8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3" s="158" t="str">
        <f t="shared" ca="1" si="3"/>
        <v/>
      </c>
    </row>
    <row r="54" spans="1:21" ht="23.25" x14ac:dyDescent="0.25">
      <c r="A54" s="84"/>
      <c r="B54" s="84" t="str">
        <f t="shared" si="2"/>
        <v>X</v>
      </c>
      <c r="C54" s="84" t="str">
        <f>IF(OR(TabellaBLENDING[[#This Row],[LUN]]="X",TabellaBLENDING[[#This Row],[MAR]]="X",TabellaBLENDING[[#This Row],[MER]]="X",TabellaBLENDING[[#This Row],[GIO]]="X",TabellaBLENDING[[#This Row],[VEN]]="X",),"X","")</f>
        <v/>
      </c>
      <c r="D54" s="81" t="s">
        <v>30</v>
      </c>
      <c r="E54" s="81" t="s">
        <v>2880</v>
      </c>
      <c r="F54" s="81" t="s">
        <v>2824</v>
      </c>
      <c r="G54" s="81" t="s">
        <v>2881</v>
      </c>
      <c r="H54" s="83"/>
      <c r="I54" s="83"/>
      <c r="J54" s="83"/>
      <c r="K54" s="83"/>
      <c r="L54" s="83"/>
      <c r="M54" s="81" t="s">
        <v>52</v>
      </c>
      <c r="N54" s="81"/>
      <c r="O54" s="81"/>
      <c r="P54" s="81"/>
      <c r="Q54" s="81"/>
      <c r="R54" s="82"/>
      <c r="S54" s="82"/>
      <c r="T54" s="8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4" s="158" t="str">
        <f t="shared" ca="1" si="3"/>
        <v/>
      </c>
    </row>
    <row r="55" spans="1:21" ht="23.25" x14ac:dyDescent="0.25">
      <c r="A55" s="84"/>
      <c r="B55" s="84" t="str">
        <f t="shared" si="2"/>
        <v>X</v>
      </c>
      <c r="C55" s="84" t="str">
        <f>IF(OR(TabellaBLENDING[[#This Row],[LUN]]="X",TabellaBLENDING[[#This Row],[MAR]]="X",TabellaBLENDING[[#This Row],[MER]]="X",TabellaBLENDING[[#This Row],[GIO]]="X",TabellaBLENDING[[#This Row],[VEN]]="X",),"X","")</f>
        <v/>
      </c>
      <c r="D55" s="81" t="s">
        <v>30</v>
      </c>
      <c r="E55" s="81" t="s">
        <v>2882</v>
      </c>
      <c r="F55" s="81" t="s">
        <v>2824</v>
      </c>
      <c r="G55" s="81" t="s">
        <v>2883</v>
      </c>
      <c r="H55" s="83"/>
      <c r="I55" s="83"/>
      <c r="J55" s="83"/>
      <c r="K55" s="83"/>
      <c r="L55" s="83"/>
      <c r="M55" s="81" t="s">
        <v>52</v>
      </c>
      <c r="N55" s="81"/>
      <c r="O55" s="81"/>
      <c r="P55" s="81"/>
      <c r="Q55" s="81"/>
      <c r="R55" s="82"/>
      <c r="S55" s="82"/>
      <c r="T55" s="8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5" s="158" t="str">
        <f t="shared" ca="1" si="3"/>
        <v/>
      </c>
    </row>
    <row r="56" spans="1:21" ht="30" x14ac:dyDescent="0.25">
      <c r="A56" s="84"/>
      <c r="B56" s="84" t="str">
        <f t="shared" si="2"/>
        <v>X</v>
      </c>
      <c r="C56" s="84" t="str">
        <f>IF(OR(TabellaBLENDING[[#This Row],[LUN]]="X",TabellaBLENDING[[#This Row],[MAR]]="X",TabellaBLENDING[[#This Row],[MER]]="X",TabellaBLENDING[[#This Row],[GIO]]="X",TabellaBLENDING[[#This Row],[VEN]]="X",),"X","")</f>
        <v/>
      </c>
      <c r="D56" s="81" t="s">
        <v>30</v>
      </c>
      <c r="E56" s="81" t="s">
        <v>2884</v>
      </c>
      <c r="F56" s="81" t="s">
        <v>30</v>
      </c>
      <c r="G56" s="81" t="s">
        <v>2885</v>
      </c>
      <c r="H56" s="83"/>
      <c r="I56" s="83"/>
      <c r="J56" s="83"/>
      <c r="K56" s="83"/>
      <c r="L56" s="83"/>
      <c r="M56" s="81" t="s">
        <v>52</v>
      </c>
      <c r="N56" s="81"/>
      <c r="O56" s="81"/>
      <c r="P56" s="81"/>
      <c r="Q56" s="81"/>
      <c r="R56" s="82"/>
      <c r="S56" s="82"/>
      <c r="T56" s="8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6" s="158" t="str">
        <f t="shared" ca="1" si="3"/>
        <v/>
      </c>
    </row>
    <row r="57" spans="1:21" ht="30" x14ac:dyDescent="0.25">
      <c r="A57" s="84"/>
      <c r="B57" s="84" t="str">
        <f t="shared" si="2"/>
        <v>X</v>
      </c>
      <c r="C57" s="84" t="str">
        <f>IF(OR(TabellaBLENDING[[#This Row],[LUN]]="X",TabellaBLENDING[[#This Row],[MAR]]="X",TabellaBLENDING[[#This Row],[MER]]="X",TabellaBLENDING[[#This Row],[GIO]]="X",TabellaBLENDING[[#This Row],[VEN]]="X",),"X","")</f>
        <v/>
      </c>
      <c r="D57" s="81" t="s">
        <v>30</v>
      </c>
      <c r="E57" s="81" t="s">
        <v>2886</v>
      </c>
      <c r="F57" s="81" t="s">
        <v>30</v>
      </c>
      <c r="G57" s="81" t="s">
        <v>2887</v>
      </c>
      <c r="H57" s="83"/>
      <c r="I57" s="83"/>
      <c r="J57" s="83"/>
      <c r="K57" s="83"/>
      <c r="L57" s="83"/>
      <c r="M57" s="81" t="s">
        <v>52</v>
      </c>
      <c r="N57" s="81"/>
      <c r="O57" s="81"/>
      <c r="P57" s="81"/>
      <c r="Q57" s="81"/>
      <c r="R57" s="82"/>
      <c r="S57" s="82"/>
      <c r="T57" s="8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7" s="158" t="str">
        <f t="shared" ca="1" si="3"/>
        <v/>
      </c>
    </row>
    <row r="58" spans="1:21" ht="30" x14ac:dyDescent="0.25">
      <c r="A58" s="84"/>
      <c r="B58" s="84" t="str">
        <f t="shared" si="2"/>
        <v>X</v>
      </c>
      <c r="C58" s="84" t="str">
        <f>IF(OR(TabellaBLENDING[[#This Row],[LUN]]="X",TabellaBLENDING[[#This Row],[MAR]]="X",TabellaBLENDING[[#This Row],[MER]]="X",TabellaBLENDING[[#This Row],[GIO]]="X",TabellaBLENDING[[#This Row],[VEN]]="X",),"X","")</f>
        <v/>
      </c>
      <c r="D58" s="81" t="s">
        <v>30</v>
      </c>
      <c r="E58" s="81" t="s">
        <v>2888</v>
      </c>
      <c r="F58" s="81" t="s">
        <v>2889</v>
      </c>
      <c r="G58" s="81" t="s">
        <v>2805</v>
      </c>
      <c r="H58" s="83"/>
      <c r="I58" s="83"/>
      <c r="J58" s="83"/>
      <c r="K58" s="83"/>
      <c r="L58" s="83"/>
      <c r="M58" s="81" t="s">
        <v>52</v>
      </c>
      <c r="N58" s="81"/>
      <c r="O58" s="81"/>
      <c r="P58" s="81"/>
      <c r="Q58" s="81"/>
      <c r="R58" s="82"/>
      <c r="S58" s="82"/>
      <c r="T58" s="8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8" s="158" t="str">
        <f t="shared" ca="1" si="3"/>
        <v/>
      </c>
    </row>
    <row r="59" spans="1:21" ht="23.25" x14ac:dyDescent="0.25">
      <c r="A59" s="84"/>
      <c r="B59" s="84" t="str">
        <f t="shared" si="2"/>
        <v>X</v>
      </c>
      <c r="C59" s="84" t="str">
        <f>IF(OR(TabellaBLENDING[[#This Row],[LUN]]="X",TabellaBLENDING[[#This Row],[MAR]]="X",TabellaBLENDING[[#This Row],[MER]]="X",TabellaBLENDING[[#This Row],[GIO]]="X",TabellaBLENDING[[#This Row],[VEN]]="X",),"X","")</f>
        <v/>
      </c>
      <c r="D59" s="81" t="s">
        <v>30</v>
      </c>
      <c r="E59" s="81" t="s">
        <v>2890</v>
      </c>
      <c r="F59" s="81" t="s">
        <v>2824</v>
      </c>
      <c r="G59" s="81" t="s">
        <v>2891</v>
      </c>
      <c r="H59" s="83"/>
      <c r="I59" s="83"/>
      <c r="J59" s="83"/>
      <c r="K59" s="83"/>
      <c r="L59" s="83"/>
      <c r="M59" s="81" t="s">
        <v>52</v>
      </c>
      <c r="N59" s="81"/>
      <c r="O59" s="81"/>
      <c r="P59" s="81"/>
      <c r="Q59" s="81"/>
      <c r="R59" s="82"/>
      <c r="S59" s="82"/>
      <c r="T59" s="8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9" s="158" t="str">
        <f t="shared" ca="1" si="3"/>
        <v/>
      </c>
    </row>
    <row r="60" spans="1:21" ht="23.25" x14ac:dyDescent="0.25">
      <c r="A60" s="84"/>
      <c r="B60" s="84" t="str">
        <f t="shared" si="2"/>
        <v>X</v>
      </c>
      <c r="C60" s="84" t="str">
        <f>IF(OR(TabellaBLENDING[[#This Row],[LUN]]="X",TabellaBLENDING[[#This Row],[MAR]]="X",TabellaBLENDING[[#This Row],[MER]]="X",TabellaBLENDING[[#This Row],[GIO]]="X",TabellaBLENDING[[#This Row],[VEN]]="X",),"X","")</f>
        <v/>
      </c>
      <c r="D60" s="81" t="s">
        <v>30</v>
      </c>
      <c r="E60" s="81" t="s">
        <v>2892</v>
      </c>
      <c r="F60" s="81" t="s">
        <v>2824</v>
      </c>
      <c r="G60" s="81" t="s">
        <v>2893</v>
      </c>
      <c r="H60" s="83"/>
      <c r="I60" s="83"/>
      <c r="J60" s="83"/>
      <c r="K60" s="83"/>
      <c r="L60" s="83"/>
      <c r="M60" s="81" t="s">
        <v>52</v>
      </c>
      <c r="N60" s="81"/>
      <c r="O60" s="81"/>
      <c r="P60" s="81"/>
      <c r="Q60" s="81"/>
      <c r="R60" s="82"/>
      <c r="S60" s="82"/>
      <c r="T60" s="8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0" s="158" t="str">
        <f t="shared" ca="1" si="3"/>
        <v/>
      </c>
    </row>
    <row r="61" spans="1:21" ht="30" x14ac:dyDescent="0.25">
      <c r="A61" s="84"/>
      <c r="B61" s="84" t="str">
        <f t="shared" si="2"/>
        <v>X</v>
      </c>
      <c r="C61" s="84" t="str">
        <f>IF(OR(TabellaBLENDING[[#This Row],[LUN]]="X",TabellaBLENDING[[#This Row],[MAR]]="X",TabellaBLENDING[[#This Row],[MER]]="X",TabellaBLENDING[[#This Row],[GIO]]="X",TabellaBLENDING[[#This Row],[VEN]]="X",),"X","")</f>
        <v/>
      </c>
      <c r="D61" s="81" t="s">
        <v>30</v>
      </c>
      <c r="E61" s="81" t="s">
        <v>2894</v>
      </c>
      <c r="F61" s="81" t="s">
        <v>30</v>
      </c>
      <c r="G61" s="81" t="s">
        <v>2895</v>
      </c>
      <c r="H61" s="83"/>
      <c r="I61" s="83"/>
      <c r="J61" s="83"/>
      <c r="K61" s="83"/>
      <c r="L61" s="83"/>
      <c r="M61" s="81" t="s">
        <v>52</v>
      </c>
      <c r="N61" s="81"/>
      <c r="O61" s="81"/>
      <c r="P61" s="81"/>
      <c r="Q61" s="81"/>
      <c r="R61" s="82">
        <v>45681</v>
      </c>
      <c r="S61" s="82" t="s">
        <v>535</v>
      </c>
      <c r="T61" s="8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1" s="158" t="str">
        <f t="shared" ca="1" si="3"/>
        <v/>
      </c>
    </row>
    <row r="62" spans="1:21" ht="23.25" x14ac:dyDescent="0.25">
      <c r="A62" s="84"/>
      <c r="B62" s="84" t="str">
        <f t="shared" si="2"/>
        <v>X</v>
      </c>
      <c r="C62" s="84" t="str">
        <f>IF(OR(TabellaBLENDING[[#This Row],[LUN]]="X",TabellaBLENDING[[#This Row],[MAR]]="X",TabellaBLENDING[[#This Row],[MER]]="X",TabellaBLENDING[[#This Row],[GIO]]="X",TabellaBLENDING[[#This Row],[VEN]]="X",),"X","")</f>
        <v/>
      </c>
      <c r="D62" s="81" t="s">
        <v>30</v>
      </c>
      <c r="E62" s="81" t="s">
        <v>2896</v>
      </c>
      <c r="F62" s="81">
        <v>6500</v>
      </c>
      <c r="G62" s="81" t="s">
        <v>2897</v>
      </c>
      <c r="H62" s="83"/>
      <c r="I62" s="83"/>
      <c r="J62" s="83"/>
      <c r="K62" s="83"/>
      <c r="L62" s="83"/>
      <c r="M62" s="81" t="s">
        <v>52</v>
      </c>
      <c r="N62" s="81"/>
      <c r="O62" s="81"/>
      <c r="P62" s="81"/>
      <c r="Q62" s="81"/>
      <c r="R62" s="82">
        <v>45680</v>
      </c>
      <c r="S62" s="82" t="s">
        <v>535</v>
      </c>
      <c r="T62" s="8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2" s="158" t="str">
        <f t="shared" ca="1" si="3"/>
        <v/>
      </c>
    </row>
    <row r="63" spans="1:21" ht="23.25" x14ac:dyDescent="0.25">
      <c r="A63" s="84"/>
      <c r="B63" s="84" t="str">
        <f t="shared" si="2"/>
        <v>X</v>
      </c>
      <c r="C63" s="84" t="str">
        <f>IF(OR(TabellaBLENDING[[#This Row],[LUN]]="X",TabellaBLENDING[[#This Row],[MAR]]="X",TabellaBLENDING[[#This Row],[MER]]="X",TabellaBLENDING[[#This Row],[GIO]]="X",TabellaBLENDING[[#This Row],[VEN]]="X",),"X","")</f>
        <v/>
      </c>
      <c r="D63" s="81" t="s">
        <v>30</v>
      </c>
      <c r="E63" s="81" t="s">
        <v>2898</v>
      </c>
      <c r="F63" s="81">
        <v>6500</v>
      </c>
      <c r="G63" s="81" t="s">
        <v>2899</v>
      </c>
      <c r="H63" s="83"/>
      <c r="I63" s="83"/>
      <c r="J63" s="83"/>
      <c r="K63" s="83"/>
      <c r="L63" s="83"/>
      <c r="M63" s="81" t="s">
        <v>52</v>
      </c>
      <c r="N63" s="81"/>
      <c r="O63" s="81"/>
      <c r="P63" s="81"/>
      <c r="Q63" s="81"/>
      <c r="R63" s="82">
        <v>45681</v>
      </c>
      <c r="S63" s="82" t="s">
        <v>535</v>
      </c>
      <c r="T63" s="8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3" s="158" t="str">
        <f t="shared" ca="1" si="3"/>
        <v/>
      </c>
    </row>
    <row r="64" spans="1:21" ht="23.25" x14ac:dyDescent="0.25">
      <c r="A64" s="84"/>
      <c r="B64" s="84" t="str">
        <f t="shared" si="2"/>
        <v>X</v>
      </c>
      <c r="C64" s="84" t="str">
        <f>IF(OR(TabellaBLENDING[[#This Row],[LUN]]="X",TabellaBLENDING[[#This Row],[MAR]]="X",TabellaBLENDING[[#This Row],[MER]]="X",TabellaBLENDING[[#This Row],[GIO]]="X",TabellaBLENDING[[#This Row],[VEN]]="X",),"X","")</f>
        <v/>
      </c>
      <c r="D64" s="81" t="s">
        <v>30</v>
      </c>
      <c r="E64" s="81" t="s">
        <v>2900</v>
      </c>
      <c r="F64" s="81" t="s">
        <v>2815</v>
      </c>
      <c r="G64" s="81" t="s">
        <v>2901</v>
      </c>
      <c r="H64" s="83"/>
      <c r="I64" s="83"/>
      <c r="J64" s="83"/>
      <c r="K64" s="83"/>
      <c r="L64" s="83"/>
      <c r="M64" s="81" t="s">
        <v>52</v>
      </c>
      <c r="N64" s="81"/>
      <c r="O64" s="81"/>
      <c r="P64" s="81"/>
      <c r="Q64" s="81" t="s">
        <v>2902</v>
      </c>
      <c r="R64" s="82">
        <v>45679</v>
      </c>
      <c r="S64" s="82" t="s">
        <v>2903</v>
      </c>
      <c r="T64" s="8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4" s="158" t="str">
        <f t="shared" ca="1" si="3"/>
        <v/>
      </c>
    </row>
    <row r="65" spans="1:21" ht="30" x14ac:dyDescent="0.25">
      <c r="A65" s="84"/>
      <c r="B65" s="84" t="str">
        <f t="shared" si="2"/>
        <v>X</v>
      </c>
      <c r="C65" s="84" t="str">
        <f>IF(OR(TabellaBLENDING[[#This Row],[LUN]]="X",TabellaBLENDING[[#This Row],[MAR]]="X",TabellaBLENDING[[#This Row],[MER]]="X",TabellaBLENDING[[#This Row],[GIO]]="X",TabellaBLENDING[[#This Row],[VEN]]="X",),"X","")</f>
        <v/>
      </c>
      <c r="D65" s="81" t="s">
        <v>30</v>
      </c>
      <c r="E65" s="81" t="s">
        <v>2904</v>
      </c>
      <c r="F65" s="81" t="s">
        <v>2889</v>
      </c>
      <c r="G65" s="81" t="s">
        <v>2905</v>
      </c>
      <c r="H65" s="83"/>
      <c r="I65" s="83"/>
      <c r="J65" s="83"/>
      <c r="K65" s="83"/>
      <c r="L65" s="83"/>
      <c r="M65" s="81" t="s">
        <v>52</v>
      </c>
      <c r="N65" s="81"/>
      <c r="O65" s="81"/>
      <c r="P65" s="81"/>
      <c r="Q65" s="81" t="s">
        <v>2902</v>
      </c>
      <c r="R65" s="82">
        <v>45679</v>
      </c>
      <c r="S65" s="82" t="s">
        <v>2903</v>
      </c>
      <c r="T65" s="8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5" s="158" t="str">
        <f t="shared" ca="1" si="3"/>
        <v/>
      </c>
    </row>
    <row r="66" spans="1:21" ht="30" x14ac:dyDescent="0.25">
      <c r="A66" s="84"/>
      <c r="B66" s="84" t="str">
        <f t="shared" si="2"/>
        <v>X</v>
      </c>
      <c r="C66" s="84" t="str">
        <f>IF(OR(TabellaBLENDING[[#This Row],[LUN]]="X",TabellaBLENDING[[#This Row],[MAR]]="X",TabellaBLENDING[[#This Row],[MER]]="X",TabellaBLENDING[[#This Row],[GIO]]="X",TabellaBLENDING[[#This Row],[VEN]]="X",),"X","")</f>
        <v/>
      </c>
      <c r="D66" s="81" t="s">
        <v>30</v>
      </c>
      <c r="E66" s="81" t="s">
        <v>2906</v>
      </c>
      <c r="F66" s="81" t="s">
        <v>30</v>
      </c>
      <c r="G66" s="81" t="s">
        <v>2907</v>
      </c>
      <c r="H66" s="83"/>
      <c r="I66" s="83"/>
      <c r="J66" s="83"/>
      <c r="K66" s="83"/>
      <c r="L66" s="83"/>
      <c r="M66" s="81" t="s">
        <v>52</v>
      </c>
      <c r="N66" s="81"/>
      <c r="O66" s="81"/>
      <c r="P66" s="81"/>
      <c r="Q66" s="81" t="s">
        <v>2902</v>
      </c>
      <c r="R66" s="82">
        <v>45674</v>
      </c>
      <c r="S66" s="82" t="s">
        <v>2903</v>
      </c>
      <c r="T66" s="8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6" s="158" t="str">
        <f t="shared" ca="1" si="3"/>
        <v/>
      </c>
    </row>
    <row r="67" spans="1:21" ht="30" x14ac:dyDescent="0.25">
      <c r="A67" s="84"/>
      <c r="B67" s="84" t="str">
        <f t="shared" si="2"/>
        <v>X</v>
      </c>
      <c r="C67" s="84" t="str">
        <f>IF(OR(TabellaBLENDING[[#This Row],[LUN]]="X",TabellaBLENDING[[#This Row],[MAR]]="X",TabellaBLENDING[[#This Row],[MER]]="X",TabellaBLENDING[[#This Row],[GIO]]="X",TabellaBLENDING[[#This Row],[VEN]]="X",),"X","")</f>
        <v/>
      </c>
      <c r="D67" s="81" t="s">
        <v>30</v>
      </c>
      <c r="E67" s="81" t="s">
        <v>2908</v>
      </c>
      <c r="F67" s="81" t="s">
        <v>30</v>
      </c>
      <c r="G67" s="81" t="s">
        <v>2907</v>
      </c>
      <c r="H67" s="83"/>
      <c r="I67" s="83"/>
      <c r="J67" s="83"/>
      <c r="K67" s="83"/>
      <c r="L67" s="83"/>
      <c r="M67" s="81" t="s">
        <v>52</v>
      </c>
      <c r="N67" s="81"/>
      <c r="O67" s="81"/>
      <c r="P67" s="81"/>
      <c r="Q67" s="81"/>
      <c r="R67" s="82">
        <v>45672</v>
      </c>
      <c r="S67" s="82" t="s">
        <v>2909</v>
      </c>
      <c r="T67" s="8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7" s="158" t="str">
        <f t="shared" ca="1" si="3"/>
        <v/>
      </c>
    </row>
    <row r="68" spans="1:21" ht="30" x14ac:dyDescent="0.25">
      <c r="A68" s="84"/>
      <c r="B68" s="84" t="str">
        <f t="shared" si="2"/>
        <v>X</v>
      </c>
      <c r="C68" s="84" t="str">
        <f>IF(OR(TabellaBLENDING[[#This Row],[LUN]]="X",TabellaBLENDING[[#This Row],[MAR]]="X",TabellaBLENDING[[#This Row],[MER]]="X",TabellaBLENDING[[#This Row],[GIO]]="X",TabellaBLENDING[[#This Row],[VEN]]="X",),"X","")</f>
        <v/>
      </c>
      <c r="D68" s="81" t="s">
        <v>30</v>
      </c>
      <c r="E68" s="81" t="s">
        <v>2910</v>
      </c>
      <c r="F68" s="81" t="s">
        <v>30</v>
      </c>
      <c r="G68" s="81" t="s">
        <v>2911</v>
      </c>
      <c r="H68" s="83"/>
      <c r="I68" s="83"/>
      <c r="J68" s="83"/>
      <c r="K68" s="83"/>
      <c r="L68" s="83"/>
      <c r="M68" s="81" t="s">
        <v>52</v>
      </c>
      <c r="N68" s="81"/>
      <c r="O68" s="81"/>
      <c r="P68" s="81"/>
      <c r="Q68" s="81"/>
      <c r="R68" s="82"/>
      <c r="S68" s="82"/>
      <c r="T68" s="8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8" s="158" t="str">
        <f t="shared" ca="1" si="3"/>
        <v/>
      </c>
    </row>
    <row r="69" spans="1:21" ht="30" x14ac:dyDescent="0.25">
      <c r="A69" s="84"/>
      <c r="B69" s="84" t="str">
        <f t="shared" ref="B69:B77" si="4">IF(OR(A69="x",A69="X"),"",IF(ISBLANK(A69),"X",""))</f>
        <v>X</v>
      </c>
      <c r="C69" s="84" t="str">
        <f>IF(OR(TabellaBLENDING[[#This Row],[LUN]]="X",TabellaBLENDING[[#This Row],[MAR]]="X",TabellaBLENDING[[#This Row],[MER]]="X",TabellaBLENDING[[#This Row],[GIO]]="X",TabellaBLENDING[[#This Row],[VEN]]="X",),"X","")</f>
        <v/>
      </c>
      <c r="D69" s="81" t="s">
        <v>30</v>
      </c>
      <c r="E69" s="81" t="s">
        <v>2912</v>
      </c>
      <c r="F69" s="81" t="s">
        <v>2815</v>
      </c>
      <c r="G69" s="81" t="s">
        <v>2913</v>
      </c>
      <c r="H69" s="83"/>
      <c r="I69" s="83"/>
      <c r="J69" s="83"/>
      <c r="K69" s="83"/>
      <c r="L69" s="83"/>
      <c r="M69" s="81" t="s">
        <v>52</v>
      </c>
      <c r="N69" s="81"/>
      <c r="O69" s="81"/>
      <c r="P69" s="81"/>
      <c r="Q69" s="81"/>
      <c r="R69" s="82"/>
      <c r="S69" s="82"/>
      <c r="T69" s="8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9" s="158" t="str">
        <f t="shared" ref="U69:U94" ca="1" si="5">IFERROR(MID(G69,_xlfn.AGGREGATE(15,6,(ROW(INDIRECT("1:"&amp;LEN(G69)-7)))/(ISNUMBER(--MID(G69,ROW(INDIRECT("1:"&amp;LEN(G69)-7)),8))),1),8),"")</f>
        <v/>
      </c>
    </row>
    <row r="70" spans="1:21" ht="30" x14ac:dyDescent="0.25">
      <c r="A70" s="84"/>
      <c r="B70" s="84" t="str">
        <f t="shared" si="4"/>
        <v>X</v>
      </c>
      <c r="C70" s="84" t="str">
        <f>IF(OR(TabellaBLENDING[[#This Row],[LUN]]="X",TabellaBLENDING[[#This Row],[MAR]]="X",TabellaBLENDING[[#This Row],[MER]]="X",TabellaBLENDING[[#This Row],[GIO]]="X",TabellaBLENDING[[#This Row],[VEN]]="X",),"X","")</f>
        <v/>
      </c>
      <c r="D70" s="81" t="s">
        <v>30</v>
      </c>
      <c r="E70" s="81" t="s">
        <v>2914</v>
      </c>
      <c r="F70" s="81" t="s">
        <v>30</v>
      </c>
      <c r="G70" s="81" t="s">
        <v>2915</v>
      </c>
      <c r="H70" s="83"/>
      <c r="I70" s="83"/>
      <c r="J70" s="83"/>
      <c r="K70" s="83"/>
      <c r="L70" s="83"/>
      <c r="M70" s="81" t="s">
        <v>52</v>
      </c>
      <c r="N70" s="81"/>
      <c r="O70" s="81"/>
      <c r="P70" s="81"/>
      <c r="Q70" s="81"/>
      <c r="R70" s="82">
        <v>45784</v>
      </c>
      <c r="S70" s="82" t="s">
        <v>786</v>
      </c>
      <c r="T70" s="138"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0" s="158" t="str">
        <f t="shared" ca="1" si="5"/>
        <v/>
      </c>
    </row>
    <row r="71" spans="1:21" ht="30" x14ac:dyDescent="0.25">
      <c r="A71" s="84"/>
      <c r="B71" s="84" t="str">
        <f t="shared" si="4"/>
        <v>X</v>
      </c>
      <c r="C71" s="84" t="str">
        <f>IF(OR(TabellaBLENDING[[#This Row],[LUN]]="X",TabellaBLENDING[[#This Row],[MAR]]="X",TabellaBLENDING[[#This Row],[MER]]="X",TabellaBLENDING[[#This Row],[GIO]]="X",TabellaBLENDING[[#This Row],[VEN]]="X",),"X","")</f>
        <v/>
      </c>
      <c r="D71" s="81" t="s">
        <v>30</v>
      </c>
      <c r="E71" s="81" t="s">
        <v>2916</v>
      </c>
      <c r="F71" s="81" t="s">
        <v>30</v>
      </c>
      <c r="G71" s="81" t="s">
        <v>2917</v>
      </c>
      <c r="H71" s="83"/>
      <c r="I71" s="83"/>
      <c r="J71" s="83"/>
      <c r="K71" s="83"/>
      <c r="L71" s="83"/>
      <c r="M71" s="81" t="s">
        <v>52</v>
      </c>
      <c r="N71" s="81"/>
      <c r="O71" s="81"/>
      <c r="P71" s="81"/>
      <c r="Q71" s="81"/>
      <c r="R71" s="82">
        <v>45785</v>
      </c>
      <c r="S71" s="82" t="s">
        <v>786</v>
      </c>
      <c r="T71" s="138"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1" s="158" t="str">
        <f t="shared" ca="1" si="5"/>
        <v/>
      </c>
    </row>
    <row r="72" spans="1:21" ht="30" x14ac:dyDescent="0.25">
      <c r="A72" s="84"/>
      <c r="B72" s="84" t="str">
        <f t="shared" si="4"/>
        <v>X</v>
      </c>
      <c r="C72" s="84" t="str">
        <f>IF(OR(TabellaBLENDING[[#This Row],[LUN]]="X",TabellaBLENDING[[#This Row],[MAR]]="X",TabellaBLENDING[[#This Row],[MER]]="X",TabellaBLENDING[[#This Row],[GIO]]="X",TabellaBLENDING[[#This Row],[VEN]]="X",),"X","")</f>
        <v/>
      </c>
      <c r="D72" s="81" t="s">
        <v>30</v>
      </c>
      <c r="E72" s="81" t="s">
        <v>2918</v>
      </c>
      <c r="F72" s="81" t="s">
        <v>30</v>
      </c>
      <c r="G72" s="81" t="s">
        <v>2919</v>
      </c>
      <c r="H72" s="83"/>
      <c r="I72" s="83"/>
      <c r="J72" s="83"/>
      <c r="K72" s="83"/>
      <c r="L72" s="83"/>
      <c r="M72" s="81" t="s">
        <v>52</v>
      </c>
      <c r="N72" s="81"/>
      <c r="O72" s="81"/>
      <c r="P72" s="81"/>
      <c r="Q72" s="81" t="s">
        <v>2920</v>
      </c>
      <c r="R72" s="82">
        <v>45775</v>
      </c>
      <c r="S72" s="82" t="s">
        <v>2800</v>
      </c>
      <c r="T72" s="138"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2" s="158" t="str">
        <f t="shared" ca="1" si="5"/>
        <v/>
      </c>
    </row>
    <row r="73" spans="1:21" ht="30" x14ac:dyDescent="0.25">
      <c r="A73" s="84"/>
      <c r="B73" s="84" t="str">
        <f t="shared" si="4"/>
        <v>X</v>
      </c>
      <c r="C73" s="84" t="str">
        <f>IF(OR(TabellaBLENDING[[#This Row],[LUN]]="X",TabellaBLENDING[[#This Row],[MAR]]="X",TabellaBLENDING[[#This Row],[MER]]="X",TabellaBLENDING[[#This Row],[GIO]]="X",TabellaBLENDING[[#This Row],[VEN]]="X",),"X","")</f>
        <v/>
      </c>
      <c r="D73" s="81" t="s">
        <v>30</v>
      </c>
      <c r="E73" s="81" t="s">
        <v>2921</v>
      </c>
      <c r="F73" s="81" t="s">
        <v>30</v>
      </c>
      <c r="G73" s="81" t="s">
        <v>2922</v>
      </c>
      <c r="H73" s="83"/>
      <c r="I73" s="83"/>
      <c r="J73" s="83"/>
      <c r="K73" s="83"/>
      <c r="L73" s="83"/>
      <c r="M73" s="81" t="s">
        <v>52</v>
      </c>
      <c r="N73" s="81"/>
      <c r="O73" s="81"/>
      <c r="P73" s="81"/>
      <c r="Q73" s="81" t="s">
        <v>2923</v>
      </c>
      <c r="R73" s="82">
        <v>45784</v>
      </c>
      <c r="S73" s="82" t="s">
        <v>2756</v>
      </c>
      <c r="T73" s="138"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3" s="158" t="str">
        <f t="shared" ca="1" si="5"/>
        <v/>
      </c>
    </row>
    <row r="74" spans="1:21" ht="30" x14ac:dyDescent="0.25">
      <c r="A74" s="84"/>
      <c r="B74" s="84" t="str">
        <f t="shared" si="4"/>
        <v>X</v>
      </c>
      <c r="C74" s="84" t="str">
        <f>IF(OR(TabellaBLENDING[[#This Row],[LUN]]="X",TabellaBLENDING[[#This Row],[MAR]]="X",TabellaBLENDING[[#This Row],[MER]]="X",TabellaBLENDING[[#This Row],[GIO]]="X",TabellaBLENDING[[#This Row],[VEN]]="X",),"X","")</f>
        <v/>
      </c>
      <c r="D74" s="81" t="s">
        <v>30</v>
      </c>
      <c r="E74" s="81" t="s">
        <v>2924</v>
      </c>
      <c r="F74" s="81" t="s">
        <v>30</v>
      </c>
      <c r="G74" s="81" t="s">
        <v>2925</v>
      </c>
      <c r="H74" s="83"/>
      <c r="I74" s="83"/>
      <c r="J74" s="83"/>
      <c r="K74" s="83"/>
      <c r="L74" s="83"/>
      <c r="M74" s="81" t="s">
        <v>52</v>
      </c>
      <c r="N74" s="81"/>
      <c r="O74" s="81"/>
      <c r="P74" s="81"/>
      <c r="Q74" s="81"/>
      <c r="R74" s="82"/>
      <c r="S74" s="82"/>
      <c r="T74"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4" s="158" t="str">
        <f t="shared" ca="1" si="5"/>
        <v/>
      </c>
    </row>
    <row r="75" spans="1:21" ht="23.25" x14ac:dyDescent="0.25">
      <c r="A75" s="84"/>
      <c r="B75" s="84" t="str">
        <f t="shared" si="4"/>
        <v>X</v>
      </c>
      <c r="C75" s="84" t="str">
        <f>IF(OR(TabellaBLENDING[[#This Row],[LUN]]="X",TabellaBLENDING[[#This Row],[MAR]]="X",TabellaBLENDING[[#This Row],[MER]]="X",TabellaBLENDING[[#This Row],[GIO]]="X",TabellaBLENDING[[#This Row],[VEN]]="X",),"X","")</f>
        <v/>
      </c>
      <c r="D75" s="81" t="s">
        <v>30</v>
      </c>
      <c r="E75" s="81" t="s">
        <v>2926</v>
      </c>
      <c r="F75" s="81" t="s">
        <v>2824</v>
      </c>
      <c r="G75" s="81" t="s">
        <v>2927</v>
      </c>
      <c r="H75" s="83"/>
      <c r="I75" s="83"/>
      <c r="J75" s="83"/>
      <c r="K75" s="83"/>
      <c r="L75" s="83"/>
      <c r="M75" s="81" t="s">
        <v>52</v>
      </c>
      <c r="N75" s="81"/>
      <c r="O75" s="81"/>
      <c r="P75" s="81"/>
      <c r="Q75" s="81"/>
      <c r="R75" s="82"/>
      <c r="S75" s="82"/>
      <c r="T75"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5" s="159" t="str">
        <f t="shared" ca="1" si="5"/>
        <v/>
      </c>
    </row>
    <row r="76" spans="1:21" ht="30" x14ac:dyDescent="0.25">
      <c r="A76" s="84"/>
      <c r="B76" s="84" t="str">
        <f t="shared" si="4"/>
        <v>X</v>
      </c>
      <c r="C76" s="84" t="str">
        <f>IF(OR(TabellaBLENDING[[#This Row],[LUN]]="X",TabellaBLENDING[[#This Row],[MAR]]="X",TabellaBLENDING[[#This Row],[MER]]="X",TabellaBLENDING[[#This Row],[GIO]]="X",TabellaBLENDING[[#This Row],[VEN]]="X",),"X","")</f>
        <v/>
      </c>
      <c r="D76" s="81" t="s">
        <v>30</v>
      </c>
      <c r="E76" s="81" t="s">
        <v>2928</v>
      </c>
      <c r="F76" s="81" t="s">
        <v>30</v>
      </c>
      <c r="G76" s="81" t="s">
        <v>2929</v>
      </c>
      <c r="H76" s="83"/>
      <c r="I76" s="83"/>
      <c r="J76" s="83"/>
      <c r="K76" s="83"/>
      <c r="L76" s="83"/>
      <c r="M76" s="81" t="s">
        <v>52</v>
      </c>
      <c r="N76" s="81"/>
      <c r="O76" s="81"/>
      <c r="P76" s="81"/>
      <c r="Q76" s="81"/>
      <c r="R76" s="82"/>
      <c r="S76" s="82"/>
      <c r="T76"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6" s="159" t="str">
        <f t="shared" ca="1" si="5"/>
        <v/>
      </c>
    </row>
    <row r="77" spans="1:21" ht="30" x14ac:dyDescent="0.25">
      <c r="A77" s="84"/>
      <c r="B77" s="84" t="str">
        <f t="shared" si="4"/>
        <v>X</v>
      </c>
      <c r="C77" s="84" t="str">
        <f>IF(OR(TabellaBLENDING[[#This Row],[LUN]]="X",TabellaBLENDING[[#This Row],[MAR]]="X",TabellaBLENDING[[#This Row],[MER]]="X",TabellaBLENDING[[#This Row],[GIO]]="X",TabellaBLENDING[[#This Row],[VEN]]="X",),"X","")</f>
        <v/>
      </c>
      <c r="D77" s="81" t="s">
        <v>30</v>
      </c>
      <c r="E77" s="81" t="s">
        <v>2930</v>
      </c>
      <c r="F77" s="81" t="s">
        <v>30</v>
      </c>
      <c r="G77" s="81" t="s">
        <v>2931</v>
      </c>
      <c r="H77" s="83"/>
      <c r="I77" s="83"/>
      <c r="J77" s="83"/>
      <c r="K77" s="83"/>
      <c r="L77" s="83"/>
      <c r="M77" s="81" t="s">
        <v>52</v>
      </c>
      <c r="N77" s="81"/>
      <c r="O77" s="81"/>
      <c r="P77" s="81"/>
      <c r="Q77" s="81"/>
      <c r="R77" s="82"/>
      <c r="S77" s="82"/>
      <c r="T77"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7" s="159" t="str">
        <f t="shared" ca="1" si="5"/>
        <v/>
      </c>
    </row>
    <row r="78" spans="1:21" ht="30" x14ac:dyDescent="0.25">
      <c r="A78" s="84"/>
      <c r="B78" s="84"/>
      <c r="C78" s="84" t="str">
        <f>IF(OR(TabellaBLENDING[[#This Row],[LUN]]="X",TabellaBLENDING[[#This Row],[MAR]]="X",TabellaBLENDING[[#This Row],[MER]]="X",TabellaBLENDING[[#This Row],[GIO]]="X",TabellaBLENDING[[#This Row],[VEN]]="X",),"X","")</f>
        <v/>
      </c>
      <c r="D78" s="81" t="s">
        <v>30</v>
      </c>
      <c r="E78" s="81" t="s">
        <v>2932</v>
      </c>
      <c r="F78" s="81" t="s">
        <v>30</v>
      </c>
      <c r="G78" s="81" t="s">
        <v>2933</v>
      </c>
      <c r="H78" s="83"/>
      <c r="I78" s="83"/>
      <c r="J78" s="83"/>
      <c r="K78" s="83"/>
      <c r="L78" s="83"/>
      <c r="M78" s="81" t="s">
        <v>52</v>
      </c>
      <c r="N78" s="81"/>
      <c r="O78" s="81"/>
      <c r="P78" s="81"/>
      <c r="Q78" s="81"/>
      <c r="R78" s="82"/>
      <c r="S78" s="82"/>
      <c r="T78"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8" s="140" t="str">
        <f t="shared" ca="1" si="5"/>
        <v/>
      </c>
    </row>
    <row r="79" spans="1:21" ht="23.25" x14ac:dyDescent="0.25">
      <c r="A79" s="84"/>
      <c r="B79" s="84"/>
      <c r="C79" s="84" t="str">
        <f>IF(OR(TabellaBLENDING[[#This Row],[LUN]]="X",TabellaBLENDING[[#This Row],[MAR]]="X",TabellaBLENDING[[#This Row],[MER]]="X",TabellaBLENDING[[#This Row],[GIO]]="X",TabellaBLENDING[[#This Row],[VEN]]="X",),"X","")</f>
        <v/>
      </c>
      <c r="D79" s="81" t="s">
        <v>30</v>
      </c>
      <c r="E79" s="81" t="s">
        <v>2934</v>
      </c>
      <c r="F79" s="81" t="s">
        <v>2824</v>
      </c>
      <c r="G79" s="81" t="s">
        <v>2935</v>
      </c>
      <c r="H79" s="83"/>
      <c r="I79" s="83"/>
      <c r="J79" s="83"/>
      <c r="K79" s="83"/>
      <c r="L79" s="83"/>
      <c r="M79" s="81" t="s">
        <v>52</v>
      </c>
      <c r="N79" s="81"/>
      <c r="O79" s="81"/>
      <c r="P79" s="81"/>
      <c r="Q79" s="81"/>
      <c r="R79" s="82"/>
      <c r="S79" s="82"/>
      <c r="T79"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9" s="162" t="str">
        <f t="shared" ca="1" si="5"/>
        <v/>
      </c>
    </row>
    <row r="80" spans="1:21" ht="23.25" x14ac:dyDescent="0.25">
      <c r="A80" s="84"/>
      <c r="B80" s="84"/>
      <c r="C80" s="84" t="str">
        <f>IF(OR(TabellaBLENDING[[#This Row],[LUN]]="X",TabellaBLENDING[[#This Row],[MAR]]="X",TabellaBLENDING[[#This Row],[MER]]="X",TabellaBLENDING[[#This Row],[GIO]]="X",TabellaBLENDING[[#This Row],[VEN]]="X",),"X","")</f>
        <v/>
      </c>
      <c r="D80" s="81" t="s">
        <v>30</v>
      </c>
      <c r="E80" s="81" t="s">
        <v>2936</v>
      </c>
      <c r="F80" s="81" t="s">
        <v>2824</v>
      </c>
      <c r="G80" s="81" t="s">
        <v>2937</v>
      </c>
      <c r="H80" s="83"/>
      <c r="I80" s="83"/>
      <c r="J80" s="83"/>
      <c r="K80" s="83"/>
      <c r="L80" s="83"/>
      <c r="M80" s="81" t="s">
        <v>52</v>
      </c>
      <c r="N80" s="81"/>
      <c r="O80" s="81"/>
      <c r="P80" s="81"/>
      <c r="Q80" s="81"/>
      <c r="R80" s="82"/>
      <c r="S80" s="82"/>
      <c r="T80"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0" s="162" t="str">
        <f t="shared" ca="1" si="5"/>
        <v/>
      </c>
    </row>
    <row r="81" spans="1:21" ht="30" x14ac:dyDescent="0.25">
      <c r="A81" s="84"/>
      <c r="B81" s="84"/>
      <c r="C81" s="84" t="str">
        <f>IF(OR(TabellaBLENDING[[#This Row],[LUN]]="X",TabellaBLENDING[[#This Row],[MAR]]="X",TabellaBLENDING[[#This Row],[MER]]="X",TabellaBLENDING[[#This Row],[GIO]]="X",TabellaBLENDING[[#This Row],[VEN]]="X",),"X","")</f>
        <v/>
      </c>
      <c r="D81" s="81" t="s">
        <v>30</v>
      </c>
      <c r="E81" s="81" t="s">
        <v>2938</v>
      </c>
      <c r="F81" s="81" t="s">
        <v>30</v>
      </c>
      <c r="G81" s="81" t="s">
        <v>2939</v>
      </c>
      <c r="H81" s="83"/>
      <c r="I81" s="83"/>
      <c r="J81" s="83"/>
      <c r="K81" s="83"/>
      <c r="L81" s="83"/>
      <c r="M81" s="81" t="s">
        <v>52</v>
      </c>
      <c r="N81" s="81"/>
      <c r="O81" s="81"/>
      <c r="P81" s="81"/>
      <c r="Q81" s="81"/>
      <c r="R81" s="82"/>
      <c r="S81" s="82"/>
      <c r="T81"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1" s="162" t="str">
        <f t="shared" ca="1" si="5"/>
        <v/>
      </c>
    </row>
    <row r="82" spans="1:21" ht="30" x14ac:dyDescent="0.25">
      <c r="A82" s="84"/>
      <c r="B82" s="84" t="str">
        <f>IF(OR(A82="x",A82="X"),"",IF(ISBLANK(A82),"X",""))</f>
        <v>X</v>
      </c>
      <c r="C82" s="84" t="str">
        <f>IF(OR(TabellaBLENDING[[#This Row],[LUN]]="X",TabellaBLENDING[[#This Row],[MAR]]="X",TabellaBLENDING[[#This Row],[MER]]="X",TabellaBLENDING[[#This Row],[GIO]]="X",TabellaBLENDING[[#This Row],[VEN]]="X",),"X","")</f>
        <v/>
      </c>
      <c r="D82" s="81" t="s">
        <v>30</v>
      </c>
      <c r="E82" s="81" t="s">
        <v>2940</v>
      </c>
      <c r="F82" s="81" t="s">
        <v>30</v>
      </c>
      <c r="G82" s="81" t="s">
        <v>2941</v>
      </c>
      <c r="H82" s="83"/>
      <c r="I82" s="83"/>
      <c r="J82" s="83"/>
      <c r="K82" s="83"/>
      <c r="L82" s="83"/>
      <c r="M82" s="81" t="s">
        <v>52</v>
      </c>
      <c r="N82" s="81"/>
      <c r="O82" s="81"/>
      <c r="P82" s="81"/>
      <c r="Q82" s="81"/>
      <c r="R82" s="82"/>
      <c r="S82" s="82"/>
      <c r="T82"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2" s="140" t="str">
        <f t="shared" ca="1" si="5"/>
        <v/>
      </c>
    </row>
    <row r="83" spans="1:21" ht="30" x14ac:dyDescent="0.25">
      <c r="A83" s="84"/>
      <c r="B83" s="84"/>
      <c r="C83" s="84" t="str">
        <f>IF(OR(TabellaBLENDING[[#This Row],[LUN]]="X",TabellaBLENDING[[#This Row],[MAR]]="X",TabellaBLENDING[[#This Row],[MER]]="X",TabellaBLENDING[[#This Row],[GIO]]="X",TabellaBLENDING[[#This Row],[VEN]]="X",),"X","")</f>
        <v/>
      </c>
      <c r="D83" s="81" t="s">
        <v>30</v>
      </c>
      <c r="E83" s="81" t="s">
        <v>2942</v>
      </c>
      <c r="F83" s="81" t="s">
        <v>30</v>
      </c>
      <c r="G83" s="81" t="s">
        <v>2943</v>
      </c>
      <c r="H83" s="83"/>
      <c r="I83" s="83"/>
      <c r="J83" s="83"/>
      <c r="K83" s="83"/>
      <c r="L83" s="83"/>
      <c r="M83" s="81" t="s">
        <v>52</v>
      </c>
      <c r="N83" s="81"/>
      <c r="O83" s="81"/>
      <c r="P83" s="81"/>
      <c r="Q83" s="81"/>
      <c r="R83" s="82"/>
      <c r="S83" s="82"/>
      <c r="T83"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3" s="162" t="str">
        <f t="shared" ca="1" si="5"/>
        <v/>
      </c>
    </row>
    <row r="84" spans="1:21" ht="30" x14ac:dyDescent="0.25">
      <c r="A84" s="84"/>
      <c r="B84" s="84" t="str">
        <f t="shared" ref="B84:B90" si="6">IF(OR(A84="x",A84="X"),"",IF(ISBLANK(A84),"X",""))</f>
        <v>X</v>
      </c>
      <c r="C84" s="84" t="str">
        <f>IF(OR(TabellaBLENDING[[#This Row],[LUN]]="X",TabellaBLENDING[[#This Row],[MAR]]="X",TabellaBLENDING[[#This Row],[MER]]="X",TabellaBLENDING[[#This Row],[GIO]]="X",TabellaBLENDING[[#This Row],[VEN]]="X",),"X","")</f>
        <v/>
      </c>
      <c r="D84" s="81" t="s">
        <v>30</v>
      </c>
      <c r="E84" s="81" t="s">
        <v>2944</v>
      </c>
      <c r="F84" s="81" t="s">
        <v>30</v>
      </c>
      <c r="G84" s="81" t="s">
        <v>2945</v>
      </c>
      <c r="H84" s="83"/>
      <c r="I84" s="83"/>
      <c r="J84" s="83"/>
      <c r="K84" s="83"/>
      <c r="L84" s="83"/>
      <c r="M84" s="81" t="s">
        <v>52</v>
      </c>
      <c r="N84" s="81"/>
      <c r="O84" s="81"/>
      <c r="P84" s="81"/>
      <c r="Q84" s="81"/>
      <c r="R84" s="82"/>
      <c r="S84" s="82"/>
      <c r="T84"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4" s="140" t="str">
        <f t="shared" ca="1" si="5"/>
        <v/>
      </c>
    </row>
    <row r="85" spans="1:21" ht="30" x14ac:dyDescent="0.25">
      <c r="A85" s="84"/>
      <c r="B85" s="84" t="str">
        <f t="shared" si="6"/>
        <v>X</v>
      </c>
      <c r="C85" s="84" t="str">
        <f>IF(OR(TabellaBLENDING[[#This Row],[LUN]]="X",TabellaBLENDING[[#This Row],[MAR]]="X",TabellaBLENDING[[#This Row],[MER]]="X",TabellaBLENDING[[#This Row],[GIO]]="X",TabellaBLENDING[[#This Row],[VEN]]="X",),"X","")</f>
        <v/>
      </c>
      <c r="D85" s="81" t="s">
        <v>30</v>
      </c>
      <c r="E85" s="81" t="s">
        <v>2946</v>
      </c>
      <c r="F85" s="81" t="s">
        <v>30</v>
      </c>
      <c r="G85" s="81" t="s">
        <v>2947</v>
      </c>
      <c r="H85" s="83"/>
      <c r="I85" s="83"/>
      <c r="J85" s="83"/>
      <c r="K85" s="83"/>
      <c r="L85" s="83"/>
      <c r="M85" s="81" t="s">
        <v>52</v>
      </c>
      <c r="N85" s="81"/>
      <c r="O85" s="81"/>
      <c r="P85" s="81"/>
      <c r="Q85" s="81"/>
      <c r="R85" s="82"/>
      <c r="S85" s="82"/>
      <c r="T85"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5" s="140" t="str">
        <f t="shared" ca="1" si="5"/>
        <v/>
      </c>
    </row>
    <row r="86" spans="1:21" ht="30" x14ac:dyDescent="0.25">
      <c r="A86" s="84"/>
      <c r="B86" s="84" t="str">
        <f t="shared" si="6"/>
        <v>X</v>
      </c>
      <c r="C86" s="84" t="str">
        <f>IF(OR(TabellaBLENDING[[#This Row],[LUN]]="X",TabellaBLENDING[[#This Row],[MAR]]="X",TabellaBLENDING[[#This Row],[MER]]="X",TabellaBLENDING[[#This Row],[GIO]]="X",TabellaBLENDING[[#This Row],[VEN]]="X",),"X","")</f>
        <v/>
      </c>
      <c r="D86" s="81" t="s">
        <v>30</v>
      </c>
      <c r="E86" s="81" t="s">
        <v>2948</v>
      </c>
      <c r="F86" s="81" t="s">
        <v>30</v>
      </c>
      <c r="G86" s="81" t="s">
        <v>2949</v>
      </c>
      <c r="H86" s="83"/>
      <c r="I86" s="83"/>
      <c r="J86" s="83"/>
      <c r="K86" s="83"/>
      <c r="L86" s="83"/>
      <c r="M86" s="81" t="s">
        <v>52</v>
      </c>
      <c r="N86" s="81"/>
      <c r="O86" s="81"/>
      <c r="P86" s="81"/>
      <c r="Q86" s="81"/>
      <c r="R86" s="82"/>
      <c r="S86" s="82"/>
      <c r="T86"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6" s="140" t="str">
        <f t="shared" ca="1" si="5"/>
        <v/>
      </c>
    </row>
    <row r="87" spans="1:21" ht="30" x14ac:dyDescent="0.25">
      <c r="A87" s="84"/>
      <c r="B87" s="84" t="str">
        <f t="shared" si="6"/>
        <v>X</v>
      </c>
      <c r="C87" s="84" t="str">
        <f>IF(OR(TabellaBLENDING[[#This Row],[LUN]]="X",TabellaBLENDING[[#This Row],[MAR]]="X",TabellaBLENDING[[#This Row],[MER]]="X",TabellaBLENDING[[#This Row],[GIO]]="X",TabellaBLENDING[[#This Row],[VEN]]="X",),"X","")</f>
        <v/>
      </c>
      <c r="D87" s="81" t="s">
        <v>30</v>
      </c>
      <c r="E87" s="81" t="s">
        <v>2950</v>
      </c>
      <c r="F87" s="81" t="s">
        <v>30</v>
      </c>
      <c r="G87" s="81" t="s">
        <v>2951</v>
      </c>
      <c r="H87" s="83"/>
      <c r="I87" s="83"/>
      <c r="J87" s="83"/>
      <c r="K87" s="83"/>
      <c r="L87" s="83"/>
      <c r="M87" s="81" t="s">
        <v>52</v>
      </c>
      <c r="N87" s="81"/>
      <c r="O87" s="81"/>
      <c r="P87" s="81"/>
      <c r="Q87" s="81"/>
      <c r="R87" s="82"/>
      <c r="S87" s="82"/>
      <c r="T87"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7" s="140" t="str">
        <f t="shared" ca="1" si="5"/>
        <v/>
      </c>
    </row>
    <row r="88" spans="1:21" ht="30" x14ac:dyDescent="0.25">
      <c r="A88" s="84"/>
      <c r="B88" s="84" t="str">
        <f t="shared" si="6"/>
        <v>X</v>
      </c>
      <c r="C88" s="84" t="str">
        <f>IF(OR(TabellaBLENDING[[#This Row],[LUN]]="X",TabellaBLENDING[[#This Row],[MAR]]="X",TabellaBLENDING[[#This Row],[MER]]="X",TabellaBLENDING[[#This Row],[GIO]]="X",TabellaBLENDING[[#This Row],[VEN]]="X",),"X","")</f>
        <v/>
      </c>
      <c r="D88" s="81" t="s">
        <v>30</v>
      </c>
      <c r="E88" s="81" t="s">
        <v>2952</v>
      </c>
      <c r="F88" s="81" t="s">
        <v>30</v>
      </c>
      <c r="G88" s="81" t="s">
        <v>2953</v>
      </c>
      <c r="H88" s="83"/>
      <c r="I88" s="83"/>
      <c r="J88" s="83"/>
      <c r="K88" s="83"/>
      <c r="L88" s="83"/>
      <c r="M88" s="81" t="s">
        <v>52</v>
      </c>
      <c r="N88" s="81"/>
      <c r="O88" s="81"/>
      <c r="P88" s="81"/>
      <c r="Q88" s="81"/>
      <c r="R88" s="82"/>
      <c r="S88" s="82"/>
      <c r="T88"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8" s="140" t="str">
        <f t="shared" ca="1" si="5"/>
        <v/>
      </c>
    </row>
    <row r="89" spans="1:21" ht="30" x14ac:dyDescent="0.25">
      <c r="A89" s="84"/>
      <c r="B89" s="84" t="str">
        <f t="shared" si="6"/>
        <v>X</v>
      </c>
      <c r="C89" s="84" t="str">
        <f>IF(OR(TabellaBLENDING[[#This Row],[LUN]]="X",TabellaBLENDING[[#This Row],[MAR]]="X",TabellaBLENDING[[#This Row],[MER]]="X",TabellaBLENDING[[#This Row],[GIO]]="X",TabellaBLENDING[[#This Row],[VEN]]="X",),"X","")</f>
        <v/>
      </c>
      <c r="D89" s="81" t="s">
        <v>30</v>
      </c>
      <c r="E89" s="81" t="s">
        <v>2954</v>
      </c>
      <c r="F89" s="81" t="s">
        <v>30</v>
      </c>
      <c r="G89" s="81" t="s">
        <v>2955</v>
      </c>
      <c r="H89" s="83"/>
      <c r="I89" s="83"/>
      <c r="J89" s="83"/>
      <c r="K89" s="83"/>
      <c r="L89" s="83"/>
      <c r="M89" s="81" t="s">
        <v>52</v>
      </c>
      <c r="N89" s="81"/>
      <c r="O89" s="81"/>
      <c r="P89" s="81"/>
      <c r="Q89" s="81"/>
      <c r="R89" s="82"/>
      <c r="S89" s="82"/>
      <c r="T89"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9" s="140" t="str">
        <f t="shared" ca="1" si="5"/>
        <v/>
      </c>
    </row>
    <row r="90" spans="1:21" ht="30" x14ac:dyDescent="0.25">
      <c r="A90" s="84"/>
      <c r="B90" s="84" t="str">
        <f t="shared" si="6"/>
        <v>X</v>
      </c>
      <c r="C90" s="84" t="str">
        <f>IF(OR(TabellaBLENDING[[#This Row],[LUN]]="X",TabellaBLENDING[[#This Row],[MAR]]="X",TabellaBLENDING[[#This Row],[MER]]="X",TabellaBLENDING[[#This Row],[GIO]]="X",TabellaBLENDING[[#This Row],[VEN]]="X",),"X","")</f>
        <v/>
      </c>
      <c r="D90" s="81" t="s">
        <v>30</v>
      </c>
      <c r="E90" s="81" t="s">
        <v>2956</v>
      </c>
      <c r="F90" s="81" t="s">
        <v>30</v>
      </c>
      <c r="G90" s="81" t="s">
        <v>2957</v>
      </c>
      <c r="H90" s="83"/>
      <c r="I90" s="83"/>
      <c r="J90" s="83"/>
      <c r="K90" s="83"/>
      <c r="L90" s="83"/>
      <c r="M90" s="81" t="s">
        <v>52</v>
      </c>
      <c r="N90" s="81"/>
      <c r="O90" s="81"/>
      <c r="P90" s="81"/>
      <c r="Q90" s="81"/>
      <c r="R90" s="82"/>
      <c r="S90" s="82"/>
      <c r="T90"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0" s="140" t="str">
        <f t="shared" ca="1" si="5"/>
        <v/>
      </c>
    </row>
    <row r="91" spans="1:21" ht="23.25" x14ac:dyDescent="0.25">
      <c r="A91" s="84"/>
      <c r="B91" s="84"/>
      <c r="C91" s="84" t="str">
        <f>IF(OR(TabellaBLENDING[[#This Row],[LUN]]="X",TabellaBLENDING[[#This Row],[MAR]]="X",TabellaBLENDING[[#This Row],[MER]]="X",TabellaBLENDING[[#This Row],[GIO]]="X",TabellaBLENDING[[#This Row],[VEN]]="X",),"X","")</f>
        <v/>
      </c>
      <c r="D91" s="81" t="s">
        <v>30</v>
      </c>
      <c r="E91" s="81" t="s">
        <v>2958</v>
      </c>
      <c r="F91" s="81">
        <v>6500</v>
      </c>
      <c r="G91" s="81" t="s">
        <v>2959</v>
      </c>
      <c r="H91" s="83"/>
      <c r="I91" s="83"/>
      <c r="J91" s="83"/>
      <c r="K91" s="83"/>
      <c r="L91" s="83"/>
      <c r="M91" s="81" t="s">
        <v>52</v>
      </c>
      <c r="N91" s="81"/>
      <c r="O91" s="81"/>
      <c r="P91" s="81"/>
      <c r="Q91" s="81"/>
      <c r="R91" s="82"/>
      <c r="S91" s="82"/>
      <c r="T91"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1" s="141" t="str">
        <f t="shared" ca="1" si="5"/>
        <v/>
      </c>
    </row>
    <row r="92" spans="1:21" ht="23.25" x14ac:dyDescent="0.25">
      <c r="A92" s="84"/>
      <c r="B92" s="84"/>
      <c r="C92" s="84" t="str">
        <f>IF(OR(TabellaBLENDING[[#This Row],[LUN]]="X",TabellaBLENDING[[#This Row],[MAR]]="X",TabellaBLENDING[[#This Row],[MER]]="X",TabellaBLENDING[[#This Row],[GIO]]="X",TabellaBLENDING[[#This Row],[VEN]]="X",),"X","")</f>
        <v/>
      </c>
      <c r="D92" s="81" t="s">
        <v>30</v>
      </c>
      <c r="E92" s="81" t="s">
        <v>2960</v>
      </c>
      <c r="F92" s="81">
        <v>6000</v>
      </c>
      <c r="G92" s="81" t="s">
        <v>2961</v>
      </c>
      <c r="H92" s="83"/>
      <c r="I92" s="83"/>
      <c r="J92" s="83"/>
      <c r="K92" s="83"/>
      <c r="L92" s="83"/>
      <c r="M92" s="81" t="s">
        <v>52</v>
      </c>
      <c r="N92" s="81"/>
      <c r="O92" s="81"/>
      <c r="P92" s="81"/>
      <c r="Q92" s="81"/>
      <c r="R92" s="82"/>
      <c r="S92" s="82"/>
      <c r="T92"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2" s="141" t="str">
        <f t="shared" ca="1" si="5"/>
        <v/>
      </c>
    </row>
    <row r="93" spans="1:21" ht="30" x14ac:dyDescent="0.25">
      <c r="A93" s="84"/>
      <c r="B93" s="84" t="str">
        <f>IF(OR(A93="x",A93="X"),"",IF(ISBLANK(A93),"X",""))</f>
        <v>X</v>
      </c>
      <c r="C93" s="84" t="str">
        <f>IF(OR(TabellaBLENDING[[#This Row],[LUN]]="X",TabellaBLENDING[[#This Row],[MAR]]="X",TabellaBLENDING[[#This Row],[MER]]="X",TabellaBLENDING[[#This Row],[GIO]]="X",TabellaBLENDING[[#This Row],[VEN]]="X",),"X","")</f>
        <v/>
      </c>
      <c r="D93" s="81" t="s">
        <v>30</v>
      </c>
      <c r="E93" s="81" t="s">
        <v>2962</v>
      </c>
      <c r="F93" s="81" t="s">
        <v>30</v>
      </c>
      <c r="G93" s="81" t="s">
        <v>2963</v>
      </c>
      <c r="H93" s="83"/>
      <c r="I93" s="83"/>
      <c r="J93" s="83"/>
      <c r="K93" s="83"/>
      <c r="L93" s="83"/>
      <c r="M93" s="81" t="s">
        <v>52</v>
      </c>
      <c r="N93" s="81"/>
      <c r="O93" s="81"/>
      <c r="P93" s="81"/>
      <c r="Q93" s="81"/>
      <c r="R93" s="82"/>
      <c r="S93" s="82"/>
      <c r="T93"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3" s="140" t="str">
        <f t="shared" ca="1" si="5"/>
        <v/>
      </c>
    </row>
    <row r="94" spans="1:21" ht="23.25" x14ac:dyDescent="0.25">
      <c r="A94" s="84"/>
      <c r="B94" s="84"/>
      <c r="C94" s="84" t="str">
        <f>IF(OR(TabellaBLENDING[[#This Row],[LUN]]="X",TabellaBLENDING[[#This Row],[MAR]]="X",TabellaBLENDING[[#This Row],[MER]]="X",TabellaBLENDING[[#This Row],[GIO]]="X",TabellaBLENDING[[#This Row],[VEN]]="X",),"X","")</f>
        <v/>
      </c>
      <c r="D94" s="81" t="s">
        <v>30</v>
      </c>
      <c r="E94" s="81" t="s">
        <v>2964</v>
      </c>
      <c r="F94" s="81">
        <v>6000</v>
      </c>
      <c r="G94" s="81" t="s">
        <v>2965</v>
      </c>
      <c r="H94" s="83"/>
      <c r="I94" s="83"/>
      <c r="J94" s="83"/>
      <c r="K94" s="83"/>
      <c r="L94" s="83"/>
      <c r="M94" s="81" t="s">
        <v>52</v>
      </c>
      <c r="N94" s="81"/>
      <c r="O94" s="81"/>
      <c r="P94" s="81"/>
      <c r="Q94" s="81"/>
      <c r="R94" s="82"/>
      <c r="S94" s="82"/>
      <c r="T94"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4" s="141" t="str">
        <f t="shared" ca="1" si="5"/>
        <v/>
      </c>
    </row>
    <row r="95" spans="1:21" ht="30" x14ac:dyDescent="0.25">
      <c r="A95" s="84"/>
      <c r="B95" s="84"/>
      <c r="C95" s="84" t="str">
        <f>IF(OR(TabellaBLENDING[[#This Row],[LUN]]="X",TabellaBLENDING[[#This Row],[MAR]]="X",TabellaBLENDING[[#This Row],[MER]]="X",TabellaBLENDING[[#This Row],[GIO]]="X",TabellaBLENDING[[#This Row],[VEN]]="X",),"X","")</f>
        <v/>
      </c>
      <c r="D95" s="81" t="s">
        <v>30</v>
      </c>
      <c r="E95" s="81" t="s">
        <v>2966</v>
      </c>
      <c r="F95" s="81" t="s">
        <v>2967</v>
      </c>
      <c r="G95" s="81" t="s">
        <v>2968</v>
      </c>
      <c r="H95" s="83"/>
      <c r="I95" s="83"/>
      <c r="J95" s="83"/>
      <c r="K95" s="83"/>
      <c r="L95" s="83"/>
      <c r="M95" s="81" t="s">
        <v>52</v>
      </c>
      <c r="N95" s="81"/>
      <c r="O95" s="81"/>
      <c r="P95" s="81"/>
      <c r="Q95" s="81"/>
      <c r="R95" s="82"/>
      <c r="S95" s="82"/>
      <c r="T95"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5" s="163"/>
    </row>
    <row r="96" spans="1:21" ht="30" x14ac:dyDescent="0.25">
      <c r="A96" s="84"/>
      <c r="B96" s="84"/>
      <c r="C96" s="84" t="str">
        <f>IF(OR(TabellaBLENDING[[#This Row],[LUN]]="X",TabellaBLENDING[[#This Row],[MAR]]="X",TabellaBLENDING[[#This Row],[MER]]="X",TabellaBLENDING[[#This Row],[GIO]]="X",TabellaBLENDING[[#This Row],[VEN]]="X",),"X","")</f>
        <v/>
      </c>
      <c r="D96" s="81" t="s">
        <v>30</v>
      </c>
      <c r="E96" s="81" t="s">
        <v>2969</v>
      </c>
      <c r="F96" s="81" t="s">
        <v>2967</v>
      </c>
      <c r="G96" s="81" t="s">
        <v>2970</v>
      </c>
      <c r="H96" s="83"/>
      <c r="I96" s="83"/>
      <c r="J96" s="83"/>
      <c r="K96" s="83"/>
      <c r="L96" s="83"/>
      <c r="M96" s="81" t="s">
        <v>52</v>
      </c>
      <c r="N96" s="81"/>
      <c r="O96" s="81"/>
      <c r="P96" s="81"/>
      <c r="Q96" s="81"/>
      <c r="R96" s="82"/>
      <c r="S96" s="82"/>
      <c r="T96"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6" s="163"/>
    </row>
    <row r="97" spans="1:21" ht="23.25" x14ac:dyDescent="0.25">
      <c r="A97" s="84"/>
      <c r="B97" s="84"/>
      <c r="C97" s="84" t="str">
        <f>IF(OR(TabellaBLENDING[[#This Row],[LUN]]="X",TabellaBLENDING[[#This Row],[MAR]]="X",TabellaBLENDING[[#This Row],[MER]]="X",TabellaBLENDING[[#This Row],[GIO]]="X",TabellaBLENDING[[#This Row],[VEN]]="X",),"X","")</f>
        <v/>
      </c>
      <c r="D97" s="81" t="s">
        <v>30</v>
      </c>
      <c r="E97" s="81" t="s">
        <v>2971</v>
      </c>
      <c r="F97" s="81" t="s">
        <v>2967</v>
      </c>
      <c r="G97" s="81" t="s">
        <v>2972</v>
      </c>
      <c r="H97" s="83"/>
      <c r="I97" s="83"/>
      <c r="J97" s="83"/>
      <c r="K97" s="83"/>
      <c r="L97" s="83"/>
      <c r="M97" s="81" t="s">
        <v>52</v>
      </c>
      <c r="N97" s="81"/>
      <c r="O97" s="81"/>
      <c r="P97" s="81"/>
      <c r="Q97" s="81"/>
      <c r="R97" s="82"/>
      <c r="S97" s="82"/>
      <c r="T97"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7" s="163"/>
    </row>
    <row r="98" spans="1:21" ht="30" x14ac:dyDescent="0.25">
      <c r="A98" s="84"/>
      <c r="B98" s="84" t="str">
        <f>IF(OR(A98="x",A98="X"),"",IF(ISBLANK(A98),"X",""))</f>
        <v>X</v>
      </c>
      <c r="C98" s="84" t="str">
        <f>IF(OR(TabellaBLENDING[[#This Row],[LUN]]="X",TabellaBLENDING[[#This Row],[MAR]]="X",TabellaBLENDING[[#This Row],[MER]]="X",TabellaBLENDING[[#This Row],[GIO]]="X",TabellaBLENDING[[#This Row],[VEN]]="X",),"X","")</f>
        <v/>
      </c>
      <c r="D98" s="81" t="s">
        <v>30</v>
      </c>
      <c r="E98" s="81" t="s">
        <v>89</v>
      </c>
      <c r="F98" s="81" t="s">
        <v>30</v>
      </c>
      <c r="G98" s="81" t="s">
        <v>84</v>
      </c>
      <c r="H98" s="83"/>
      <c r="I98" s="83"/>
      <c r="J98" s="83"/>
      <c r="K98" s="83"/>
      <c r="L98" s="83"/>
      <c r="M98" s="81" t="s">
        <v>52</v>
      </c>
      <c r="N98" s="81"/>
      <c r="O98" s="81"/>
      <c r="P98" s="81"/>
      <c r="Q98" s="81"/>
      <c r="R98" s="82">
        <v>45894</v>
      </c>
      <c r="S98" s="82" t="s">
        <v>535</v>
      </c>
      <c r="T98"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8" s="140" t="str">
        <f ca="1">IFERROR(MID(G98,_xlfn.AGGREGATE(15,6,(ROW(INDIRECT("1:"&amp;LEN(G98)-7)))/(ISNUMBER(--MID(G98,ROW(INDIRECT("1:"&amp;LEN(G98)-7)),8))),1),8),"")</f>
        <v/>
      </c>
    </row>
    <row r="99" spans="1:21" ht="30" x14ac:dyDescent="0.25">
      <c r="A99" s="84"/>
      <c r="B99" s="84" t="str">
        <f>IF(OR(A99="x",A99="X"),"",IF(ISBLANK(A99),"X",""))</f>
        <v>X</v>
      </c>
      <c r="C99" s="84" t="str">
        <f>IF(OR(TabellaBLENDING[[#This Row],[LUN]]="X",TabellaBLENDING[[#This Row],[MAR]]="X",TabellaBLENDING[[#This Row],[MER]]="X",TabellaBLENDING[[#This Row],[GIO]]="X",TabellaBLENDING[[#This Row],[VEN]]="X",),"X","")</f>
        <v/>
      </c>
      <c r="D99" s="81" t="s">
        <v>30</v>
      </c>
      <c r="E99" s="81" t="s">
        <v>90</v>
      </c>
      <c r="F99" s="81" t="s">
        <v>30</v>
      </c>
      <c r="G99" s="81" t="s">
        <v>85</v>
      </c>
      <c r="H99" s="83"/>
      <c r="I99" s="83"/>
      <c r="J99" s="83"/>
      <c r="K99" s="83"/>
      <c r="L99" s="83"/>
      <c r="M99" s="81" t="s">
        <v>52</v>
      </c>
      <c r="N99" s="81"/>
      <c r="O99" s="81"/>
      <c r="P99" s="81"/>
      <c r="Q99" s="81"/>
      <c r="R99" s="82">
        <v>45894</v>
      </c>
      <c r="S99" s="82" t="s">
        <v>535</v>
      </c>
      <c r="T99"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9" s="140" t="str">
        <f ca="1">IFERROR(MID(G99,_xlfn.AGGREGATE(15,6,(ROW(INDIRECT("1:"&amp;LEN(G99)-7)))/(ISNUMBER(--MID(G99,ROW(INDIRECT("1:"&amp;LEN(G99)-7)),8))),1),8),"")</f>
        <v/>
      </c>
    </row>
    <row r="100" spans="1:21" ht="23.25" x14ac:dyDescent="0.25">
      <c r="A100" s="84"/>
      <c r="B100" s="84"/>
      <c r="C100" s="84" t="str">
        <f>IF(OR(TabellaBLENDING[[#This Row],[LUN]]="X",TabellaBLENDING[[#This Row],[MAR]]="X",TabellaBLENDING[[#This Row],[MER]]="X",TabellaBLENDING[[#This Row],[GIO]]="X",TabellaBLENDING[[#This Row],[VEN]]="X",),"X","")</f>
        <v/>
      </c>
      <c r="D100" s="81" t="s">
        <v>30</v>
      </c>
      <c r="E100" s="81" t="s">
        <v>2973</v>
      </c>
      <c r="F100" s="81">
        <v>7000</v>
      </c>
      <c r="G100" s="81" t="s">
        <v>2901</v>
      </c>
      <c r="H100" s="83"/>
      <c r="I100" s="83"/>
      <c r="J100" s="83"/>
      <c r="K100" s="83"/>
      <c r="L100" s="83"/>
      <c r="M100" s="81" t="s">
        <v>52</v>
      </c>
      <c r="N100" s="81"/>
      <c r="O100" s="81"/>
      <c r="P100" s="81"/>
      <c r="Q100" s="81"/>
      <c r="R100" s="82"/>
      <c r="S100" s="82"/>
      <c r="T100"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0" s="163"/>
    </row>
    <row r="101" spans="1:21" ht="30" x14ac:dyDescent="0.25">
      <c r="A101" s="84"/>
      <c r="B101" s="84"/>
      <c r="C101" s="84" t="str">
        <f>IF(OR(TabellaBLENDING[[#This Row],[LUN]]="X",TabellaBLENDING[[#This Row],[MAR]]="X",TabellaBLENDING[[#This Row],[MER]]="X",TabellaBLENDING[[#This Row],[GIO]]="X",TabellaBLENDING[[#This Row],[VEN]]="X",),"X","")</f>
        <v/>
      </c>
      <c r="D101" s="81" t="s">
        <v>30</v>
      </c>
      <c r="E101" s="81" t="s">
        <v>2974</v>
      </c>
      <c r="F101" s="81">
        <v>7000</v>
      </c>
      <c r="G101" s="81" t="s">
        <v>2975</v>
      </c>
      <c r="H101" s="83"/>
      <c r="I101" s="83"/>
      <c r="J101" s="83"/>
      <c r="K101" s="83"/>
      <c r="L101" s="83"/>
      <c r="M101" s="81" t="s">
        <v>52</v>
      </c>
      <c r="N101" s="81"/>
      <c r="O101" s="81"/>
      <c r="P101" s="81"/>
      <c r="Q101" s="81"/>
      <c r="R101" s="82"/>
      <c r="S101" s="82"/>
      <c r="T101"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1" s="163"/>
    </row>
    <row r="102" spans="1:21" ht="23.25" x14ac:dyDescent="0.25">
      <c r="A102" s="84"/>
      <c r="B102" s="84"/>
      <c r="C102" s="84" t="str">
        <f>IF(OR(TabellaBLENDING[[#This Row],[LUN]]="X",TabellaBLENDING[[#This Row],[MAR]]="X",TabellaBLENDING[[#This Row],[MER]]="X",TabellaBLENDING[[#This Row],[GIO]]="X",TabellaBLENDING[[#This Row],[VEN]]="X",),"X","")</f>
        <v/>
      </c>
      <c r="D102" s="81" t="s">
        <v>30</v>
      </c>
      <c r="E102" s="81" t="s">
        <v>2976</v>
      </c>
      <c r="F102" s="81">
        <v>1300</v>
      </c>
      <c r="G102" s="81" t="s">
        <v>2977</v>
      </c>
      <c r="H102" s="83"/>
      <c r="I102" s="83"/>
      <c r="J102" s="83"/>
      <c r="K102" s="83"/>
      <c r="L102" s="83"/>
      <c r="M102" s="81" t="s">
        <v>52</v>
      </c>
      <c r="N102" s="81"/>
      <c r="O102" s="81"/>
      <c r="P102" s="81"/>
      <c r="Q102" s="81"/>
      <c r="R102" s="82">
        <v>45903</v>
      </c>
      <c r="S102" s="82" t="s">
        <v>535</v>
      </c>
      <c r="T102"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2" s="163"/>
    </row>
    <row r="103" spans="1:21" ht="30" x14ac:dyDescent="0.25">
      <c r="A103" s="84"/>
      <c r="B103" s="84"/>
      <c r="C103" s="84" t="str">
        <f>IF(OR(TabellaBLENDING[[#This Row],[LUN]]="X",TabellaBLENDING[[#This Row],[MAR]]="X",TabellaBLENDING[[#This Row],[MER]]="X",TabellaBLENDING[[#This Row],[GIO]]="X",TabellaBLENDING[[#This Row],[VEN]]="X",),"X","")</f>
        <v/>
      </c>
      <c r="D103" s="81" t="s">
        <v>30</v>
      </c>
      <c r="E103" s="81" t="s">
        <v>2978</v>
      </c>
      <c r="F103" s="81">
        <v>7000</v>
      </c>
      <c r="G103" s="81" t="s">
        <v>2979</v>
      </c>
      <c r="H103" s="83"/>
      <c r="I103" s="83"/>
      <c r="J103" s="83"/>
      <c r="K103" s="83"/>
      <c r="L103" s="83"/>
      <c r="M103" s="81" t="s">
        <v>52</v>
      </c>
      <c r="N103" s="81"/>
      <c r="O103" s="81"/>
      <c r="P103" s="81"/>
      <c r="Q103" s="81"/>
      <c r="R103" s="82"/>
      <c r="S103" s="82"/>
      <c r="T103"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3" s="163"/>
    </row>
    <row r="104" spans="1:21" ht="30" x14ac:dyDescent="0.25">
      <c r="A104" s="84"/>
      <c r="B104" s="84"/>
      <c r="C104" s="84" t="str">
        <f>IF(OR(TabellaBLENDING[[#This Row],[LUN]]="X",TabellaBLENDING[[#This Row],[MAR]]="X",TabellaBLENDING[[#This Row],[MER]]="X",TabellaBLENDING[[#This Row],[GIO]]="X",TabellaBLENDING[[#This Row],[VEN]]="X",),"X","")</f>
        <v/>
      </c>
      <c r="D104" s="81" t="s">
        <v>30</v>
      </c>
      <c r="E104" s="81" t="s">
        <v>2980</v>
      </c>
      <c r="F104" s="81" t="s">
        <v>175</v>
      </c>
      <c r="G104" s="81" t="s">
        <v>2981</v>
      </c>
      <c r="H104" s="83"/>
      <c r="I104" s="83"/>
      <c r="J104" s="83"/>
      <c r="K104" s="83"/>
      <c r="L104" s="83"/>
      <c r="M104" s="81" t="s">
        <v>52</v>
      </c>
      <c r="N104" s="81"/>
      <c r="O104" s="81"/>
      <c r="P104" s="81"/>
      <c r="Q104" s="81"/>
      <c r="R104" s="82"/>
      <c r="S104" s="82"/>
      <c r="T104"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4" s="163"/>
    </row>
    <row r="105" spans="1:21" ht="30" x14ac:dyDescent="0.25">
      <c r="A105" s="84"/>
      <c r="B105" s="84"/>
      <c r="C105" s="84" t="str">
        <f>IF(OR(TabellaBLENDING[[#This Row],[LUN]]="X",TabellaBLENDING[[#This Row],[MAR]]="X",TabellaBLENDING[[#This Row],[MER]]="X",TabellaBLENDING[[#This Row],[GIO]]="X",TabellaBLENDING[[#This Row],[VEN]]="X",),"X","")</f>
        <v/>
      </c>
      <c r="D105" s="81" t="s">
        <v>30</v>
      </c>
      <c r="E105" s="81" t="s">
        <v>2982</v>
      </c>
      <c r="F105" s="81">
        <v>7000</v>
      </c>
      <c r="G105" s="81" t="s">
        <v>2983</v>
      </c>
      <c r="H105" s="83"/>
      <c r="I105" s="83"/>
      <c r="J105" s="83"/>
      <c r="K105" s="83"/>
      <c r="L105" s="83"/>
      <c r="M105" s="81" t="s">
        <v>52</v>
      </c>
      <c r="N105" s="81"/>
      <c r="O105" s="81"/>
      <c r="P105" s="81"/>
      <c r="Q105" s="81"/>
      <c r="R105" s="82"/>
      <c r="S105" s="82"/>
      <c r="T105"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5" s="163"/>
    </row>
    <row r="106" spans="1:21" ht="23.25" x14ac:dyDescent="0.25">
      <c r="A106" s="84"/>
      <c r="B106" s="84"/>
      <c r="C106" s="84" t="str">
        <f>IF(OR(TabellaBLENDING[[#This Row],[LUN]]="X",TabellaBLENDING[[#This Row],[MAR]]="X",TabellaBLENDING[[#This Row],[MER]]="X",TabellaBLENDING[[#This Row],[GIO]]="X",TabellaBLENDING[[#This Row],[VEN]]="X",),"X","")</f>
        <v/>
      </c>
      <c r="D106" s="81" t="s">
        <v>30</v>
      </c>
      <c r="E106" s="81" t="s">
        <v>2984</v>
      </c>
      <c r="F106" s="81" t="s">
        <v>175</v>
      </c>
      <c r="G106" s="81" t="s">
        <v>2985</v>
      </c>
      <c r="H106" s="83"/>
      <c r="I106" s="83"/>
      <c r="J106" s="83"/>
      <c r="K106" s="83"/>
      <c r="L106" s="83"/>
      <c r="M106" s="81" t="s">
        <v>52</v>
      </c>
      <c r="N106" s="81"/>
      <c r="O106" s="81"/>
      <c r="P106" s="81"/>
      <c r="Q106" s="81"/>
      <c r="R106" s="82"/>
      <c r="S106" s="82"/>
      <c r="T106"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6" s="163"/>
    </row>
    <row r="107" spans="1:21" ht="30" x14ac:dyDescent="0.25">
      <c r="A107" s="84"/>
      <c r="B107" s="84"/>
      <c r="C107" s="84" t="str">
        <f>IF(OR(TabellaBLENDING[[#This Row],[LUN]]="X",TabellaBLENDING[[#This Row],[MAR]]="X",TabellaBLENDING[[#This Row],[MER]]="X",TabellaBLENDING[[#This Row],[GIO]]="X",TabellaBLENDING[[#This Row],[VEN]]="X",),"X","")</f>
        <v/>
      </c>
      <c r="D107" s="81" t="s">
        <v>30</v>
      </c>
      <c r="E107" s="81" t="s">
        <v>2986</v>
      </c>
      <c r="F107" s="81" t="s">
        <v>2967</v>
      </c>
      <c r="G107" s="81" t="s">
        <v>2987</v>
      </c>
      <c r="H107" s="83"/>
      <c r="I107" s="83"/>
      <c r="J107" s="83"/>
      <c r="K107" s="83"/>
      <c r="L107" s="83"/>
      <c r="M107" s="81" t="s">
        <v>52</v>
      </c>
      <c r="N107" s="81"/>
      <c r="O107" s="81"/>
      <c r="P107" s="81"/>
      <c r="Q107" s="81"/>
      <c r="R107" s="82"/>
      <c r="S107" s="82"/>
      <c r="T107"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7" s="163"/>
    </row>
    <row r="108" spans="1:21" ht="23.25" x14ac:dyDescent="0.25">
      <c r="A108" s="84"/>
      <c r="B108" s="84"/>
      <c r="C108" s="84" t="str">
        <f>IF(OR(TabellaBLENDING[[#This Row],[LUN]]="X",TabellaBLENDING[[#This Row],[MAR]]="X",TabellaBLENDING[[#This Row],[MER]]="X",TabellaBLENDING[[#This Row],[GIO]]="X",TabellaBLENDING[[#This Row],[VEN]]="X",),"X","")</f>
        <v/>
      </c>
      <c r="D108" s="81" t="s">
        <v>30</v>
      </c>
      <c r="E108" s="81" t="s">
        <v>2988</v>
      </c>
      <c r="F108" s="81">
        <v>6500</v>
      </c>
      <c r="G108" s="81" t="s">
        <v>2989</v>
      </c>
      <c r="H108" s="83"/>
      <c r="I108" s="83"/>
      <c r="J108" s="83"/>
      <c r="K108" s="83"/>
      <c r="L108" s="83"/>
      <c r="M108" s="81" t="s">
        <v>52</v>
      </c>
      <c r="N108" s="81"/>
      <c r="O108" s="81"/>
      <c r="P108" s="81"/>
      <c r="Q108" s="81"/>
      <c r="R108" s="82"/>
      <c r="S108" s="82"/>
      <c r="T108"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8" s="163"/>
    </row>
    <row r="109" spans="1:21" ht="75" x14ac:dyDescent="0.25">
      <c r="A109" s="84"/>
      <c r="B109" s="84"/>
      <c r="C109" s="84" t="str">
        <f>IF(OR(TabellaBLENDING[[#This Row],[LUN]]="X",TabellaBLENDING[[#This Row],[MAR]]="X",TabellaBLENDING[[#This Row],[MER]]="X",TabellaBLENDING[[#This Row],[GIO]]="X",TabellaBLENDING[[#This Row],[VEN]]="X",),"X","")</f>
        <v/>
      </c>
      <c r="D109" s="81" t="s">
        <v>30</v>
      </c>
      <c r="E109" s="81" t="s">
        <v>2990</v>
      </c>
      <c r="F109" s="81" t="s">
        <v>2967</v>
      </c>
      <c r="G109" s="81" t="s">
        <v>2991</v>
      </c>
      <c r="H109" s="83"/>
      <c r="I109" s="83"/>
      <c r="J109" s="83"/>
      <c r="K109" s="83"/>
      <c r="L109" s="83"/>
      <c r="M109" s="81" t="s">
        <v>52</v>
      </c>
      <c r="N109" s="81"/>
      <c r="O109" s="81"/>
      <c r="P109" s="81"/>
      <c r="Q109" s="81" t="s">
        <v>2992</v>
      </c>
      <c r="R109" s="82">
        <v>45917</v>
      </c>
      <c r="S109" s="82" t="s">
        <v>535</v>
      </c>
      <c r="T109"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9" s="163"/>
    </row>
    <row r="110" spans="1:21" ht="23.25" x14ac:dyDescent="0.25">
      <c r="A110" s="84"/>
      <c r="B110" s="84"/>
      <c r="C110" s="84" t="str">
        <f>IF(OR(TabellaBLENDING[[#This Row],[LUN]]="X",TabellaBLENDING[[#This Row],[MAR]]="X",TabellaBLENDING[[#This Row],[MER]]="X",TabellaBLENDING[[#This Row],[GIO]]="X",TabellaBLENDING[[#This Row],[VEN]]="X",),"X","")</f>
        <v/>
      </c>
      <c r="D110" s="81" t="s">
        <v>30</v>
      </c>
      <c r="E110" s="81" t="s">
        <v>2993</v>
      </c>
      <c r="F110" s="81">
        <v>6500</v>
      </c>
      <c r="G110" s="81" t="s">
        <v>2994</v>
      </c>
      <c r="H110" s="83"/>
      <c r="I110" s="83"/>
      <c r="J110" s="83"/>
      <c r="K110" s="83"/>
      <c r="L110" s="83"/>
      <c r="M110" s="81" t="s">
        <v>52</v>
      </c>
      <c r="N110" s="81"/>
      <c r="O110" s="81"/>
      <c r="P110" s="81"/>
      <c r="Q110" s="81" t="s">
        <v>2995</v>
      </c>
      <c r="R110" s="82">
        <v>45918</v>
      </c>
      <c r="S110" s="82" t="s">
        <v>535</v>
      </c>
      <c r="T110"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0" s="163"/>
    </row>
    <row r="111" spans="1:21" ht="30" x14ac:dyDescent="0.25">
      <c r="A111" s="84"/>
      <c r="B111" s="84"/>
      <c r="C111" s="84" t="str">
        <f>IF(OR(TabellaBLENDING[[#This Row],[LUN]]="X",TabellaBLENDING[[#This Row],[MAR]]="X",TabellaBLENDING[[#This Row],[MER]]="X",TabellaBLENDING[[#This Row],[GIO]]="X",TabellaBLENDING[[#This Row],[VEN]]="X",),"X","")</f>
        <v/>
      </c>
      <c r="D111" s="81" t="s">
        <v>30</v>
      </c>
      <c r="E111" s="81" t="s">
        <v>2996</v>
      </c>
      <c r="F111" s="81">
        <v>6500</v>
      </c>
      <c r="G111" s="81" t="s">
        <v>2997</v>
      </c>
      <c r="H111" s="83"/>
      <c r="I111" s="83"/>
      <c r="J111" s="83"/>
      <c r="K111" s="83"/>
      <c r="L111" s="83"/>
      <c r="M111" s="81" t="s">
        <v>52</v>
      </c>
      <c r="N111" s="81"/>
      <c r="O111" s="81"/>
      <c r="P111" s="81"/>
      <c r="Q111" s="81" t="s">
        <v>2998</v>
      </c>
      <c r="R111" s="82">
        <v>45918</v>
      </c>
      <c r="S111" s="82" t="s">
        <v>535</v>
      </c>
      <c r="T111"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1" s="163"/>
    </row>
    <row r="112" spans="1:21" ht="23.25" x14ac:dyDescent="0.25">
      <c r="A112" s="84"/>
      <c r="B112" s="84"/>
      <c r="C112" s="84" t="str">
        <f>IF(OR(TabellaBLENDING[[#This Row],[LUN]]="X",TabellaBLENDING[[#This Row],[MAR]]="X",TabellaBLENDING[[#This Row],[MER]]="X",TabellaBLENDING[[#This Row],[GIO]]="X",TabellaBLENDING[[#This Row],[VEN]]="X",),"X","")</f>
        <v/>
      </c>
      <c r="D112" s="81" t="s">
        <v>30</v>
      </c>
      <c r="E112" s="81" t="s">
        <v>2999</v>
      </c>
      <c r="F112" s="81">
        <v>6500</v>
      </c>
      <c r="G112" s="81" t="s">
        <v>3000</v>
      </c>
      <c r="H112" s="83"/>
      <c r="I112" s="83"/>
      <c r="J112" s="83"/>
      <c r="K112" s="83"/>
      <c r="L112" s="83"/>
      <c r="M112" s="81" t="s">
        <v>52</v>
      </c>
      <c r="N112" s="81"/>
      <c r="O112" s="81"/>
      <c r="P112" s="81"/>
      <c r="Q112" s="81" t="s">
        <v>3001</v>
      </c>
      <c r="R112" s="82">
        <v>45919</v>
      </c>
      <c r="S112" s="82" t="s">
        <v>535</v>
      </c>
      <c r="T112"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2" s="163"/>
    </row>
    <row r="113" spans="1:21" ht="23.25" x14ac:dyDescent="0.25">
      <c r="A113" s="84"/>
      <c r="B113" s="84"/>
      <c r="C113" s="84" t="str">
        <f>IF(OR(TabellaBLENDING[[#This Row],[LUN]]="X",TabellaBLENDING[[#This Row],[MAR]]="X",TabellaBLENDING[[#This Row],[MER]]="X",TabellaBLENDING[[#This Row],[GIO]]="X",TabellaBLENDING[[#This Row],[VEN]]="X",),"X","")</f>
        <v/>
      </c>
      <c r="D113" s="81" t="s">
        <v>30</v>
      </c>
      <c r="E113" s="81" t="s">
        <v>3002</v>
      </c>
      <c r="F113" s="81" t="s">
        <v>2967</v>
      </c>
      <c r="G113" s="81" t="s">
        <v>3003</v>
      </c>
      <c r="H113" s="83"/>
      <c r="I113" s="83"/>
      <c r="J113" s="83"/>
      <c r="K113" s="83"/>
      <c r="L113" s="83"/>
      <c r="M113" s="81" t="s">
        <v>52</v>
      </c>
      <c r="N113" s="81"/>
      <c r="O113" s="81"/>
      <c r="P113" s="81"/>
      <c r="Q113" s="81" t="s">
        <v>3004</v>
      </c>
      <c r="R113" s="82">
        <v>45922</v>
      </c>
      <c r="S113" s="82" t="s">
        <v>535</v>
      </c>
      <c r="T113"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3" s="163"/>
    </row>
    <row r="114" spans="1:21" ht="23.25" x14ac:dyDescent="0.25">
      <c r="A114" s="84"/>
      <c r="B114" s="84"/>
      <c r="C114" s="84" t="str">
        <f>IF(OR(TabellaBLENDING[[#This Row],[LUN]]="X",TabellaBLENDING[[#This Row],[MAR]]="X",TabellaBLENDING[[#This Row],[MER]]="X",TabellaBLENDING[[#This Row],[GIO]]="X",TabellaBLENDING[[#This Row],[VEN]]="X",),"X","")</f>
        <v/>
      </c>
      <c r="D114" s="81" t="s">
        <v>30</v>
      </c>
      <c r="E114" s="81" t="s">
        <v>3005</v>
      </c>
      <c r="F114" s="81" t="s">
        <v>2967</v>
      </c>
      <c r="G114" s="81" t="s">
        <v>3006</v>
      </c>
      <c r="H114" s="83"/>
      <c r="I114" s="83"/>
      <c r="J114" s="83"/>
      <c r="K114" s="83"/>
      <c r="L114" s="83"/>
      <c r="M114" s="81" t="s">
        <v>52</v>
      </c>
      <c r="N114" s="81"/>
      <c r="O114" s="81"/>
      <c r="P114" s="81"/>
      <c r="Q114" s="81" t="s">
        <v>3007</v>
      </c>
      <c r="R114" s="82">
        <v>45922</v>
      </c>
      <c r="S114" s="82" t="s">
        <v>535</v>
      </c>
      <c r="T114"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4" s="163"/>
    </row>
    <row r="115" spans="1:21" ht="23.25" x14ac:dyDescent="0.25">
      <c r="A115" s="84"/>
      <c r="B115" s="84"/>
      <c r="C115" s="84" t="str">
        <f>IF(OR(TabellaBLENDING[[#This Row],[LUN]]="X",TabellaBLENDING[[#This Row],[MAR]]="X",TabellaBLENDING[[#This Row],[MER]]="X",TabellaBLENDING[[#This Row],[GIO]]="X",TabellaBLENDING[[#This Row],[VEN]]="X",),"X","")</f>
        <v/>
      </c>
      <c r="D115" s="81" t="s">
        <v>30</v>
      </c>
      <c r="E115" s="81" t="s">
        <v>3008</v>
      </c>
      <c r="F115" s="81">
        <v>6200</v>
      </c>
      <c r="G115" s="81" t="s">
        <v>3009</v>
      </c>
      <c r="H115" s="83"/>
      <c r="I115" s="83"/>
      <c r="J115" s="83"/>
      <c r="K115" s="83"/>
      <c r="L115" s="83"/>
      <c r="M115" s="81" t="s">
        <v>52</v>
      </c>
      <c r="N115" s="81"/>
      <c r="O115" s="81"/>
      <c r="P115" s="81"/>
      <c r="Q115" s="81"/>
      <c r="R115" s="82"/>
      <c r="S115" s="82"/>
      <c r="T115"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5" s="163"/>
    </row>
    <row r="116" spans="1:21" ht="23.25" x14ac:dyDescent="0.25">
      <c r="A116" s="84"/>
      <c r="B116" s="84"/>
      <c r="C116" s="84" t="str">
        <f>IF(OR(TabellaBLENDING[[#This Row],[LUN]]="X",TabellaBLENDING[[#This Row],[MAR]]="X",TabellaBLENDING[[#This Row],[MER]]="X",TabellaBLENDING[[#This Row],[GIO]]="X",TabellaBLENDING[[#This Row],[VEN]]="X",),"X","")</f>
        <v/>
      </c>
      <c r="D116" s="81" t="s">
        <v>30</v>
      </c>
      <c r="E116" s="81" t="s">
        <v>3010</v>
      </c>
      <c r="F116" s="81" t="s">
        <v>2967</v>
      </c>
      <c r="G116" s="81" t="s">
        <v>3011</v>
      </c>
      <c r="H116" s="83"/>
      <c r="I116" s="83"/>
      <c r="J116" s="83"/>
      <c r="K116" s="83"/>
      <c r="L116" s="83"/>
      <c r="M116" s="81" t="s">
        <v>52</v>
      </c>
      <c r="N116" s="81"/>
      <c r="O116" s="81"/>
      <c r="P116" s="81"/>
      <c r="Q116" s="81" t="s">
        <v>3012</v>
      </c>
      <c r="R116" s="82">
        <v>45944</v>
      </c>
      <c r="S116" s="82" t="s">
        <v>23</v>
      </c>
      <c r="T116"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6" s="163"/>
    </row>
    <row r="117" spans="1:21" ht="45" x14ac:dyDescent="0.25">
      <c r="A117" s="84"/>
      <c r="B117" s="84"/>
      <c r="C117" s="84" t="str">
        <f>IF(OR(TabellaBLENDING[[#This Row],[LUN]]="X",TabellaBLENDING[[#This Row],[MAR]]="X",TabellaBLENDING[[#This Row],[MER]]="X",TabellaBLENDING[[#This Row],[GIO]]="X",TabellaBLENDING[[#This Row],[VEN]]="X",),"X","")</f>
        <v/>
      </c>
      <c r="D117" s="81" t="s">
        <v>30</v>
      </c>
      <c r="E117" s="81" t="s">
        <v>3013</v>
      </c>
      <c r="F117" s="81" t="s">
        <v>2967</v>
      </c>
      <c r="G117" s="81" t="s">
        <v>3014</v>
      </c>
      <c r="H117" s="83"/>
      <c r="I117" s="83"/>
      <c r="J117" s="83"/>
      <c r="K117" s="83"/>
      <c r="L117" s="83"/>
      <c r="M117" s="81" t="s">
        <v>52</v>
      </c>
      <c r="N117" s="81"/>
      <c r="O117" s="81"/>
      <c r="P117" s="81"/>
      <c r="Q117" s="81" t="s">
        <v>3015</v>
      </c>
      <c r="R117" s="82">
        <v>45945</v>
      </c>
      <c r="S117" s="82" t="s">
        <v>23</v>
      </c>
      <c r="T117"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7" s="125"/>
    </row>
    <row r="118" spans="1:21" ht="23.25" x14ac:dyDescent="0.25">
      <c r="A118" s="84"/>
      <c r="B118" s="84"/>
      <c r="C118" s="84" t="str">
        <f>IF(OR(TabellaBLENDING[[#This Row],[LUN]]="X",TabellaBLENDING[[#This Row],[MAR]]="X",TabellaBLENDING[[#This Row],[MER]]="X",TabellaBLENDING[[#This Row],[GIO]]="X",TabellaBLENDING[[#This Row],[VEN]]="X",),"X","")</f>
        <v/>
      </c>
      <c r="D118" s="81" t="s">
        <v>30</v>
      </c>
      <c r="E118" s="81" t="s">
        <v>3016</v>
      </c>
      <c r="F118" s="81" t="s">
        <v>184</v>
      </c>
      <c r="G118" s="81" t="s">
        <v>3017</v>
      </c>
      <c r="H118" s="83"/>
      <c r="I118" s="83"/>
      <c r="J118" s="83"/>
      <c r="K118" s="83"/>
      <c r="L118" s="83"/>
      <c r="M118" s="81" t="s">
        <v>52</v>
      </c>
      <c r="N118" s="81"/>
      <c r="O118" s="81"/>
      <c r="P118" s="81"/>
      <c r="Q118" s="81" t="s">
        <v>3018</v>
      </c>
      <c r="R118" s="82">
        <v>45945</v>
      </c>
      <c r="S118" s="82" t="s">
        <v>23</v>
      </c>
      <c r="T118"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8" s="163"/>
    </row>
    <row r="119" spans="1:21" ht="75" x14ac:dyDescent="0.25">
      <c r="A119" s="84"/>
      <c r="B119" s="84"/>
      <c r="C119" s="84" t="str">
        <f>IF(OR(TabellaBLENDING[[#This Row],[LUN]]="X",TabellaBLENDING[[#This Row],[MAR]]="X",TabellaBLENDING[[#This Row],[MER]]="X",TabellaBLENDING[[#This Row],[GIO]]="X",TabellaBLENDING[[#This Row],[VEN]]="X",),"X","")</f>
        <v/>
      </c>
      <c r="D119" s="81" t="s">
        <v>30</v>
      </c>
      <c r="E119" s="81" t="s">
        <v>3019</v>
      </c>
      <c r="F119" s="81" t="s">
        <v>2967</v>
      </c>
      <c r="G119" s="81" t="s">
        <v>3020</v>
      </c>
      <c r="H119" s="83"/>
      <c r="I119" s="83"/>
      <c r="J119" s="83"/>
      <c r="K119" s="83"/>
      <c r="L119" s="83"/>
      <c r="M119" s="81" t="s">
        <v>52</v>
      </c>
      <c r="N119" s="81"/>
      <c r="O119" s="81"/>
      <c r="P119" s="81"/>
      <c r="Q119" s="81" t="s">
        <v>3021</v>
      </c>
      <c r="R119" s="82">
        <v>45945</v>
      </c>
      <c r="S119" s="82" t="s">
        <v>23</v>
      </c>
      <c r="T119"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9" s="163"/>
    </row>
    <row r="120" spans="1:21" ht="30" x14ac:dyDescent="0.25">
      <c r="A120" s="84"/>
      <c r="B120" s="84"/>
      <c r="C120" s="84" t="str">
        <f>IF(OR(TabellaBLENDING[[#This Row],[LUN]]="X",TabellaBLENDING[[#This Row],[MAR]]="X",TabellaBLENDING[[#This Row],[MER]]="X",TabellaBLENDING[[#This Row],[GIO]]="X",TabellaBLENDING[[#This Row],[VEN]]="X",),"X","")</f>
        <v/>
      </c>
      <c r="D120" s="81" t="s">
        <v>30</v>
      </c>
      <c r="E120" s="81" t="s">
        <v>3022</v>
      </c>
      <c r="F120" s="81" t="s">
        <v>2967</v>
      </c>
      <c r="G120" s="81" t="s">
        <v>3023</v>
      </c>
      <c r="H120" s="83"/>
      <c r="I120" s="83"/>
      <c r="J120" s="83"/>
      <c r="K120" s="83"/>
      <c r="L120" s="83"/>
      <c r="M120" s="81" t="s">
        <v>52</v>
      </c>
      <c r="N120" s="81"/>
      <c r="O120" s="81"/>
      <c r="P120" s="81"/>
      <c r="Q120" s="81" t="s">
        <v>3024</v>
      </c>
      <c r="R120" s="82">
        <v>45946</v>
      </c>
      <c r="S120" s="82" t="s">
        <v>227</v>
      </c>
      <c r="T120"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0" s="125"/>
    </row>
    <row r="121" spans="1:21" ht="30" x14ac:dyDescent="0.25">
      <c r="A121" s="84"/>
      <c r="B121" s="84"/>
      <c r="C121" s="84" t="str">
        <f>IF(OR(TabellaBLENDING[[#This Row],[LUN]]="X",TabellaBLENDING[[#This Row],[MAR]]="X",TabellaBLENDING[[#This Row],[MER]]="X",TabellaBLENDING[[#This Row],[GIO]]="X",TabellaBLENDING[[#This Row],[VEN]]="X",),"X","")</f>
        <v/>
      </c>
      <c r="D121" s="81" t="s">
        <v>30</v>
      </c>
      <c r="E121" s="81" t="s">
        <v>3025</v>
      </c>
      <c r="F121" s="81" t="s">
        <v>2967</v>
      </c>
      <c r="G121" s="81" t="s">
        <v>3026</v>
      </c>
      <c r="H121" s="83"/>
      <c r="I121" s="83"/>
      <c r="J121" s="83"/>
      <c r="K121" s="83"/>
      <c r="L121" s="83"/>
      <c r="M121" s="81" t="s">
        <v>52</v>
      </c>
      <c r="N121" s="81"/>
      <c r="O121" s="81"/>
      <c r="P121" s="81"/>
      <c r="Q121" s="81" t="s">
        <v>3024</v>
      </c>
      <c r="R121" s="82">
        <v>45946</v>
      </c>
      <c r="S121" s="82" t="s">
        <v>227</v>
      </c>
      <c r="T121"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1" s="125"/>
    </row>
    <row r="122" spans="1:21" ht="23.25" x14ac:dyDescent="0.25">
      <c r="A122" s="84"/>
      <c r="B122" s="84"/>
      <c r="C122" s="84" t="str">
        <f>IF(OR(TabellaBLENDING[[#This Row],[LUN]]="X",TabellaBLENDING[[#This Row],[MAR]]="X",TabellaBLENDING[[#This Row],[MER]]="X",TabellaBLENDING[[#This Row],[GIO]]="X",TabellaBLENDING[[#This Row],[VEN]]="X",),"X","")</f>
        <v>X</v>
      </c>
      <c r="D122" s="81" t="s">
        <v>30</v>
      </c>
      <c r="E122" s="81" t="s">
        <v>3029</v>
      </c>
      <c r="F122" s="81" t="s">
        <v>2967</v>
      </c>
      <c r="G122" s="81" t="s">
        <v>3030</v>
      </c>
      <c r="H122" s="83"/>
      <c r="I122" s="83"/>
      <c r="J122" s="83"/>
      <c r="K122" s="83"/>
      <c r="L122" s="83" t="s">
        <v>8</v>
      </c>
      <c r="M122" s="81" t="s">
        <v>43</v>
      </c>
      <c r="N122" s="81"/>
      <c r="O122" s="81"/>
      <c r="P122" s="81"/>
      <c r="Q122" s="81"/>
      <c r="R122" s="82"/>
      <c r="S122" s="82"/>
      <c r="T122"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2" s="125"/>
    </row>
    <row r="123" spans="1:21" ht="23.25" x14ac:dyDescent="0.25">
      <c r="A123" s="84"/>
      <c r="B123" s="84"/>
      <c r="C123" s="84" t="str">
        <f>IF(OR(TabellaBLENDING[[#This Row],[LUN]]="X",TabellaBLENDING[[#This Row],[MAR]]="X",TabellaBLENDING[[#This Row],[MER]]="X",TabellaBLENDING[[#This Row],[GIO]]="X",TabellaBLENDING[[#This Row],[VEN]]="X",),"X","")</f>
        <v/>
      </c>
      <c r="D123" s="81" t="s">
        <v>30</v>
      </c>
      <c r="E123" s="81" t="s">
        <v>3031</v>
      </c>
      <c r="F123" s="81" t="s">
        <v>2967</v>
      </c>
      <c r="G123" s="81" t="s">
        <v>3032</v>
      </c>
      <c r="H123" s="83"/>
      <c r="I123" s="83"/>
      <c r="J123" s="83"/>
      <c r="K123" s="83"/>
      <c r="L123" s="83"/>
      <c r="M123" s="81" t="s">
        <v>43</v>
      </c>
      <c r="N123" s="81"/>
      <c r="O123" s="81"/>
      <c r="P123" s="81"/>
      <c r="Q123" s="81"/>
      <c r="R123" s="82"/>
      <c r="S123" s="82"/>
      <c r="T123"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3" s="125"/>
    </row>
    <row r="124" spans="1:21" ht="23.25" x14ac:dyDescent="0.25">
      <c r="A124" s="84"/>
      <c r="B124" s="84"/>
      <c r="C124" s="84" t="str">
        <f>IF(OR(TabellaBLENDING[[#This Row],[LUN]]="X",TabellaBLENDING[[#This Row],[MAR]]="X",TabellaBLENDING[[#This Row],[MER]]="X",TabellaBLENDING[[#This Row],[GIO]]="X",TabellaBLENDING[[#This Row],[VEN]]="X",),"X","")</f>
        <v/>
      </c>
      <c r="D124" s="81" t="s">
        <v>30</v>
      </c>
      <c r="E124" s="81" t="s">
        <v>3033</v>
      </c>
      <c r="F124" s="81" t="s">
        <v>2967</v>
      </c>
      <c r="G124" s="81" t="s">
        <v>3034</v>
      </c>
      <c r="H124" s="83"/>
      <c r="I124" s="83"/>
      <c r="J124" s="83"/>
      <c r="K124" s="83"/>
      <c r="L124" s="83"/>
      <c r="M124" s="81" t="s">
        <v>43</v>
      </c>
      <c r="N124" s="81"/>
      <c r="O124" s="81"/>
      <c r="P124" s="81"/>
      <c r="Q124" s="81"/>
      <c r="R124" s="82"/>
      <c r="S124" s="82"/>
      <c r="T124"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4" s="125"/>
    </row>
    <row r="125" spans="1:21" ht="30" x14ac:dyDescent="0.25">
      <c r="A125" s="84"/>
      <c r="B125" s="84"/>
      <c r="C125" s="84" t="str">
        <f>IF(OR(TabellaBLENDING[[#This Row],[LUN]]="X",TabellaBLENDING[[#This Row],[MAR]]="X",TabellaBLENDING[[#This Row],[MER]]="X",TabellaBLENDING[[#This Row],[GIO]]="X",TabellaBLENDING[[#This Row],[VEN]]="X",),"X","")</f>
        <v/>
      </c>
      <c r="D125" s="81" t="s">
        <v>30</v>
      </c>
      <c r="E125" s="81" t="s">
        <v>3035</v>
      </c>
      <c r="F125" s="81" t="s">
        <v>2967</v>
      </c>
      <c r="G125" s="81" t="s">
        <v>3036</v>
      </c>
      <c r="H125" s="83"/>
      <c r="I125" s="83"/>
      <c r="J125" s="83"/>
      <c r="K125" s="83"/>
      <c r="L125" s="83"/>
      <c r="M125" s="81" t="s">
        <v>43</v>
      </c>
      <c r="N125" s="81"/>
      <c r="O125" s="81"/>
      <c r="P125" s="81"/>
      <c r="Q125" s="81"/>
      <c r="R125" s="82"/>
      <c r="S125" s="82"/>
      <c r="T125"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5" s="125"/>
    </row>
    <row r="126" spans="1:21" ht="30" x14ac:dyDescent="0.25">
      <c r="A126" s="84"/>
      <c r="B126" s="84"/>
      <c r="C126" s="84" t="str">
        <f>IF(OR(TabellaBLENDING[[#This Row],[LUN]]="X",TabellaBLENDING[[#This Row],[MAR]]="X",TabellaBLENDING[[#This Row],[MER]]="X",TabellaBLENDING[[#This Row],[GIO]]="X",TabellaBLENDING[[#This Row],[VEN]]="X",),"X","")</f>
        <v/>
      </c>
      <c r="D126" s="81" t="s">
        <v>30</v>
      </c>
      <c r="E126" s="81" t="s">
        <v>3037</v>
      </c>
      <c r="F126" s="81" t="s">
        <v>3038</v>
      </c>
      <c r="G126" s="81" t="s">
        <v>3039</v>
      </c>
      <c r="H126" s="83"/>
      <c r="I126" s="83"/>
      <c r="J126" s="83"/>
      <c r="K126" s="83"/>
      <c r="L126" s="83"/>
      <c r="M126" s="81" t="s">
        <v>43</v>
      </c>
      <c r="N126" s="81"/>
      <c r="O126" s="81"/>
      <c r="P126" s="81"/>
      <c r="Q126" s="81"/>
      <c r="R126" s="82"/>
      <c r="S126" s="82"/>
      <c r="T126"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6" s="163"/>
    </row>
    <row r="127" spans="1:21" ht="23.25" x14ac:dyDescent="0.25">
      <c r="A127" s="84"/>
      <c r="B127" s="84"/>
      <c r="C127" s="84" t="str">
        <f>IF(OR(TabellaBLENDING[[#This Row],[LUN]]="X",TabellaBLENDING[[#This Row],[MAR]]="X",TabellaBLENDING[[#This Row],[MER]]="X",TabellaBLENDING[[#This Row],[GIO]]="X",TabellaBLENDING[[#This Row],[VEN]]="X",),"X","")</f>
        <v/>
      </c>
      <c r="D127" s="81" t="s">
        <v>30</v>
      </c>
      <c r="E127" s="81" t="s">
        <v>3040</v>
      </c>
      <c r="F127" s="81">
        <v>6500</v>
      </c>
      <c r="G127" s="81" t="s">
        <v>3041</v>
      </c>
      <c r="H127" s="83"/>
      <c r="I127" s="83"/>
      <c r="J127" s="83"/>
      <c r="K127" s="83"/>
      <c r="L127" s="83"/>
      <c r="M127" s="81" t="s">
        <v>43</v>
      </c>
      <c r="N127" s="81"/>
      <c r="O127" s="81"/>
      <c r="P127" s="81"/>
      <c r="Q127" s="81"/>
      <c r="R127" s="82">
        <v>45895</v>
      </c>
      <c r="S127" s="82" t="s">
        <v>535</v>
      </c>
      <c r="T127"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7" s="163"/>
    </row>
    <row r="128" spans="1:21" ht="23.25" x14ac:dyDescent="0.25">
      <c r="A128" s="84"/>
      <c r="B128" s="84"/>
      <c r="C128" s="84" t="str">
        <f>IF(OR(TabellaBLENDING[[#This Row],[LUN]]="X",TabellaBLENDING[[#This Row],[MAR]]="X",TabellaBLENDING[[#This Row],[MER]]="X",TabellaBLENDING[[#This Row],[GIO]]="X",TabellaBLENDING[[#This Row],[VEN]]="X",),"X","")</f>
        <v/>
      </c>
      <c r="D128" s="81" t="s">
        <v>30</v>
      </c>
      <c r="E128" s="81" t="s">
        <v>3042</v>
      </c>
      <c r="F128" s="81" t="s">
        <v>175</v>
      </c>
      <c r="G128" s="81" t="s">
        <v>3043</v>
      </c>
      <c r="H128" s="83"/>
      <c r="I128" s="83"/>
      <c r="J128" s="83"/>
      <c r="K128" s="83"/>
      <c r="L128" s="83"/>
      <c r="M128" s="81" t="s">
        <v>43</v>
      </c>
      <c r="N128" s="81"/>
      <c r="O128" s="81"/>
      <c r="P128" s="81"/>
      <c r="Q128" s="81"/>
      <c r="R128" s="82"/>
      <c r="S128" s="82"/>
      <c r="T128"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8" s="163"/>
    </row>
    <row r="129" spans="1:21" ht="23.25" x14ac:dyDescent="0.25">
      <c r="A129" s="84"/>
      <c r="B129" s="84"/>
      <c r="C129" s="84" t="str">
        <f>IF(OR(TabellaBLENDING[[#This Row],[LUN]]="X",TabellaBLENDING[[#This Row],[MAR]]="X",TabellaBLENDING[[#This Row],[MER]]="X",TabellaBLENDING[[#This Row],[GIO]]="X",TabellaBLENDING[[#This Row],[VEN]]="X",),"X","")</f>
        <v/>
      </c>
      <c r="D129" s="81" t="s">
        <v>30</v>
      </c>
      <c r="E129" s="81" t="s">
        <v>3044</v>
      </c>
      <c r="F129" s="81">
        <v>6500</v>
      </c>
      <c r="G129" s="81" t="s">
        <v>3045</v>
      </c>
      <c r="H129" s="83"/>
      <c r="I129" s="83"/>
      <c r="J129" s="83"/>
      <c r="K129" s="83"/>
      <c r="L129" s="83"/>
      <c r="M129" s="81" t="s">
        <v>43</v>
      </c>
      <c r="N129" s="81"/>
      <c r="O129" s="81"/>
      <c r="P129" s="81"/>
      <c r="Q129" s="81"/>
      <c r="R129" s="82"/>
      <c r="S129" s="82"/>
      <c r="T129"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9" s="163"/>
    </row>
    <row r="130" spans="1:21" ht="23.25" x14ac:dyDescent="0.25">
      <c r="A130" s="84"/>
      <c r="B130" s="84"/>
      <c r="C130" s="84" t="str">
        <f>IF(OR(TabellaBLENDING[[#This Row],[LUN]]="X",TabellaBLENDING[[#This Row],[MAR]]="X",TabellaBLENDING[[#This Row],[MER]]="X",TabellaBLENDING[[#This Row],[GIO]]="X",TabellaBLENDING[[#This Row],[VEN]]="X",),"X","")</f>
        <v/>
      </c>
      <c r="D130" s="81" t="s">
        <v>30</v>
      </c>
      <c r="E130" s="81" t="s">
        <v>3046</v>
      </c>
      <c r="F130" s="81" t="s">
        <v>175</v>
      </c>
      <c r="G130" s="81" t="s">
        <v>3047</v>
      </c>
      <c r="H130" s="83"/>
      <c r="I130" s="83"/>
      <c r="J130" s="83"/>
      <c r="K130" s="83"/>
      <c r="L130" s="83"/>
      <c r="M130" s="81" t="s">
        <v>43</v>
      </c>
      <c r="N130" s="81"/>
      <c r="O130" s="81"/>
      <c r="P130" s="81"/>
      <c r="Q130" s="81"/>
      <c r="R130" s="82"/>
      <c r="S130" s="82"/>
      <c r="T130"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0" s="163"/>
    </row>
    <row r="131" spans="1:21" ht="23.25" x14ac:dyDescent="0.25">
      <c r="A131" s="84"/>
      <c r="B131" s="84"/>
      <c r="C131" s="84" t="str">
        <f>IF(OR(TabellaBLENDING[[#This Row],[LUN]]="X",TabellaBLENDING[[#This Row],[MAR]]="X",TabellaBLENDING[[#This Row],[MER]]="X",TabellaBLENDING[[#This Row],[GIO]]="X",TabellaBLENDING[[#This Row],[VEN]]="X",),"X","")</f>
        <v/>
      </c>
      <c r="D131" s="81" t="s">
        <v>30</v>
      </c>
      <c r="E131" s="81" t="s">
        <v>3048</v>
      </c>
      <c r="F131" s="81" t="s">
        <v>175</v>
      </c>
      <c r="G131" s="81" t="s">
        <v>3049</v>
      </c>
      <c r="H131" s="83"/>
      <c r="I131" s="83"/>
      <c r="J131" s="83"/>
      <c r="K131" s="83"/>
      <c r="L131" s="83"/>
      <c r="M131" s="81" t="s">
        <v>43</v>
      </c>
      <c r="N131" s="81"/>
      <c r="O131" s="81"/>
      <c r="P131" s="81"/>
      <c r="Q131" s="81"/>
      <c r="R131" s="82"/>
      <c r="S131" s="82"/>
      <c r="T131"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1" s="163"/>
    </row>
    <row r="132" spans="1:21" ht="23.25" x14ac:dyDescent="0.25">
      <c r="A132" s="84"/>
      <c r="B132" s="84"/>
      <c r="C132" s="84" t="str">
        <f>IF(OR(TabellaBLENDING[[#This Row],[LUN]]="X",TabellaBLENDING[[#This Row],[MAR]]="X",TabellaBLENDING[[#This Row],[MER]]="X",TabellaBLENDING[[#This Row],[GIO]]="X",TabellaBLENDING[[#This Row],[VEN]]="X",),"X","")</f>
        <v/>
      </c>
      <c r="D132" s="81" t="s">
        <v>30</v>
      </c>
      <c r="E132" s="81" t="s">
        <v>3050</v>
      </c>
      <c r="F132" s="81" t="s">
        <v>175</v>
      </c>
      <c r="G132" s="81" t="s">
        <v>3051</v>
      </c>
      <c r="H132" s="83"/>
      <c r="I132" s="83"/>
      <c r="J132" s="83"/>
      <c r="K132" s="83"/>
      <c r="L132" s="83"/>
      <c r="M132" s="81" t="s">
        <v>43</v>
      </c>
      <c r="N132" s="81"/>
      <c r="O132" s="81"/>
      <c r="P132" s="81"/>
      <c r="Q132" s="81"/>
      <c r="R132" s="82"/>
      <c r="S132" s="82"/>
      <c r="T132"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2" s="163"/>
    </row>
    <row r="133" spans="1:21" ht="30" x14ac:dyDescent="0.25">
      <c r="A133" s="84"/>
      <c r="B133" s="84"/>
      <c r="C133" s="84" t="str">
        <f>IF(OR(TabellaBLENDING[[#This Row],[LUN]]="X",TabellaBLENDING[[#This Row],[MAR]]="X",TabellaBLENDING[[#This Row],[MER]]="X",TabellaBLENDING[[#This Row],[GIO]]="X",TabellaBLENDING[[#This Row],[VEN]]="X",),"X","")</f>
        <v/>
      </c>
      <c r="D133" s="81" t="s">
        <v>30</v>
      </c>
      <c r="E133" s="81" t="s">
        <v>3052</v>
      </c>
      <c r="F133" s="81" t="s">
        <v>2967</v>
      </c>
      <c r="G133" s="81" t="s">
        <v>3053</v>
      </c>
      <c r="H133" s="83"/>
      <c r="I133" s="83"/>
      <c r="J133" s="83"/>
      <c r="K133" s="83"/>
      <c r="L133" s="83"/>
      <c r="M133" s="81" t="s">
        <v>43</v>
      </c>
      <c r="N133" s="81"/>
      <c r="O133" s="81"/>
      <c r="P133" s="81"/>
      <c r="Q133" s="81"/>
      <c r="R133" s="82"/>
      <c r="S133" s="82"/>
      <c r="T133"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3" s="163"/>
    </row>
    <row r="134" spans="1:21" ht="23.25" x14ac:dyDescent="0.25">
      <c r="A134" s="84"/>
      <c r="B134" s="84"/>
      <c r="C134" s="84" t="str">
        <f>IF(OR(TabellaBLENDING[[#This Row],[LUN]]="X",TabellaBLENDING[[#This Row],[MAR]]="X",TabellaBLENDING[[#This Row],[MER]]="X",TabellaBLENDING[[#This Row],[GIO]]="X",TabellaBLENDING[[#This Row],[VEN]]="X",),"X","")</f>
        <v/>
      </c>
      <c r="D134" s="81" t="s">
        <v>30</v>
      </c>
      <c r="E134" s="81" t="s">
        <v>3054</v>
      </c>
      <c r="F134" s="81">
        <v>6500</v>
      </c>
      <c r="G134" s="81" t="s">
        <v>3055</v>
      </c>
      <c r="H134" s="83"/>
      <c r="I134" s="83"/>
      <c r="J134" s="83"/>
      <c r="K134" s="83"/>
      <c r="L134" s="83"/>
      <c r="M134" s="81" t="s">
        <v>43</v>
      </c>
      <c r="N134" s="81"/>
      <c r="O134" s="81"/>
      <c r="P134" s="81"/>
      <c r="Q134" s="81"/>
      <c r="R134" s="82"/>
      <c r="S134" s="82"/>
      <c r="T134"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4" s="163"/>
    </row>
    <row r="135" spans="1:21" ht="23.25" x14ac:dyDescent="0.25">
      <c r="A135" s="84"/>
      <c r="B135" s="84"/>
      <c r="C135" s="84" t="str">
        <f>IF(OR(TabellaBLENDING[[#This Row],[LUN]]="X",TabellaBLENDING[[#This Row],[MAR]]="X",TabellaBLENDING[[#This Row],[MER]]="X",TabellaBLENDING[[#This Row],[GIO]]="X",TabellaBLENDING[[#This Row],[VEN]]="X",),"X","")</f>
        <v/>
      </c>
      <c r="D135" s="81" t="s">
        <v>30</v>
      </c>
      <c r="E135" s="81" t="s">
        <v>3056</v>
      </c>
      <c r="F135" s="81">
        <v>6000</v>
      </c>
      <c r="G135" s="81" t="s">
        <v>3057</v>
      </c>
      <c r="H135" s="83"/>
      <c r="I135" s="83"/>
      <c r="J135" s="83"/>
      <c r="K135" s="83"/>
      <c r="L135" s="83"/>
      <c r="M135" s="81" t="s">
        <v>43</v>
      </c>
      <c r="N135" s="81"/>
      <c r="O135" s="81"/>
      <c r="P135" s="81"/>
      <c r="Q135" s="81"/>
      <c r="R135" s="82"/>
      <c r="S135" s="82"/>
      <c r="T135"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5" s="141" t="str">
        <f t="shared" ref="U135:U166" ca="1" si="7">IFERROR(MID(G135,_xlfn.AGGREGATE(15,6,(ROW(INDIRECT("1:"&amp;LEN(G135)-7)))/(ISNUMBER(--MID(G135,ROW(INDIRECT("1:"&amp;LEN(G135)-7)),8))),1),8),"")</f>
        <v/>
      </c>
    </row>
    <row r="136" spans="1:21" ht="23.25" x14ac:dyDescent="0.25">
      <c r="A136" s="84"/>
      <c r="B136" s="84"/>
      <c r="C136" s="84" t="str">
        <f>IF(OR(TabellaBLENDING[[#This Row],[LUN]]="X",TabellaBLENDING[[#This Row],[MAR]]="X",TabellaBLENDING[[#This Row],[MER]]="X",TabellaBLENDING[[#This Row],[GIO]]="X",TabellaBLENDING[[#This Row],[VEN]]="X",),"X","")</f>
        <v/>
      </c>
      <c r="D136" s="81" t="s">
        <v>30</v>
      </c>
      <c r="E136" s="81" t="s">
        <v>3058</v>
      </c>
      <c r="F136" s="81">
        <v>6500</v>
      </c>
      <c r="G136" s="81" t="s">
        <v>2893</v>
      </c>
      <c r="H136" s="83"/>
      <c r="I136" s="83"/>
      <c r="J136" s="83"/>
      <c r="K136" s="83"/>
      <c r="L136" s="83"/>
      <c r="M136" s="81" t="s">
        <v>43</v>
      </c>
      <c r="N136" s="81"/>
      <c r="O136" s="81"/>
      <c r="P136" s="81"/>
      <c r="Q136" s="81"/>
      <c r="R136" s="82"/>
      <c r="S136" s="82"/>
      <c r="T136"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6" s="141" t="str">
        <f t="shared" ca="1" si="7"/>
        <v/>
      </c>
    </row>
    <row r="137" spans="1:21" ht="23.25" x14ac:dyDescent="0.25">
      <c r="A137" s="84"/>
      <c r="B137" s="84"/>
      <c r="C137" s="84" t="str">
        <f>IF(OR(TabellaBLENDING[[#This Row],[LUN]]="X",TabellaBLENDING[[#This Row],[MAR]]="X",TabellaBLENDING[[#This Row],[MER]]="X",TabellaBLENDING[[#This Row],[GIO]]="X",TabellaBLENDING[[#This Row],[VEN]]="X",),"X","")</f>
        <v/>
      </c>
      <c r="D137" s="81" t="s">
        <v>30</v>
      </c>
      <c r="E137" s="81" t="s">
        <v>3059</v>
      </c>
      <c r="F137" s="81">
        <v>6500</v>
      </c>
      <c r="G137" s="81" t="s">
        <v>3060</v>
      </c>
      <c r="H137" s="83"/>
      <c r="I137" s="83"/>
      <c r="J137" s="83"/>
      <c r="K137" s="83"/>
      <c r="L137" s="83"/>
      <c r="M137" s="81" t="s">
        <v>43</v>
      </c>
      <c r="N137" s="81"/>
      <c r="O137" s="81"/>
      <c r="P137" s="81"/>
      <c r="Q137" s="81"/>
      <c r="R137" s="82">
        <v>45824</v>
      </c>
      <c r="S137" s="82" t="s">
        <v>535</v>
      </c>
      <c r="T137"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7" s="141" t="str">
        <f t="shared" ca="1" si="7"/>
        <v/>
      </c>
    </row>
    <row r="138" spans="1:21" ht="23.25" x14ac:dyDescent="0.25">
      <c r="A138" s="84"/>
      <c r="B138" s="84"/>
      <c r="C138" s="84" t="str">
        <f>IF(OR(TabellaBLENDING[[#This Row],[LUN]]="X",TabellaBLENDING[[#This Row],[MAR]]="X",TabellaBLENDING[[#This Row],[MER]]="X",TabellaBLENDING[[#This Row],[GIO]]="X",TabellaBLENDING[[#This Row],[VEN]]="X",),"X","")</f>
        <v/>
      </c>
      <c r="D138" s="81" t="s">
        <v>30</v>
      </c>
      <c r="E138" s="81" t="s">
        <v>3061</v>
      </c>
      <c r="F138" s="81" t="s">
        <v>2824</v>
      </c>
      <c r="G138" s="81" t="s">
        <v>3062</v>
      </c>
      <c r="H138" s="83"/>
      <c r="I138" s="83"/>
      <c r="J138" s="83"/>
      <c r="K138" s="83"/>
      <c r="L138" s="83"/>
      <c r="M138" s="81" t="s">
        <v>43</v>
      </c>
      <c r="N138" s="81"/>
      <c r="O138" s="81"/>
      <c r="P138" s="81"/>
      <c r="Q138" s="81"/>
      <c r="R138" s="82"/>
      <c r="S138" s="82"/>
      <c r="T138"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8" s="140" t="str">
        <f t="shared" ca="1" si="7"/>
        <v/>
      </c>
    </row>
    <row r="139" spans="1:21" ht="30" x14ac:dyDescent="0.25">
      <c r="A139" s="84"/>
      <c r="B139" s="84" t="str">
        <f t="shared" ref="B139:B147" si="8">IF(OR(A139="x",A139="X"),"",IF(ISBLANK(A139),"X",""))</f>
        <v>X</v>
      </c>
      <c r="C139" s="84" t="str">
        <f>IF(OR(TabellaBLENDING[[#This Row],[LUN]]="X",TabellaBLENDING[[#This Row],[MAR]]="X",TabellaBLENDING[[#This Row],[MER]]="X",TabellaBLENDING[[#This Row],[GIO]]="X",TabellaBLENDING[[#This Row],[VEN]]="X",),"X","")</f>
        <v/>
      </c>
      <c r="D139" s="81" t="s">
        <v>30</v>
      </c>
      <c r="E139" s="81" t="s">
        <v>3063</v>
      </c>
      <c r="F139" s="81" t="s">
        <v>30</v>
      </c>
      <c r="G139" s="81" t="s">
        <v>3064</v>
      </c>
      <c r="H139" s="83"/>
      <c r="I139" s="83"/>
      <c r="J139" s="83"/>
      <c r="K139" s="83"/>
      <c r="L139" s="83"/>
      <c r="M139" s="81" t="s">
        <v>43</v>
      </c>
      <c r="N139" s="81"/>
      <c r="O139" s="81"/>
      <c r="P139" s="81"/>
      <c r="Q139" s="81"/>
      <c r="R139" s="82"/>
      <c r="S139" s="82"/>
      <c r="T139" s="15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9" s="159" t="str">
        <f t="shared" ca="1" si="7"/>
        <v/>
      </c>
    </row>
    <row r="140" spans="1:21" ht="30" x14ac:dyDescent="0.25">
      <c r="A140" s="84"/>
      <c r="B140" s="84" t="str">
        <f t="shared" si="8"/>
        <v>X</v>
      </c>
      <c r="C140" s="84" t="str">
        <f>IF(OR(TabellaBLENDING[[#This Row],[LUN]]="X",TabellaBLENDING[[#This Row],[MAR]]="X",TabellaBLENDING[[#This Row],[MER]]="X",TabellaBLENDING[[#This Row],[GIO]]="X",TabellaBLENDING[[#This Row],[VEN]]="X",),"X","")</f>
        <v/>
      </c>
      <c r="D140" s="81" t="s">
        <v>30</v>
      </c>
      <c r="E140" s="81" t="s">
        <v>3065</v>
      </c>
      <c r="F140" s="81" t="s">
        <v>30</v>
      </c>
      <c r="G140" s="81" t="s">
        <v>3066</v>
      </c>
      <c r="H140" s="83"/>
      <c r="I140" s="83"/>
      <c r="J140" s="83"/>
      <c r="K140" s="83"/>
      <c r="L140" s="83"/>
      <c r="M140" s="81" t="s">
        <v>43</v>
      </c>
      <c r="N140" s="81"/>
      <c r="O140" s="81"/>
      <c r="P140" s="81"/>
      <c r="Q140" s="81"/>
      <c r="R140" s="82"/>
      <c r="S140" s="82"/>
      <c r="T140" s="16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0" s="159" t="str">
        <f t="shared" ca="1" si="7"/>
        <v/>
      </c>
    </row>
    <row r="141" spans="1:21" ht="30" x14ac:dyDescent="0.25">
      <c r="A141" s="84"/>
      <c r="B141" s="84" t="str">
        <f t="shared" si="8"/>
        <v>X</v>
      </c>
      <c r="C141" s="84" t="str">
        <f>IF(OR(TabellaBLENDING[[#This Row],[LUN]]="X",TabellaBLENDING[[#This Row],[MAR]]="X",TabellaBLENDING[[#This Row],[MER]]="X",TabellaBLENDING[[#This Row],[GIO]]="X",TabellaBLENDING[[#This Row],[VEN]]="X",),"X","")</f>
        <v/>
      </c>
      <c r="D141" s="81" t="s">
        <v>30</v>
      </c>
      <c r="E141" s="81" t="s">
        <v>3067</v>
      </c>
      <c r="F141" s="81" t="s">
        <v>30</v>
      </c>
      <c r="G141" s="81" t="s">
        <v>3068</v>
      </c>
      <c r="H141" s="83"/>
      <c r="I141" s="83"/>
      <c r="J141" s="83"/>
      <c r="K141" s="83"/>
      <c r="L141" s="83"/>
      <c r="M141" s="81" t="s">
        <v>43</v>
      </c>
      <c r="N141" s="81"/>
      <c r="O141" s="81"/>
      <c r="P141" s="81"/>
      <c r="Q141" s="81"/>
      <c r="R141" s="82">
        <v>45792</v>
      </c>
      <c r="S141" s="82" t="s">
        <v>786</v>
      </c>
      <c r="T141"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1" s="159" t="str">
        <f t="shared" ca="1" si="7"/>
        <v/>
      </c>
    </row>
    <row r="142" spans="1:21" ht="30" x14ac:dyDescent="0.25">
      <c r="A142" s="84"/>
      <c r="B142" s="84" t="str">
        <f t="shared" si="8"/>
        <v>X</v>
      </c>
      <c r="C142" s="84" t="str">
        <f>IF(OR(TabellaBLENDING[[#This Row],[LUN]]="X",TabellaBLENDING[[#This Row],[MAR]]="X",TabellaBLENDING[[#This Row],[MER]]="X",TabellaBLENDING[[#This Row],[GIO]]="X",TabellaBLENDING[[#This Row],[VEN]]="X",),"X","")</f>
        <v/>
      </c>
      <c r="D142" s="81" t="s">
        <v>30</v>
      </c>
      <c r="E142" s="81" t="s">
        <v>3069</v>
      </c>
      <c r="F142" s="81" t="s">
        <v>30</v>
      </c>
      <c r="G142" s="81" t="s">
        <v>3070</v>
      </c>
      <c r="H142" s="83"/>
      <c r="I142" s="83"/>
      <c r="J142" s="83"/>
      <c r="K142" s="83"/>
      <c r="L142" s="83"/>
      <c r="M142" s="81" t="s">
        <v>43</v>
      </c>
      <c r="N142" s="81"/>
      <c r="O142" s="81"/>
      <c r="P142" s="81"/>
      <c r="Q142" s="81"/>
      <c r="R142" s="82">
        <v>45792</v>
      </c>
      <c r="S142" s="82" t="s">
        <v>786</v>
      </c>
      <c r="T142"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2" s="159" t="str">
        <f t="shared" ca="1" si="7"/>
        <v/>
      </c>
    </row>
    <row r="143" spans="1:21" ht="30" x14ac:dyDescent="0.25">
      <c r="A143" s="84"/>
      <c r="B143" s="84" t="str">
        <f t="shared" si="8"/>
        <v>X</v>
      </c>
      <c r="C143" s="84" t="str">
        <f>IF(OR(TabellaBLENDING[[#This Row],[LUN]]="X",TabellaBLENDING[[#This Row],[MAR]]="X",TabellaBLENDING[[#This Row],[MER]]="X",TabellaBLENDING[[#This Row],[GIO]]="X",TabellaBLENDING[[#This Row],[VEN]]="X",),"X","")</f>
        <v/>
      </c>
      <c r="D143" s="81" t="s">
        <v>30</v>
      </c>
      <c r="E143" s="81" t="s">
        <v>3071</v>
      </c>
      <c r="F143" s="81" t="s">
        <v>30</v>
      </c>
      <c r="G143" s="81" t="s">
        <v>3072</v>
      </c>
      <c r="H143" s="83"/>
      <c r="I143" s="83"/>
      <c r="J143" s="83"/>
      <c r="K143" s="83"/>
      <c r="L143" s="83"/>
      <c r="M143" s="81" t="s">
        <v>43</v>
      </c>
      <c r="N143" s="81"/>
      <c r="O143" s="81"/>
      <c r="P143" s="81"/>
      <c r="Q143" s="81"/>
      <c r="R143" s="82"/>
      <c r="S143" s="82"/>
      <c r="T143" s="138"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3" s="159" t="str">
        <f t="shared" ca="1" si="7"/>
        <v/>
      </c>
    </row>
    <row r="144" spans="1:21" ht="30" x14ac:dyDescent="0.25">
      <c r="A144" s="84"/>
      <c r="B144" s="84" t="str">
        <f t="shared" si="8"/>
        <v>X</v>
      </c>
      <c r="C144" s="84" t="str">
        <f>IF(OR(TabellaBLENDING[[#This Row],[LUN]]="X",TabellaBLENDING[[#This Row],[MAR]]="X",TabellaBLENDING[[#This Row],[MER]]="X",TabellaBLENDING[[#This Row],[GIO]]="X",TabellaBLENDING[[#This Row],[VEN]]="X",),"X","")</f>
        <v/>
      </c>
      <c r="D144" s="81" t="s">
        <v>30</v>
      </c>
      <c r="E144" s="81" t="s">
        <v>3073</v>
      </c>
      <c r="F144" s="81" t="s">
        <v>30</v>
      </c>
      <c r="G144" s="81" t="s">
        <v>3074</v>
      </c>
      <c r="H144" s="83"/>
      <c r="I144" s="83"/>
      <c r="J144" s="83"/>
      <c r="K144" s="83"/>
      <c r="L144" s="83"/>
      <c r="M144" s="81" t="s">
        <v>43</v>
      </c>
      <c r="N144" s="81"/>
      <c r="O144" s="81"/>
      <c r="P144" s="81"/>
      <c r="Q144" s="81"/>
      <c r="R144" s="82"/>
      <c r="S144" s="82"/>
      <c r="T144"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4" s="140" t="str">
        <f t="shared" ca="1" si="7"/>
        <v/>
      </c>
    </row>
    <row r="145" spans="1:21" ht="30" x14ac:dyDescent="0.25">
      <c r="A145" s="84"/>
      <c r="B145" s="84" t="str">
        <f t="shared" si="8"/>
        <v>X</v>
      </c>
      <c r="C145" s="84" t="str">
        <f>IF(OR(TabellaBLENDING[[#This Row],[LUN]]="X",TabellaBLENDING[[#This Row],[MAR]]="X",TabellaBLENDING[[#This Row],[MER]]="X",TabellaBLENDING[[#This Row],[GIO]]="X",TabellaBLENDING[[#This Row],[VEN]]="X",),"X","")</f>
        <v/>
      </c>
      <c r="D145" s="81" t="s">
        <v>30</v>
      </c>
      <c r="E145" s="81" t="s">
        <v>3075</v>
      </c>
      <c r="F145" s="81" t="s">
        <v>30</v>
      </c>
      <c r="G145" s="81" t="s">
        <v>3076</v>
      </c>
      <c r="H145" s="83"/>
      <c r="I145" s="83"/>
      <c r="J145" s="83"/>
      <c r="K145" s="83"/>
      <c r="L145" s="83"/>
      <c r="M145" s="81" t="s">
        <v>43</v>
      </c>
      <c r="N145" s="81"/>
      <c r="O145" s="81"/>
      <c r="P145" s="81"/>
      <c r="Q145" s="81"/>
      <c r="R145" s="82"/>
      <c r="S145" s="82"/>
      <c r="T145"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5" s="140" t="str">
        <f t="shared" ca="1" si="7"/>
        <v/>
      </c>
    </row>
    <row r="146" spans="1:21" ht="30" x14ac:dyDescent="0.25">
      <c r="A146" s="84"/>
      <c r="B146" s="84" t="str">
        <f t="shared" si="8"/>
        <v>X</v>
      </c>
      <c r="C146" s="84" t="str">
        <f>IF(OR(TabellaBLENDING[[#This Row],[LUN]]="X",TabellaBLENDING[[#This Row],[MAR]]="X",TabellaBLENDING[[#This Row],[MER]]="X",TabellaBLENDING[[#This Row],[GIO]]="X",TabellaBLENDING[[#This Row],[VEN]]="X",),"X","")</f>
        <v/>
      </c>
      <c r="D146" s="81" t="s">
        <v>30</v>
      </c>
      <c r="E146" s="81" t="s">
        <v>3077</v>
      </c>
      <c r="F146" s="81" t="s">
        <v>30</v>
      </c>
      <c r="G146" s="81" t="s">
        <v>3078</v>
      </c>
      <c r="H146" s="83"/>
      <c r="I146" s="83"/>
      <c r="J146" s="83"/>
      <c r="K146" s="83"/>
      <c r="L146" s="83"/>
      <c r="M146" s="81" t="s">
        <v>43</v>
      </c>
      <c r="N146" s="81"/>
      <c r="O146" s="81"/>
      <c r="P146" s="81"/>
      <c r="Q146" s="81"/>
      <c r="R146" s="82"/>
      <c r="S146" s="82"/>
      <c r="T146"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6" s="140" t="str">
        <f t="shared" ca="1" si="7"/>
        <v/>
      </c>
    </row>
    <row r="147" spans="1:21" ht="30" x14ac:dyDescent="0.25">
      <c r="A147" s="84"/>
      <c r="B147" s="84" t="str">
        <f t="shared" si="8"/>
        <v>X</v>
      </c>
      <c r="C147" s="84" t="str">
        <f>IF(OR(TabellaBLENDING[[#This Row],[LUN]]="X",TabellaBLENDING[[#This Row],[MAR]]="X",TabellaBLENDING[[#This Row],[MER]]="X",TabellaBLENDING[[#This Row],[GIO]]="X",TabellaBLENDING[[#This Row],[VEN]]="X",),"X","")</f>
        <v/>
      </c>
      <c r="D147" s="81" t="s">
        <v>30</v>
      </c>
      <c r="E147" s="81" t="s">
        <v>3079</v>
      </c>
      <c r="F147" s="81" t="s">
        <v>30</v>
      </c>
      <c r="G147" s="81" t="s">
        <v>3080</v>
      </c>
      <c r="H147" s="83"/>
      <c r="I147" s="83"/>
      <c r="J147" s="83"/>
      <c r="K147" s="83"/>
      <c r="L147" s="83"/>
      <c r="M147" s="81" t="s">
        <v>43</v>
      </c>
      <c r="N147" s="81"/>
      <c r="O147" s="81"/>
      <c r="P147" s="81"/>
      <c r="Q147" s="81"/>
      <c r="R147" s="82"/>
      <c r="S147" s="82"/>
      <c r="T147"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7" s="140" t="str">
        <f t="shared" ca="1" si="7"/>
        <v/>
      </c>
    </row>
    <row r="148" spans="1:21" ht="23.25" x14ac:dyDescent="0.25">
      <c r="A148" s="84"/>
      <c r="B148" s="84"/>
      <c r="C148" s="84" t="str">
        <f>IF(OR(TabellaBLENDING[[#This Row],[LUN]]="X",TabellaBLENDING[[#This Row],[MAR]]="X",TabellaBLENDING[[#This Row],[MER]]="X",TabellaBLENDING[[#This Row],[GIO]]="X",TabellaBLENDING[[#This Row],[VEN]]="X",),"X","")</f>
        <v/>
      </c>
      <c r="D148" s="81" t="s">
        <v>30</v>
      </c>
      <c r="E148" s="81" t="s">
        <v>3081</v>
      </c>
      <c r="F148" s="81" t="s">
        <v>2967</v>
      </c>
      <c r="G148" s="81" t="s">
        <v>3082</v>
      </c>
      <c r="H148" s="83"/>
      <c r="I148" s="83"/>
      <c r="J148" s="83"/>
      <c r="K148" s="83"/>
      <c r="L148" s="83"/>
      <c r="M148" s="81" t="s">
        <v>43</v>
      </c>
      <c r="N148" s="81"/>
      <c r="O148" s="81"/>
      <c r="P148" s="81"/>
      <c r="Q148" s="81"/>
      <c r="R148" s="82"/>
      <c r="S148" s="82"/>
      <c r="T148"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8" s="141" t="str">
        <f t="shared" ca="1" si="7"/>
        <v/>
      </c>
    </row>
    <row r="149" spans="1:21" ht="23.25" x14ac:dyDescent="0.25">
      <c r="A149" s="84"/>
      <c r="B149" s="84"/>
      <c r="C149" s="84" t="str">
        <f>IF(OR(TabellaBLENDING[[#This Row],[LUN]]="X",TabellaBLENDING[[#This Row],[MAR]]="X",TabellaBLENDING[[#This Row],[MER]]="X",TabellaBLENDING[[#This Row],[GIO]]="X",TabellaBLENDING[[#This Row],[VEN]]="X",),"X","")</f>
        <v/>
      </c>
      <c r="D149" s="81" t="s">
        <v>30</v>
      </c>
      <c r="E149" s="81" t="s">
        <v>3083</v>
      </c>
      <c r="F149" s="81">
        <v>6000</v>
      </c>
      <c r="G149" s="81" t="s">
        <v>3084</v>
      </c>
      <c r="H149" s="83"/>
      <c r="I149" s="83"/>
      <c r="J149" s="83"/>
      <c r="K149" s="83"/>
      <c r="L149" s="83"/>
      <c r="M149" s="81" t="s">
        <v>43</v>
      </c>
      <c r="N149" s="81"/>
      <c r="O149" s="81"/>
      <c r="P149" s="81"/>
      <c r="Q149" s="81"/>
      <c r="R149" s="82"/>
      <c r="S149" s="82"/>
      <c r="T149"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9" s="141" t="str">
        <f t="shared" ca="1" si="7"/>
        <v/>
      </c>
    </row>
    <row r="150" spans="1:21" ht="23.25" x14ac:dyDescent="0.25">
      <c r="A150" s="84"/>
      <c r="B150" s="84"/>
      <c r="C150" s="84" t="str">
        <f>IF(OR(TabellaBLENDING[[#This Row],[LUN]]="X",TabellaBLENDING[[#This Row],[MAR]]="X",TabellaBLENDING[[#This Row],[MER]]="X",TabellaBLENDING[[#This Row],[GIO]]="X",TabellaBLENDING[[#This Row],[VEN]]="X",),"X","")</f>
        <v/>
      </c>
      <c r="D150" s="81" t="s">
        <v>30</v>
      </c>
      <c r="E150" s="81" t="s">
        <v>3085</v>
      </c>
      <c r="F150" s="81">
        <v>6200</v>
      </c>
      <c r="G150" s="81" t="s">
        <v>3086</v>
      </c>
      <c r="H150" s="83"/>
      <c r="I150" s="83"/>
      <c r="J150" s="83"/>
      <c r="K150" s="83"/>
      <c r="L150" s="83"/>
      <c r="M150" s="81" t="s">
        <v>43</v>
      </c>
      <c r="N150" s="81"/>
      <c r="O150" s="81"/>
      <c r="P150" s="81"/>
      <c r="Q150" s="81"/>
      <c r="R150" s="82"/>
      <c r="S150" s="82"/>
      <c r="T150"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0" s="141" t="str">
        <f t="shared" ca="1" si="7"/>
        <v/>
      </c>
    </row>
    <row r="151" spans="1:21" ht="23.25" x14ac:dyDescent="0.25">
      <c r="A151" s="84"/>
      <c r="B151" s="84"/>
      <c r="C151" s="84" t="str">
        <f>IF(OR(TabellaBLENDING[[#This Row],[LUN]]="X",TabellaBLENDING[[#This Row],[MAR]]="X",TabellaBLENDING[[#This Row],[MER]]="X",TabellaBLENDING[[#This Row],[GIO]]="X",TabellaBLENDING[[#This Row],[VEN]]="X",),"X","")</f>
        <v/>
      </c>
      <c r="D151" s="81" t="s">
        <v>30</v>
      </c>
      <c r="E151" s="81" t="s">
        <v>3087</v>
      </c>
      <c r="F151" s="81" t="s">
        <v>175</v>
      </c>
      <c r="G151" s="81" t="s">
        <v>3088</v>
      </c>
      <c r="H151" s="83"/>
      <c r="I151" s="83"/>
      <c r="J151" s="83"/>
      <c r="K151" s="83"/>
      <c r="L151" s="83"/>
      <c r="M151" s="81" t="s">
        <v>43</v>
      </c>
      <c r="N151" s="81"/>
      <c r="O151" s="81"/>
      <c r="P151" s="81"/>
      <c r="Q151" s="81"/>
      <c r="R151" s="82"/>
      <c r="S151" s="82"/>
      <c r="T151"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1" s="141" t="str">
        <f t="shared" ca="1" si="7"/>
        <v/>
      </c>
    </row>
    <row r="152" spans="1:21" ht="23.25" x14ac:dyDescent="0.25">
      <c r="A152" s="84"/>
      <c r="B152" s="84"/>
      <c r="C152" s="84" t="str">
        <f>IF(OR(TabellaBLENDING[[#This Row],[LUN]]="X",TabellaBLENDING[[#This Row],[MAR]]="X",TabellaBLENDING[[#This Row],[MER]]="X",TabellaBLENDING[[#This Row],[GIO]]="X",TabellaBLENDING[[#This Row],[VEN]]="X",),"X","")</f>
        <v/>
      </c>
      <c r="D152" s="81" t="s">
        <v>30</v>
      </c>
      <c r="E152" s="81" t="s">
        <v>3089</v>
      </c>
      <c r="F152" s="81">
        <v>6500</v>
      </c>
      <c r="G152" s="81" t="s">
        <v>3090</v>
      </c>
      <c r="H152" s="83"/>
      <c r="I152" s="83"/>
      <c r="J152" s="83"/>
      <c r="K152" s="83"/>
      <c r="L152" s="83"/>
      <c r="M152" s="81" t="s">
        <v>43</v>
      </c>
      <c r="N152" s="81"/>
      <c r="O152" s="81"/>
      <c r="P152" s="81"/>
      <c r="Q152" s="81"/>
      <c r="R152" s="82"/>
      <c r="S152" s="82"/>
      <c r="T152"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2" s="141" t="str">
        <f t="shared" ca="1" si="7"/>
        <v/>
      </c>
    </row>
    <row r="153" spans="1:21" ht="30" x14ac:dyDescent="0.25">
      <c r="A153" s="84"/>
      <c r="B153" s="84"/>
      <c r="C153" s="84" t="str">
        <f>IF(OR(TabellaBLENDING[[#This Row],[LUN]]="X",TabellaBLENDING[[#This Row],[MAR]]="X",TabellaBLENDING[[#This Row],[MER]]="X",TabellaBLENDING[[#This Row],[GIO]]="X",TabellaBLENDING[[#This Row],[VEN]]="X",),"X","")</f>
        <v/>
      </c>
      <c r="D153" s="81" t="s">
        <v>30</v>
      </c>
      <c r="E153" s="81" t="s">
        <v>3091</v>
      </c>
      <c r="F153" s="81">
        <v>6500</v>
      </c>
      <c r="G153" s="81" t="s">
        <v>3092</v>
      </c>
      <c r="H153" s="83"/>
      <c r="I153" s="83"/>
      <c r="J153" s="83"/>
      <c r="K153" s="83"/>
      <c r="L153" s="83"/>
      <c r="M153" s="81" t="s">
        <v>43</v>
      </c>
      <c r="N153" s="81"/>
      <c r="O153" s="81"/>
      <c r="P153" s="81"/>
      <c r="Q153" s="81"/>
      <c r="R153" s="82"/>
      <c r="S153" s="82"/>
      <c r="T153"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3" s="141" t="str">
        <f t="shared" ca="1" si="7"/>
        <v>10226579</v>
      </c>
    </row>
    <row r="154" spans="1:21" ht="23.25" x14ac:dyDescent="0.25">
      <c r="A154" s="84"/>
      <c r="B154" s="84" t="str">
        <f>IF(OR(A154="x",A154="X"),"",IF(ISBLANK(A154),"X",""))</f>
        <v>X</v>
      </c>
      <c r="C154" s="84" t="str">
        <f>IF(OR(TabellaBLENDING[[#This Row],[LUN]]="X",TabellaBLENDING[[#This Row],[MAR]]="X",TabellaBLENDING[[#This Row],[MER]]="X",TabellaBLENDING[[#This Row],[GIO]]="X",TabellaBLENDING[[#This Row],[VEN]]="X",),"X","")</f>
        <v/>
      </c>
      <c r="D154" s="81" t="s">
        <v>30</v>
      </c>
      <c r="E154" s="81" t="s">
        <v>3093</v>
      </c>
      <c r="F154" s="81" t="s">
        <v>2967</v>
      </c>
      <c r="G154" s="81" t="s">
        <v>3094</v>
      </c>
      <c r="H154" s="83"/>
      <c r="I154" s="83"/>
      <c r="J154" s="83"/>
      <c r="K154" s="83"/>
      <c r="L154" s="83"/>
      <c r="M154" s="81" t="s">
        <v>43</v>
      </c>
      <c r="N154" s="81"/>
      <c r="O154" s="81"/>
      <c r="P154" s="81"/>
      <c r="Q154" s="81"/>
      <c r="R154" s="82"/>
      <c r="S154" s="82"/>
      <c r="T154"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4" s="140" t="str">
        <f t="shared" ca="1" si="7"/>
        <v/>
      </c>
    </row>
    <row r="155" spans="1:21" ht="30" x14ac:dyDescent="0.25">
      <c r="A155" s="84"/>
      <c r="B155" s="84"/>
      <c r="C155" s="84" t="str">
        <f>IF(OR(TabellaBLENDING[[#This Row],[LUN]]="X",TabellaBLENDING[[#This Row],[MAR]]="X",TabellaBLENDING[[#This Row],[MER]]="X",TabellaBLENDING[[#This Row],[GIO]]="X",TabellaBLENDING[[#This Row],[VEN]]="X",),"X","")</f>
        <v/>
      </c>
      <c r="D155" s="81" t="s">
        <v>30</v>
      </c>
      <c r="E155" s="81" t="s">
        <v>3095</v>
      </c>
      <c r="F155" s="81">
        <v>6500</v>
      </c>
      <c r="G155" s="81" t="s">
        <v>3096</v>
      </c>
      <c r="H155" s="83"/>
      <c r="I155" s="83"/>
      <c r="J155" s="83"/>
      <c r="K155" s="83"/>
      <c r="L155" s="83"/>
      <c r="M155" s="81" t="s">
        <v>43</v>
      </c>
      <c r="N155" s="81"/>
      <c r="O155" s="81"/>
      <c r="P155" s="81"/>
      <c r="Q155" s="81"/>
      <c r="R155" s="82"/>
      <c r="S155" s="82"/>
      <c r="T155"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5" s="141" t="str">
        <f t="shared" ca="1" si="7"/>
        <v/>
      </c>
    </row>
    <row r="156" spans="1:21" ht="23.25" x14ac:dyDescent="0.25">
      <c r="A156" s="84"/>
      <c r="B156" s="84"/>
      <c r="C156" s="84" t="str">
        <f>IF(OR(TabellaBLENDING[[#This Row],[LUN]]="X",TabellaBLENDING[[#This Row],[MAR]]="X",TabellaBLENDING[[#This Row],[MER]]="X",TabellaBLENDING[[#This Row],[GIO]]="X",TabellaBLENDING[[#This Row],[VEN]]="X",),"X","")</f>
        <v/>
      </c>
      <c r="D156" s="81" t="s">
        <v>30</v>
      </c>
      <c r="E156" s="81" t="s">
        <v>3097</v>
      </c>
      <c r="F156" s="81" t="s">
        <v>175</v>
      </c>
      <c r="G156" s="81" t="s">
        <v>3098</v>
      </c>
      <c r="H156" s="83"/>
      <c r="I156" s="83"/>
      <c r="J156" s="83"/>
      <c r="K156" s="83"/>
      <c r="L156" s="83"/>
      <c r="M156" s="81" t="s">
        <v>43</v>
      </c>
      <c r="N156" s="81"/>
      <c r="O156" s="81"/>
      <c r="P156" s="81"/>
      <c r="Q156" s="81"/>
      <c r="R156" s="82"/>
      <c r="S156" s="82"/>
      <c r="T156"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6" s="141" t="str">
        <f t="shared" ca="1" si="7"/>
        <v/>
      </c>
    </row>
    <row r="157" spans="1:21" ht="30" x14ac:dyDescent="0.25">
      <c r="A157" s="84"/>
      <c r="B157" s="84"/>
      <c r="C157" s="84" t="str">
        <f>IF(OR(TabellaBLENDING[[#This Row],[LUN]]="X",TabellaBLENDING[[#This Row],[MAR]]="X",TabellaBLENDING[[#This Row],[MER]]="X",TabellaBLENDING[[#This Row],[GIO]]="X",TabellaBLENDING[[#This Row],[VEN]]="X",),"X","")</f>
        <v/>
      </c>
      <c r="D157" s="81" t="s">
        <v>30</v>
      </c>
      <c r="E157" s="81" t="s">
        <v>3099</v>
      </c>
      <c r="F157" s="81" t="s">
        <v>2815</v>
      </c>
      <c r="G157" s="81" t="s">
        <v>3100</v>
      </c>
      <c r="H157" s="83"/>
      <c r="I157" s="83"/>
      <c r="J157" s="83"/>
      <c r="K157" s="83"/>
      <c r="L157" s="83"/>
      <c r="M157" s="81" t="s">
        <v>43</v>
      </c>
      <c r="N157" s="81"/>
      <c r="O157" s="81"/>
      <c r="P157" s="81"/>
      <c r="Q157" s="81"/>
      <c r="R157" s="82"/>
      <c r="S157" s="82"/>
      <c r="T157"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7" s="159" t="str">
        <f t="shared" ca="1" si="7"/>
        <v/>
      </c>
    </row>
    <row r="158" spans="1:21" ht="30" x14ac:dyDescent="0.25">
      <c r="A158" s="84"/>
      <c r="B158" s="84" t="str">
        <f>IF(OR(A158="x",A158="X"),"",IF(ISBLANK(A158),"X",""))</f>
        <v>X</v>
      </c>
      <c r="C158" s="84" t="str">
        <f>IF(OR(TabellaBLENDING[[#This Row],[LUN]]="X",TabellaBLENDING[[#This Row],[MAR]]="X",TabellaBLENDING[[#This Row],[MER]]="X",TabellaBLENDING[[#This Row],[GIO]]="X",TabellaBLENDING[[#This Row],[VEN]]="X",),"X","")</f>
        <v/>
      </c>
      <c r="D158" s="81" t="s">
        <v>30</v>
      </c>
      <c r="E158" s="81" t="s">
        <v>3101</v>
      </c>
      <c r="F158" s="81" t="s">
        <v>30</v>
      </c>
      <c r="G158" s="81" t="s">
        <v>3102</v>
      </c>
      <c r="H158" s="83"/>
      <c r="I158" s="83"/>
      <c r="J158" s="83"/>
      <c r="K158" s="83"/>
      <c r="L158" s="83"/>
      <c r="M158" s="81" t="s">
        <v>43</v>
      </c>
      <c r="N158" s="81"/>
      <c r="O158" s="81"/>
      <c r="P158" s="81"/>
      <c r="Q158" s="81"/>
      <c r="R158" s="82"/>
      <c r="S158" s="82"/>
      <c r="T158"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8" s="140" t="str">
        <f t="shared" ca="1" si="7"/>
        <v/>
      </c>
    </row>
    <row r="159" spans="1:21" ht="30" x14ac:dyDescent="0.25">
      <c r="A159" s="84"/>
      <c r="B159" s="84" t="str">
        <f>IF(OR(A159="x",A159="X"),"",IF(ISBLANK(A159),"X",""))</f>
        <v>X</v>
      </c>
      <c r="C159" s="84" t="str">
        <f>IF(OR(TabellaBLENDING[[#This Row],[LUN]]="X",TabellaBLENDING[[#This Row],[MAR]]="X",TabellaBLENDING[[#This Row],[MER]]="X",TabellaBLENDING[[#This Row],[GIO]]="X",TabellaBLENDING[[#This Row],[VEN]]="X",),"X","")</f>
        <v/>
      </c>
      <c r="D159" s="81" t="s">
        <v>30</v>
      </c>
      <c r="E159" s="81" t="s">
        <v>3103</v>
      </c>
      <c r="F159" s="81" t="s">
        <v>30</v>
      </c>
      <c r="G159" s="81" t="s">
        <v>3104</v>
      </c>
      <c r="H159" s="83"/>
      <c r="I159" s="83"/>
      <c r="J159" s="83"/>
      <c r="K159" s="83"/>
      <c r="L159" s="83"/>
      <c r="M159" s="81" t="s">
        <v>43</v>
      </c>
      <c r="N159" s="81"/>
      <c r="O159" s="81"/>
      <c r="P159" s="81"/>
      <c r="Q159" s="81"/>
      <c r="R159" s="82"/>
      <c r="S159" s="82"/>
      <c r="T159"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9" s="140" t="str">
        <f t="shared" ca="1" si="7"/>
        <v/>
      </c>
    </row>
    <row r="160" spans="1:21" ht="23.25" x14ac:dyDescent="0.25">
      <c r="A160" s="84"/>
      <c r="B160" s="84"/>
      <c r="C160" s="84" t="str">
        <f>IF(OR(TabellaBLENDING[[#This Row],[LUN]]="X",TabellaBLENDING[[#This Row],[MAR]]="X",TabellaBLENDING[[#This Row],[MER]]="X",TabellaBLENDING[[#This Row],[GIO]]="X",TabellaBLENDING[[#This Row],[VEN]]="X",),"X","")</f>
        <v/>
      </c>
      <c r="D160" s="81" t="s">
        <v>30</v>
      </c>
      <c r="E160" s="81" t="s">
        <v>3105</v>
      </c>
      <c r="F160" s="81">
        <v>6000</v>
      </c>
      <c r="G160" s="81" t="s">
        <v>3106</v>
      </c>
      <c r="H160" s="83"/>
      <c r="I160" s="83"/>
      <c r="J160" s="83"/>
      <c r="K160" s="83"/>
      <c r="L160" s="83"/>
      <c r="M160" s="81" t="s">
        <v>43</v>
      </c>
      <c r="N160" s="81"/>
      <c r="O160" s="81"/>
      <c r="P160" s="81"/>
      <c r="Q160" s="81"/>
      <c r="R160" s="82"/>
      <c r="S160" s="82"/>
      <c r="T160"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0" s="141" t="str">
        <f t="shared" ca="1" si="7"/>
        <v/>
      </c>
    </row>
    <row r="161" spans="1:21" ht="23.25" x14ac:dyDescent="0.25">
      <c r="A161" s="84"/>
      <c r="B161" s="84"/>
      <c r="C161" s="84" t="str">
        <f>IF(OR(TabellaBLENDING[[#This Row],[LUN]]="X",TabellaBLENDING[[#This Row],[MAR]]="X",TabellaBLENDING[[#This Row],[MER]]="X",TabellaBLENDING[[#This Row],[GIO]]="X",TabellaBLENDING[[#This Row],[VEN]]="X",),"X","")</f>
        <v/>
      </c>
      <c r="D161" s="81" t="s">
        <v>30</v>
      </c>
      <c r="E161" s="81" t="s">
        <v>3107</v>
      </c>
      <c r="F161" s="81">
        <v>6500</v>
      </c>
      <c r="G161" s="81" t="s">
        <v>3108</v>
      </c>
      <c r="H161" s="83"/>
      <c r="I161" s="83"/>
      <c r="J161" s="83"/>
      <c r="K161" s="83"/>
      <c r="L161" s="83"/>
      <c r="M161" s="81" t="s">
        <v>43</v>
      </c>
      <c r="N161" s="81"/>
      <c r="O161" s="81"/>
      <c r="P161" s="81"/>
      <c r="Q161" s="81"/>
      <c r="R161" s="82"/>
      <c r="S161" s="82"/>
      <c r="T161"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1" s="141" t="str">
        <f t="shared" ca="1" si="7"/>
        <v/>
      </c>
    </row>
    <row r="162" spans="1:21" ht="23.25" x14ac:dyDescent="0.25">
      <c r="A162" s="84"/>
      <c r="B162" s="84"/>
      <c r="C162" s="84" t="str">
        <f>IF(OR(TabellaBLENDING[[#This Row],[LUN]]="X",TabellaBLENDING[[#This Row],[MAR]]="X",TabellaBLENDING[[#This Row],[MER]]="X",TabellaBLENDING[[#This Row],[GIO]]="X",TabellaBLENDING[[#This Row],[VEN]]="X",),"X","")</f>
        <v/>
      </c>
      <c r="D162" s="81" t="s">
        <v>30</v>
      </c>
      <c r="E162" s="81" t="s">
        <v>3109</v>
      </c>
      <c r="F162" s="81" t="s">
        <v>175</v>
      </c>
      <c r="G162" s="81" t="s">
        <v>3110</v>
      </c>
      <c r="H162" s="83"/>
      <c r="I162" s="83"/>
      <c r="J162" s="83"/>
      <c r="K162" s="83"/>
      <c r="L162" s="83"/>
      <c r="M162" s="81" t="s">
        <v>43</v>
      </c>
      <c r="N162" s="81"/>
      <c r="O162" s="81"/>
      <c r="P162" s="81"/>
      <c r="Q162" s="81"/>
      <c r="R162" s="82"/>
      <c r="S162" s="82"/>
      <c r="T162"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2" s="141" t="str">
        <f t="shared" ca="1" si="7"/>
        <v/>
      </c>
    </row>
    <row r="163" spans="1:21" ht="23.25" x14ac:dyDescent="0.25">
      <c r="A163" s="84"/>
      <c r="B163" s="84"/>
      <c r="C163" s="84" t="str">
        <f>IF(OR(TabellaBLENDING[[#This Row],[LUN]]="X",TabellaBLENDING[[#This Row],[MAR]]="X",TabellaBLENDING[[#This Row],[MER]]="X",TabellaBLENDING[[#This Row],[GIO]]="X",TabellaBLENDING[[#This Row],[VEN]]="X",),"X","")</f>
        <v/>
      </c>
      <c r="D163" s="81" t="s">
        <v>30</v>
      </c>
      <c r="E163" s="81" t="s">
        <v>3111</v>
      </c>
      <c r="F163" s="81">
        <v>6000</v>
      </c>
      <c r="G163" s="81" t="s">
        <v>3112</v>
      </c>
      <c r="H163" s="83"/>
      <c r="I163" s="83"/>
      <c r="J163" s="83"/>
      <c r="K163" s="83"/>
      <c r="L163" s="83"/>
      <c r="M163" s="81" t="s">
        <v>43</v>
      </c>
      <c r="N163" s="81"/>
      <c r="O163" s="81"/>
      <c r="P163" s="81"/>
      <c r="Q163" s="81"/>
      <c r="R163" s="82"/>
      <c r="S163" s="82"/>
      <c r="T163"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3" s="141" t="str">
        <f t="shared" ca="1" si="7"/>
        <v/>
      </c>
    </row>
    <row r="164" spans="1:21" ht="23.25" x14ac:dyDescent="0.25">
      <c r="A164" s="84"/>
      <c r="B164" s="84"/>
      <c r="C164" s="84" t="str">
        <f>IF(OR(TabellaBLENDING[[#This Row],[LUN]]="X",TabellaBLENDING[[#This Row],[MAR]]="X",TabellaBLENDING[[#This Row],[MER]]="X",TabellaBLENDING[[#This Row],[GIO]]="X",TabellaBLENDING[[#This Row],[VEN]]="X",),"X","")</f>
        <v/>
      </c>
      <c r="D164" s="81" t="s">
        <v>30</v>
      </c>
      <c r="E164" s="81" t="s">
        <v>3113</v>
      </c>
      <c r="F164" s="81">
        <v>6500</v>
      </c>
      <c r="G164" s="81" t="s">
        <v>3114</v>
      </c>
      <c r="H164" s="83"/>
      <c r="I164" s="83"/>
      <c r="J164" s="83"/>
      <c r="K164" s="83"/>
      <c r="L164" s="83"/>
      <c r="M164" s="81" t="s">
        <v>43</v>
      </c>
      <c r="N164" s="81"/>
      <c r="O164" s="81"/>
      <c r="P164" s="81"/>
      <c r="Q164" s="81"/>
      <c r="R164" s="82"/>
      <c r="S164" s="82"/>
      <c r="T164"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4" s="141" t="str">
        <f t="shared" ca="1" si="7"/>
        <v/>
      </c>
    </row>
    <row r="165" spans="1:21" ht="23.25" x14ac:dyDescent="0.25">
      <c r="A165" s="84"/>
      <c r="B165" s="84"/>
      <c r="C165" s="84" t="str">
        <f>IF(OR(TabellaBLENDING[[#This Row],[LUN]]="X",TabellaBLENDING[[#This Row],[MAR]]="X",TabellaBLENDING[[#This Row],[MER]]="X",TabellaBLENDING[[#This Row],[GIO]]="X",TabellaBLENDING[[#This Row],[VEN]]="X",),"X","")</f>
        <v/>
      </c>
      <c r="D165" s="81" t="s">
        <v>30</v>
      </c>
      <c r="E165" s="81" t="s">
        <v>3115</v>
      </c>
      <c r="F165" s="81">
        <v>6000</v>
      </c>
      <c r="G165" s="81" t="s">
        <v>114</v>
      </c>
      <c r="H165" s="83"/>
      <c r="I165" s="83"/>
      <c r="J165" s="83"/>
      <c r="K165" s="83"/>
      <c r="L165" s="83"/>
      <c r="M165" s="81" t="s">
        <v>43</v>
      </c>
      <c r="N165" s="81"/>
      <c r="O165" s="81"/>
      <c r="P165" s="81"/>
      <c r="Q165" s="81"/>
      <c r="R165" s="82"/>
      <c r="S165" s="82"/>
      <c r="T165"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5" s="141" t="str">
        <f t="shared" ca="1" si="7"/>
        <v/>
      </c>
    </row>
    <row r="166" spans="1:21" ht="23.25" x14ac:dyDescent="0.25">
      <c r="A166" s="84"/>
      <c r="B166" s="84"/>
      <c r="C166" s="84" t="str">
        <f>IF(OR(TabellaBLENDING[[#This Row],[LUN]]="X",TabellaBLENDING[[#This Row],[MAR]]="X",TabellaBLENDING[[#This Row],[MER]]="X",TabellaBLENDING[[#This Row],[GIO]]="X",TabellaBLENDING[[#This Row],[VEN]]="X",),"X","")</f>
        <v/>
      </c>
      <c r="D166" s="81" t="s">
        <v>30</v>
      </c>
      <c r="E166" s="81" t="s">
        <v>3116</v>
      </c>
      <c r="F166" s="81">
        <v>6000</v>
      </c>
      <c r="G166" s="81" t="s">
        <v>3117</v>
      </c>
      <c r="H166" s="83"/>
      <c r="I166" s="83"/>
      <c r="J166" s="83"/>
      <c r="K166" s="83"/>
      <c r="L166" s="83"/>
      <c r="M166" s="81" t="s">
        <v>43</v>
      </c>
      <c r="N166" s="81"/>
      <c r="O166" s="81"/>
      <c r="P166" s="81"/>
      <c r="Q166" s="81"/>
      <c r="R166" s="82"/>
      <c r="S166" s="82"/>
      <c r="T166"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6" s="141" t="str">
        <f t="shared" ca="1" si="7"/>
        <v/>
      </c>
    </row>
    <row r="167" spans="1:21" ht="23.25" x14ac:dyDescent="0.25">
      <c r="A167" s="84"/>
      <c r="B167" s="84"/>
      <c r="C167" s="84" t="str">
        <f>IF(OR(TabellaBLENDING[[#This Row],[LUN]]="X",TabellaBLENDING[[#This Row],[MAR]]="X",TabellaBLENDING[[#This Row],[MER]]="X",TabellaBLENDING[[#This Row],[GIO]]="X",TabellaBLENDING[[#This Row],[VEN]]="X",),"X","")</f>
        <v/>
      </c>
      <c r="D167" s="81" t="s">
        <v>30</v>
      </c>
      <c r="E167" s="81" t="s">
        <v>3118</v>
      </c>
      <c r="F167" s="81" t="s">
        <v>175</v>
      </c>
      <c r="G167" s="81" t="s">
        <v>3119</v>
      </c>
      <c r="H167" s="83"/>
      <c r="I167" s="83"/>
      <c r="J167" s="83"/>
      <c r="K167" s="83"/>
      <c r="L167" s="83"/>
      <c r="M167" s="81" t="s">
        <v>43</v>
      </c>
      <c r="N167" s="81"/>
      <c r="O167" s="81"/>
      <c r="P167" s="81"/>
      <c r="Q167" s="81"/>
      <c r="R167" s="82"/>
      <c r="S167" s="82"/>
      <c r="T167"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7" s="163"/>
    </row>
    <row r="168" spans="1:21" ht="30" x14ac:dyDescent="0.25">
      <c r="A168" s="84"/>
      <c r="B168" s="84"/>
      <c r="C168" s="84" t="str">
        <f>IF(OR(TabellaBLENDING[[#This Row],[LUN]]="X",TabellaBLENDING[[#This Row],[MAR]]="X",TabellaBLENDING[[#This Row],[MER]]="X",TabellaBLENDING[[#This Row],[GIO]]="X",TabellaBLENDING[[#This Row],[VEN]]="X",),"X","")</f>
        <v/>
      </c>
      <c r="D168" s="81" t="s">
        <v>30</v>
      </c>
      <c r="E168" s="81" t="s">
        <v>3120</v>
      </c>
      <c r="F168" s="81" t="s">
        <v>2967</v>
      </c>
      <c r="G168" s="81" t="s">
        <v>3121</v>
      </c>
      <c r="H168" s="83"/>
      <c r="I168" s="83"/>
      <c r="J168" s="83"/>
      <c r="K168" s="83"/>
      <c r="L168" s="83"/>
      <c r="M168" s="81" t="s">
        <v>43</v>
      </c>
      <c r="N168" s="81"/>
      <c r="O168" s="81"/>
      <c r="P168" s="81"/>
      <c r="Q168" s="81"/>
      <c r="R168" s="82"/>
      <c r="S168" s="82"/>
      <c r="T168"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8" s="163"/>
    </row>
    <row r="169" spans="1:21" ht="23.25" x14ac:dyDescent="0.25">
      <c r="A169" s="84"/>
      <c r="B169" s="84"/>
      <c r="C169" s="84" t="str">
        <f>IF(OR(TabellaBLENDING[[#This Row],[LUN]]="X",TabellaBLENDING[[#This Row],[MAR]]="X",TabellaBLENDING[[#This Row],[MER]]="X",TabellaBLENDING[[#This Row],[GIO]]="X",TabellaBLENDING[[#This Row],[VEN]]="X",),"X","")</f>
        <v/>
      </c>
      <c r="D169" s="81" t="s">
        <v>30</v>
      </c>
      <c r="E169" s="81" t="s">
        <v>3122</v>
      </c>
      <c r="F169" s="81">
        <v>6300</v>
      </c>
      <c r="G169" s="81" t="s">
        <v>3123</v>
      </c>
      <c r="H169" s="83"/>
      <c r="I169" s="83"/>
      <c r="J169" s="83"/>
      <c r="K169" s="83"/>
      <c r="L169" s="83"/>
      <c r="M169" s="81" t="s">
        <v>43</v>
      </c>
      <c r="N169" s="81"/>
      <c r="O169" s="81"/>
      <c r="P169" s="81"/>
      <c r="Q169" s="81"/>
      <c r="R169" s="82"/>
      <c r="S169" s="82"/>
      <c r="T169"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9" s="163"/>
    </row>
    <row r="170" spans="1:21" ht="30" x14ac:dyDescent="0.25">
      <c r="A170" s="84"/>
      <c r="B170" s="84"/>
      <c r="C170" s="84" t="str">
        <f>IF(OR(TabellaBLENDING[[#This Row],[LUN]]="X",TabellaBLENDING[[#This Row],[MAR]]="X",TabellaBLENDING[[#This Row],[MER]]="X",TabellaBLENDING[[#This Row],[GIO]]="X",TabellaBLENDING[[#This Row],[VEN]]="X",),"X","")</f>
        <v/>
      </c>
      <c r="D170" s="81" t="s">
        <v>30</v>
      </c>
      <c r="E170" s="81" t="s">
        <v>3124</v>
      </c>
      <c r="F170" s="81" t="s">
        <v>3038</v>
      </c>
      <c r="G170" s="81" t="s">
        <v>3125</v>
      </c>
      <c r="H170" s="83"/>
      <c r="I170" s="83"/>
      <c r="J170" s="83"/>
      <c r="K170" s="83"/>
      <c r="L170" s="83"/>
      <c r="M170" s="81" t="s">
        <v>43</v>
      </c>
      <c r="N170" s="81"/>
      <c r="O170" s="81"/>
      <c r="P170" s="81"/>
      <c r="Q170" s="81"/>
      <c r="R170" s="82"/>
      <c r="S170" s="82"/>
      <c r="T170"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0" s="163"/>
    </row>
    <row r="171" spans="1:21" ht="30" x14ac:dyDescent="0.25">
      <c r="A171" s="84"/>
      <c r="B171" s="84"/>
      <c r="C171" s="84" t="str">
        <f>IF(OR(TabellaBLENDING[[#This Row],[LUN]]="X",TabellaBLENDING[[#This Row],[MAR]]="X",TabellaBLENDING[[#This Row],[MER]]="X",TabellaBLENDING[[#This Row],[GIO]]="X",TabellaBLENDING[[#This Row],[VEN]]="X",),"X","")</f>
        <v/>
      </c>
      <c r="D171" s="81" t="s">
        <v>30</v>
      </c>
      <c r="E171" s="81" t="s">
        <v>3126</v>
      </c>
      <c r="F171" s="81" t="s">
        <v>175</v>
      </c>
      <c r="G171" s="81" t="s">
        <v>3127</v>
      </c>
      <c r="H171" s="83"/>
      <c r="I171" s="83"/>
      <c r="J171" s="83"/>
      <c r="K171" s="83"/>
      <c r="L171" s="83"/>
      <c r="M171" s="81" t="s">
        <v>43</v>
      </c>
      <c r="N171" s="81"/>
      <c r="O171" s="81"/>
      <c r="P171" s="81"/>
      <c r="Q171" s="81"/>
      <c r="R171" s="82"/>
      <c r="S171" s="82"/>
      <c r="T171"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1" s="163"/>
    </row>
    <row r="172" spans="1:21" ht="30" x14ac:dyDescent="0.25">
      <c r="A172" s="84"/>
      <c r="B172" s="84"/>
      <c r="C172" s="84" t="str">
        <f>IF(OR(TabellaBLENDING[[#This Row],[LUN]]="X",TabellaBLENDING[[#This Row],[MAR]]="X",TabellaBLENDING[[#This Row],[MER]]="X",TabellaBLENDING[[#This Row],[GIO]]="X",TabellaBLENDING[[#This Row],[VEN]]="X",),"X","")</f>
        <v/>
      </c>
      <c r="D172" s="81" t="s">
        <v>30</v>
      </c>
      <c r="E172" s="81" t="s">
        <v>3128</v>
      </c>
      <c r="F172" s="81" t="s">
        <v>175</v>
      </c>
      <c r="G172" s="81" t="s">
        <v>3129</v>
      </c>
      <c r="H172" s="83"/>
      <c r="I172" s="83"/>
      <c r="J172" s="83"/>
      <c r="K172" s="83"/>
      <c r="L172" s="83"/>
      <c r="M172" s="81" t="s">
        <v>43</v>
      </c>
      <c r="N172" s="81"/>
      <c r="O172" s="81"/>
      <c r="P172" s="81"/>
      <c r="Q172" s="81" t="s">
        <v>3130</v>
      </c>
      <c r="R172" s="82">
        <v>45888</v>
      </c>
      <c r="S172" s="82" t="s">
        <v>535</v>
      </c>
      <c r="T172"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2" s="163"/>
    </row>
    <row r="173" spans="1:21" ht="30" x14ac:dyDescent="0.25">
      <c r="A173" s="84"/>
      <c r="B173" s="84"/>
      <c r="C173" s="84" t="str">
        <f>IF(OR(TabellaBLENDING[[#This Row],[LUN]]="X",TabellaBLENDING[[#This Row],[MAR]]="X",TabellaBLENDING[[#This Row],[MER]]="X",TabellaBLENDING[[#This Row],[GIO]]="X",TabellaBLENDING[[#This Row],[VEN]]="X",),"X","")</f>
        <v/>
      </c>
      <c r="D173" s="81" t="s">
        <v>30</v>
      </c>
      <c r="E173" s="81" t="s">
        <v>3131</v>
      </c>
      <c r="F173" s="81" t="s">
        <v>175</v>
      </c>
      <c r="G173" s="81" t="s">
        <v>3132</v>
      </c>
      <c r="H173" s="83"/>
      <c r="I173" s="83"/>
      <c r="J173" s="83"/>
      <c r="K173" s="83"/>
      <c r="L173" s="83"/>
      <c r="M173" s="81" t="s">
        <v>43</v>
      </c>
      <c r="N173" s="81"/>
      <c r="O173" s="81"/>
      <c r="P173" s="81"/>
      <c r="Q173" s="81"/>
      <c r="R173" s="82"/>
      <c r="S173" s="82"/>
      <c r="T173"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3" s="163"/>
    </row>
    <row r="174" spans="1:21" ht="23.25" x14ac:dyDescent="0.25">
      <c r="A174" s="84"/>
      <c r="B174" s="84"/>
      <c r="C174" s="84" t="str">
        <f>IF(OR(TabellaBLENDING[[#This Row],[LUN]]="X",TabellaBLENDING[[#This Row],[MAR]]="X",TabellaBLENDING[[#This Row],[MER]]="X",TabellaBLENDING[[#This Row],[GIO]]="X",TabellaBLENDING[[#This Row],[VEN]]="X",),"X","")</f>
        <v/>
      </c>
      <c r="D174" s="81" t="s">
        <v>30</v>
      </c>
      <c r="E174" s="81" t="s">
        <v>3133</v>
      </c>
      <c r="F174" s="81" t="s">
        <v>175</v>
      </c>
      <c r="G174" s="81" t="s">
        <v>3134</v>
      </c>
      <c r="H174" s="83"/>
      <c r="I174" s="83"/>
      <c r="J174" s="83"/>
      <c r="K174" s="83"/>
      <c r="L174" s="83"/>
      <c r="M174" s="81" t="s">
        <v>43</v>
      </c>
      <c r="N174" s="81"/>
      <c r="O174" s="81"/>
      <c r="P174" s="81"/>
      <c r="Q174" s="81"/>
      <c r="R174" s="82"/>
      <c r="S174" s="82"/>
      <c r="T174"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4" s="163"/>
    </row>
    <row r="175" spans="1:21" ht="30" x14ac:dyDescent="0.25">
      <c r="A175" s="84"/>
      <c r="B175" s="84"/>
      <c r="C175" s="84" t="str">
        <f>IF(OR(TabellaBLENDING[[#This Row],[LUN]]="X",TabellaBLENDING[[#This Row],[MAR]]="X",TabellaBLENDING[[#This Row],[MER]]="X",TabellaBLENDING[[#This Row],[GIO]]="X",TabellaBLENDING[[#This Row],[VEN]]="X",),"X","")</f>
        <v/>
      </c>
      <c r="D175" s="81" t="s">
        <v>30</v>
      </c>
      <c r="E175" s="81" t="s">
        <v>3135</v>
      </c>
      <c r="F175" s="81" t="s">
        <v>2967</v>
      </c>
      <c r="G175" s="81" t="s">
        <v>3136</v>
      </c>
      <c r="H175" s="83"/>
      <c r="I175" s="83"/>
      <c r="J175" s="83"/>
      <c r="K175" s="83"/>
      <c r="L175" s="83"/>
      <c r="M175" s="81" t="s">
        <v>43</v>
      </c>
      <c r="N175" s="81"/>
      <c r="O175" s="81"/>
      <c r="P175" s="81"/>
      <c r="Q175" s="81"/>
      <c r="R175" s="82"/>
      <c r="S175" s="82"/>
      <c r="T175"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5" s="163"/>
    </row>
    <row r="176" spans="1:21" ht="30" x14ac:dyDescent="0.25">
      <c r="A176" s="84"/>
      <c r="B176" s="84" t="str">
        <f>IF(OR(A176="x",A176="X"),"",IF(ISBLANK(A176),"X",""))</f>
        <v>X</v>
      </c>
      <c r="C176" s="84" t="str">
        <f>IF(OR(TabellaBLENDING[[#This Row],[LUN]]="X",TabellaBLENDING[[#This Row],[MAR]]="X",TabellaBLENDING[[#This Row],[MER]]="X",TabellaBLENDING[[#This Row],[GIO]]="X",TabellaBLENDING[[#This Row],[VEN]]="X",),"X","")</f>
        <v/>
      </c>
      <c r="D176" s="81" t="s">
        <v>30</v>
      </c>
      <c r="E176" s="81" t="s">
        <v>88</v>
      </c>
      <c r="F176" s="81" t="s">
        <v>30</v>
      </c>
      <c r="G176" s="81" t="s">
        <v>83</v>
      </c>
      <c r="H176" s="83"/>
      <c r="I176" s="83"/>
      <c r="J176" s="83"/>
      <c r="K176" s="83"/>
      <c r="L176" s="83"/>
      <c r="M176" s="81" t="s">
        <v>43</v>
      </c>
      <c r="N176" s="81"/>
      <c r="O176" s="81"/>
      <c r="P176" s="81"/>
      <c r="Q176" s="81"/>
      <c r="R176" s="82">
        <v>45894</v>
      </c>
      <c r="S176" s="82" t="s">
        <v>535</v>
      </c>
      <c r="T176"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6" s="140" t="str">
        <f ca="1">IFERROR(MID(G176,_xlfn.AGGREGATE(15,6,(ROW(INDIRECT("1:"&amp;LEN(G176)-7)))/(ISNUMBER(--MID(G176,ROW(INDIRECT("1:"&amp;LEN(G176)-7)),8))),1),8),"")</f>
        <v/>
      </c>
    </row>
    <row r="177" spans="1:21" ht="30" x14ac:dyDescent="0.25">
      <c r="A177" s="84"/>
      <c r="B177" s="84" t="str">
        <f>IF(OR(A177="x",A177="X"),"",IF(ISBLANK(A177),"X",""))</f>
        <v>X</v>
      </c>
      <c r="C177" s="84" t="str">
        <f>IF(OR(TabellaBLENDING[[#This Row],[LUN]]="X",TabellaBLENDING[[#This Row],[MAR]]="X",TabellaBLENDING[[#This Row],[MER]]="X",TabellaBLENDING[[#This Row],[GIO]]="X",TabellaBLENDING[[#This Row],[VEN]]="X",),"X","")</f>
        <v/>
      </c>
      <c r="D177" s="81" t="s">
        <v>30</v>
      </c>
      <c r="E177" s="81" t="s">
        <v>87</v>
      </c>
      <c r="F177" s="81" t="s">
        <v>30</v>
      </c>
      <c r="G177" s="81" t="s">
        <v>82</v>
      </c>
      <c r="H177" s="83"/>
      <c r="I177" s="83"/>
      <c r="J177" s="83"/>
      <c r="K177" s="83"/>
      <c r="L177" s="83"/>
      <c r="M177" s="81" t="s">
        <v>43</v>
      </c>
      <c r="N177" s="81"/>
      <c r="O177" s="81"/>
      <c r="P177" s="81"/>
      <c r="Q177" s="81"/>
      <c r="R177" s="82"/>
      <c r="S177" s="82"/>
      <c r="T177"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7" s="140" t="str">
        <f ca="1">IFERROR(MID(G177,_xlfn.AGGREGATE(15,6,(ROW(INDIRECT("1:"&amp;LEN(G177)-7)))/(ISNUMBER(--MID(G177,ROW(INDIRECT("1:"&amp;LEN(G177)-7)),8))),1),8),"")</f>
        <v/>
      </c>
    </row>
    <row r="178" spans="1:21" ht="30" x14ac:dyDescent="0.25">
      <c r="A178" s="84"/>
      <c r="B178" s="84" t="str">
        <f>IF(OR(A178="x",A178="X"),"",IF(ISBLANK(A178),"X",""))</f>
        <v>X</v>
      </c>
      <c r="C178" s="84" t="str">
        <f>IF(OR(TabellaBLENDING[[#This Row],[LUN]]="X",TabellaBLENDING[[#This Row],[MAR]]="X",TabellaBLENDING[[#This Row],[MER]]="X",TabellaBLENDING[[#This Row],[GIO]]="X",TabellaBLENDING[[#This Row],[VEN]]="X",),"X","")</f>
        <v/>
      </c>
      <c r="D178" s="81" t="s">
        <v>30</v>
      </c>
      <c r="E178" s="81" t="s">
        <v>86</v>
      </c>
      <c r="F178" s="81" t="s">
        <v>30</v>
      </c>
      <c r="G178" s="81" t="s">
        <v>81</v>
      </c>
      <c r="H178" s="83"/>
      <c r="I178" s="83"/>
      <c r="J178" s="83"/>
      <c r="K178" s="83"/>
      <c r="L178" s="83"/>
      <c r="M178" s="81" t="s">
        <v>43</v>
      </c>
      <c r="N178" s="81"/>
      <c r="O178" s="81"/>
      <c r="P178" s="81"/>
      <c r="Q178" s="81"/>
      <c r="R178" s="82"/>
      <c r="S178" s="82"/>
      <c r="T178"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8" s="140" t="str">
        <f ca="1">IFERROR(MID(G178,_xlfn.AGGREGATE(15,6,(ROW(INDIRECT("1:"&amp;LEN(G178)-7)))/(ISNUMBER(--MID(G178,ROW(INDIRECT("1:"&amp;LEN(G178)-7)),8))),1),8),"")</f>
        <v/>
      </c>
    </row>
    <row r="179" spans="1:21" ht="23.25" x14ac:dyDescent="0.25">
      <c r="A179" s="84"/>
      <c r="B179" s="84"/>
      <c r="C179" s="84" t="str">
        <f>IF(OR(TabellaBLENDING[[#This Row],[LUN]]="X",TabellaBLENDING[[#This Row],[MAR]]="X",TabellaBLENDING[[#This Row],[MER]]="X",TabellaBLENDING[[#This Row],[GIO]]="X",TabellaBLENDING[[#This Row],[VEN]]="X",),"X","")</f>
        <v/>
      </c>
      <c r="D179" s="81" t="s">
        <v>30</v>
      </c>
      <c r="E179" s="81" t="s">
        <v>3137</v>
      </c>
      <c r="F179" s="81" t="s">
        <v>2967</v>
      </c>
      <c r="G179" s="81" t="s">
        <v>3138</v>
      </c>
      <c r="H179" s="83"/>
      <c r="I179" s="83"/>
      <c r="J179" s="83"/>
      <c r="K179" s="83"/>
      <c r="L179" s="83"/>
      <c r="M179" s="81" t="s">
        <v>43</v>
      </c>
      <c r="N179" s="81"/>
      <c r="O179" s="81"/>
      <c r="P179" s="81"/>
      <c r="Q179" s="81"/>
      <c r="R179" s="82"/>
      <c r="S179" s="82"/>
      <c r="T179"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9" s="163"/>
    </row>
    <row r="180" spans="1:21" ht="30" x14ac:dyDescent="0.25">
      <c r="A180" s="84"/>
      <c r="B180" s="84"/>
      <c r="C180" s="84" t="str">
        <f>IF(OR(TabellaBLENDING[[#This Row],[LUN]]="X",TabellaBLENDING[[#This Row],[MAR]]="X",TabellaBLENDING[[#This Row],[MER]]="X",TabellaBLENDING[[#This Row],[GIO]]="X",TabellaBLENDING[[#This Row],[VEN]]="X",),"X","")</f>
        <v/>
      </c>
      <c r="D180" s="81" t="s">
        <v>30</v>
      </c>
      <c r="E180" s="81" t="s">
        <v>3139</v>
      </c>
      <c r="F180" s="81">
        <v>1300</v>
      </c>
      <c r="G180" s="81" t="s">
        <v>3140</v>
      </c>
      <c r="H180" s="83"/>
      <c r="I180" s="83"/>
      <c r="J180" s="83"/>
      <c r="K180" s="83"/>
      <c r="L180" s="83"/>
      <c r="M180" s="81" t="s">
        <v>43</v>
      </c>
      <c r="N180" s="81"/>
      <c r="O180" s="81"/>
      <c r="P180" s="81"/>
      <c r="Q180" s="81"/>
      <c r="R180" s="82"/>
      <c r="S180" s="82"/>
      <c r="T180"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0" s="163"/>
    </row>
    <row r="181" spans="1:21" ht="30" x14ac:dyDescent="0.25">
      <c r="A181" s="84"/>
      <c r="B181" s="84"/>
      <c r="C181" s="84" t="str">
        <f>IF(OR(TabellaBLENDING[[#This Row],[LUN]]="X",TabellaBLENDING[[#This Row],[MAR]]="X",TabellaBLENDING[[#This Row],[MER]]="X",TabellaBLENDING[[#This Row],[GIO]]="X",TabellaBLENDING[[#This Row],[VEN]]="X",),"X","")</f>
        <v/>
      </c>
      <c r="D181" s="81" t="s">
        <v>30</v>
      </c>
      <c r="E181" s="81" t="s">
        <v>3141</v>
      </c>
      <c r="F181" s="81">
        <v>1300</v>
      </c>
      <c r="G181" s="81" t="s">
        <v>3142</v>
      </c>
      <c r="H181" s="83"/>
      <c r="I181" s="83"/>
      <c r="J181" s="83"/>
      <c r="K181" s="83"/>
      <c r="L181" s="83"/>
      <c r="M181" s="81" t="s">
        <v>43</v>
      </c>
      <c r="N181" s="81"/>
      <c r="O181" s="81"/>
      <c r="P181" s="81"/>
      <c r="Q181" s="81"/>
      <c r="R181" s="82"/>
      <c r="S181" s="82"/>
      <c r="T181"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1" s="163"/>
    </row>
    <row r="182" spans="1:21" ht="23.25" x14ac:dyDescent="0.25">
      <c r="A182" s="84"/>
      <c r="B182" s="84"/>
      <c r="C182" s="84" t="str">
        <f>IF(OR(TabellaBLENDING[[#This Row],[LUN]]="X",TabellaBLENDING[[#This Row],[MAR]]="X",TabellaBLENDING[[#This Row],[MER]]="X",TabellaBLENDING[[#This Row],[GIO]]="X",TabellaBLENDING[[#This Row],[VEN]]="X",),"X","")</f>
        <v/>
      </c>
      <c r="D182" s="81" t="s">
        <v>30</v>
      </c>
      <c r="E182" s="81" t="s">
        <v>3143</v>
      </c>
      <c r="F182" s="81">
        <v>6200</v>
      </c>
      <c r="G182" s="81" t="s">
        <v>3144</v>
      </c>
      <c r="H182" s="83"/>
      <c r="I182" s="83"/>
      <c r="J182" s="83"/>
      <c r="K182" s="83"/>
      <c r="L182" s="83"/>
      <c r="M182" s="81" t="s">
        <v>43</v>
      </c>
      <c r="N182" s="81"/>
      <c r="O182" s="81"/>
      <c r="P182" s="81"/>
      <c r="Q182" s="81"/>
      <c r="R182" s="82"/>
      <c r="S182" s="82"/>
      <c r="T182"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2" s="163"/>
    </row>
    <row r="183" spans="1:21" ht="45" x14ac:dyDescent="0.25">
      <c r="A183" s="84"/>
      <c r="B183" s="84"/>
      <c r="C183" s="84" t="str">
        <f>IF(OR(TabellaBLENDING[[#This Row],[LUN]]="X",TabellaBLENDING[[#This Row],[MAR]]="X",TabellaBLENDING[[#This Row],[MER]]="X",TabellaBLENDING[[#This Row],[GIO]]="X",TabellaBLENDING[[#This Row],[VEN]]="X",),"X","")</f>
        <v/>
      </c>
      <c r="D183" s="81" t="s">
        <v>30</v>
      </c>
      <c r="E183" s="81" t="s">
        <v>3145</v>
      </c>
      <c r="F183" s="81">
        <v>6500</v>
      </c>
      <c r="G183" s="81" t="s">
        <v>3146</v>
      </c>
      <c r="H183" s="83"/>
      <c r="I183" s="83"/>
      <c r="J183" s="83"/>
      <c r="K183" s="83"/>
      <c r="L183" s="83"/>
      <c r="M183" s="81" t="s">
        <v>43</v>
      </c>
      <c r="N183" s="81"/>
      <c r="O183" s="81"/>
      <c r="P183" s="81"/>
      <c r="Q183" s="81" t="s">
        <v>3147</v>
      </c>
      <c r="R183" s="82">
        <v>45924</v>
      </c>
      <c r="S183" s="82" t="s">
        <v>20</v>
      </c>
      <c r="T183"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3" s="163"/>
    </row>
    <row r="184" spans="1:21" ht="90" x14ac:dyDescent="0.25">
      <c r="A184" s="84"/>
      <c r="B184" s="84"/>
      <c r="C184" s="84" t="str">
        <f>IF(OR(TabellaBLENDING[[#This Row],[LUN]]="X",TabellaBLENDING[[#This Row],[MAR]]="X",TabellaBLENDING[[#This Row],[MER]]="X",TabellaBLENDING[[#This Row],[GIO]]="X",TabellaBLENDING[[#This Row],[VEN]]="X",),"X","")</f>
        <v/>
      </c>
      <c r="D184" s="81" t="s">
        <v>30</v>
      </c>
      <c r="E184" s="81" t="s">
        <v>3148</v>
      </c>
      <c r="F184" s="81">
        <v>6200</v>
      </c>
      <c r="G184" s="81" t="s">
        <v>3149</v>
      </c>
      <c r="H184" s="83"/>
      <c r="I184" s="83"/>
      <c r="J184" s="83"/>
      <c r="K184" s="83"/>
      <c r="L184" s="83"/>
      <c r="M184" s="81" t="s">
        <v>43</v>
      </c>
      <c r="N184" s="81"/>
      <c r="O184" s="81"/>
      <c r="P184" s="81"/>
      <c r="Q184" s="81" t="s">
        <v>3150</v>
      </c>
      <c r="R184" s="82">
        <v>45924</v>
      </c>
      <c r="S184" s="82" t="s">
        <v>535</v>
      </c>
      <c r="T184"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4" s="163"/>
    </row>
    <row r="185" spans="1:21" ht="23.25" x14ac:dyDescent="0.25">
      <c r="A185" s="84"/>
      <c r="B185" s="84"/>
      <c r="C185" s="84" t="str">
        <f>IF(OR(TabellaBLENDING[[#This Row],[LUN]]="X",TabellaBLENDING[[#This Row],[MAR]]="X",TabellaBLENDING[[#This Row],[MER]]="X",TabellaBLENDING[[#This Row],[GIO]]="X",TabellaBLENDING[[#This Row],[VEN]]="X",),"X","")</f>
        <v/>
      </c>
      <c r="D185" s="81" t="s">
        <v>30</v>
      </c>
      <c r="E185" s="81" t="s">
        <v>3151</v>
      </c>
      <c r="F185" s="81">
        <v>6500</v>
      </c>
      <c r="G185" s="81" t="s">
        <v>3146</v>
      </c>
      <c r="H185" s="83"/>
      <c r="I185" s="83"/>
      <c r="J185" s="83"/>
      <c r="K185" s="83"/>
      <c r="L185" s="83"/>
      <c r="M185" s="81" t="s">
        <v>43</v>
      </c>
      <c r="N185" s="81"/>
      <c r="O185" s="81"/>
      <c r="P185" s="81"/>
      <c r="Q185" s="81"/>
      <c r="R185" s="82"/>
      <c r="S185" s="82"/>
      <c r="T185"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5" s="163"/>
    </row>
    <row r="186" spans="1:21" ht="23.25" x14ac:dyDescent="0.25">
      <c r="A186" s="84"/>
      <c r="B186" s="84"/>
      <c r="C186" s="84" t="str">
        <f>IF(OR(TabellaBLENDING[[#This Row],[LUN]]="X",TabellaBLENDING[[#This Row],[MAR]]="X",TabellaBLENDING[[#This Row],[MER]]="X",TabellaBLENDING[[#This Row],[GIO]]="X",TabellaBLENDING[[#This Row],[VEN]]="X",),"X","")</f>
        <v/>
      </c>
      <c r="D186" s="81" t="s">
        <v>30</v>
      </c>
      <c r="E186" s="81" t="s">
        <v>3152</v>
      </c>
      <c r="F186" s="81" t="s">
        <v>2967</v>
      </c>
      <c r="G186" s="81" t="s">
        <v>3153</v>
      </c>
      <c r="H186" s="83"/>
      <c r="I186" s="83"/>
      <c r="J186" s="83"/>
      <c r="K186" s="83"/>
      <c r="L186" s="83"/>
      <c r="M186" s="81" t="s">
        <v>43</v>
      </c>
      <c r="N186" s="81"/>
      <c r="O186" s="81"/>
      <c r="P186" s="81"/>
      <c r="Q186" s="81"/>
      <c r="R186" s="82"/>
      <c r="S186" s="82"/>
      <c r="T186"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6" s="163"/>
    </row>
    <row r="187" spans="1:21" ht="23.25" x14ac:dyDescent="0.25">
      <c r="A187" s="84"/>
      <c r="B187" s="84"/>
      <c r="C187" s="84" t="str">
        <f>IF(OR(TabellaBLENDING[[#This Row],[LUN]]="X",TabellaBLENDING[[#This Row],[MAR]]="X",TabellaBLENDING[[#This Row],[MER]]="X",TabellaBLENDING[[#This Row],[GIO]]="X",TabellaBLENDING[[#This Row],[VEN]]="X",),"X","")</f>
        <v/>
      </c>
      <c r="D187" s="81" t="s">
        <v>30</v>
      </c>
      <c r="E187" s="81" t="s">
        <v>3154</v>
      </c>
      <c r="F187" s="81">
        <v>6400</v>
      </c>
      <c r="G187" s="81" t="s">
        <v>3155</v>
      </c>
      <c r="H187" s="83"/>
      <c r="I187" s="83"/>
      <c r="J187" s="83"/>
      <c r="K187" s="83"/>
      <c r="L187" s="83"/>
      <c r="M187" s="81" t="s">
        <v>43</v>
      </c>
      <c r="N187" s="81"/>
      <c r="O187" s="81"/>
      <c r="P187" s="81"/>
      <c r="Q187" s="81"/>
      <c r="R187" s="82"/>
      <c r="S187" s="82"/>
      <c r="T187"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7" s="163"/>
    </row>
    <row r="188" spans="1:21" ht="23.25" x14ac:dyDescent="0.25">
      <c r="A188" s="84"/>
      <c r="B188" s="84"/>
      <c r="C188" s="84" t="str">
        <f>IF(OR(TabellaBLENDING[[#This Row],[LUN]]="X",TabellaBLENDING[[#This Row],[MAR]]="X",TabellaBLENDING[[#This Row],[MER]]="X",TabellaBLENDING[[#This Row],[GIO]]="X",TabellaBLENDING[[#This Row],[VEN]]="X",),"X","")</f>
        <v/>
      </c>
      <c r="D188" s="81" t="s">
        <v>30</v>
      </c>
      <c r="E188" s="81" t="s">
        <v>3156</v>
      </c>
      <c r="F188" s="81">
        <v>6500</v>
      </c>
      <c r="G188" s="81" t="s">
        <v>3157</v>
      </c>
      <c r="H188" s="83"/>
      <c r="I188" s="83"/>
      <c r="J188" s="83"/>
      <c r="K188" s="83"/>
      <c r="L188" s="83"/>
      <c r="M188" s="81" t="s">
        <v>43</v>
      </c>
      <c r="N188" s="81"/>
      <c r="O188" s="81"/>
      <c r="P188" s="81"/>
      <c r="Q188" s="81"/>
      <c r="R188" s="82"/>
      <c r="S188" s="82"/>
      <c r="T188"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8" s="163"/>
    </row>
    <row r="189" spans="1:21" ht="23.25" x14ac:dyDescent="0.25">
      <c r="A189" s="84"/>
      <c r="B189" s="84"/>
      <c r="C189" s="84" t="str">
        <f>IF(OR(TabellaBLENDING[[#This Row],[LUN]]="X",TabellaBLENDING[[#This Row],[MAR]]="X",TabellaBLENDING[[#This Row],[MER]]="X",TabellaBLENDING[[#This Row],[GIO]]="X",TabellaBLENDING[[#This Row],[VEN]]="X",),"X","")</f>
        <v/>
      </c>
      <c r="D189" s="81" t="s">
        <v>30</v>
      </c>
      <c r="E189" s="81" t="s">
        <v>3158</v>
      </c>
      <c r="F189" s="81">
        <v>6200</v>
      </c>
      <c r="G189" s="81" t="s">
        <v>3159</v>
      </c>
      <c r="H189" s="83"/>
      <c r="I189" s="83"/>
      <c r="J189" s="83"/>
      <c r="K189" s="83"/>
      <c r="L189" s="83"/>
      <c r="M189" s="81" t="s">
        <v>43</v>
      </c>
      <c r="N189" s="81"/>
      <c r="O189" s="81"/>
      <c r="P189" s="81"/>
      <c r="Q189" s="81"/>
      <c r="R189" s="82"/>
      <c r="S189" s="82"/>
      <c r="T189"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9" s="163"/>
    </row>
    <row r="190" spans="1:21" ht="23.25" x14ac:dyDescent="0.25">
      <c r="A190" s="84"/>
      <c r="B190" s="84"/>
      <c r="C190" s="84" t="str">
        <f>IF(OR(TabellaBLENDING[[#This Row],[LUN]]="X",TabellaBLENDING[[#This Row],[MAR]]="X",TabellaBLENDING[[#This Row],[MER]]="X",TabellaBLENDING[[#This Row],[GIO]]="X",TabellaBLENDING[[#This Row],[VEN]]="X",),"X","")</f>
        <v/>
      </c>
      <c r="D190" s="81" t="s">
        <v>30</v>
      </c>
      <c r="E190" s="81" t="s">
        <v>3160</v>
      </c>
      <c r="F190" s="81">
        <v>6500</v>
      </c>
      <c r="G190" s="81" t="s">
        <v>3161</v>
      </c>
      <c r="H190" s="83"/>
      <c r="I190" s="83"/>
      <c r="J190" s="83"/>
      <c r="K190" s="83"/>
      <c r="L190" s="83"/>
      <c r="M190" s="81" t="s">
        <v>43</v>
      </c>
      <c r="N190" s="81"/>
      <c r="O190" s="81"/>
      <c r="P190" s="81"/>
      <c r="Q190" s="81"/>
      <c r="R190" s="82"/>
      <c r="S190" s="82"/>
      <c r="T190"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90" s="163"/>
    </row>
    <row r="191" spans="1:21" ht="23.25" x14ac:dyDescent="0.25">
      <c r="A191" s="84"/>
      <c r="B191" s="84"/>
      <c r="C191" s="84" t="str">
        <f>IF(OR(TabellaBLENDING[[#This Row],[LUN]]="X",TabellaBLENDING[[#This Row],[MAR]]="X",TabellaBLENDING[[#This Row],[MER]]="X",TabellaBLENDING[[#This Row],[GIO]]="X",TabellaBLENDING[[#This Row],[VEN]]="X",),"X","")</f>
        <v/>
      </c>
      <c r="D191" s="81" t="s">
        <v>30</v>
      </c>
      <c r="E191" s="81" t="s">
        <v>3162</v>
      </c>
      <c r="F191" s="81" t="s">
        <v>2967</v>
      </c>
      <c r="G191" s="81" t="s">
        <v>3163</v>
      </c>
      <c r="H191" s="83"/>
      <c r="I191" s="83"/>
      <c r="J191" s="83"/>
      <c r="K191" s="83"/>
      <c r="L191" s="83"/>
      <c r="M191" s="81" t="s">
        <v>43</v>
      </c>
      <c r="N191" s="81"/>
      <c r="O191" s="81"/>
      <c r="P191" s="81"/>
      <c r="Q191" s="81"/>
      <c r="R191" s="82"/>
      <c r="S191" s="82"/>
      <c r="T191"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91" s="163"/>
    </row>
    <row r="192" spans="1:21" ht="45" x14ac:dyDescent="0.25">
      <c r="A192" s="84"/>
      <c r="B192" s="84"/>
      <c r="C192" s="84" t="str">
        <f>IF(OR(TabellaBLENDING[[#This Row],[LUN]]="X",TabellaBLENDING[[#This Row],[MAR]]="X",TabellaBLENDING[[#This Row],[MER]]="X",TabellaBLENDING[[#This Row],[GIO]]="X",TabellaBLENDING[[#This Row],[VEN]]="X",),"X","")</f>
        <v/>
      </c>
      <c r="D192" s="81" t="s">
        <v>30</v>
      </c>
      <c r="E192" s="81" t="s">
        <v>3164</v>
      </c>
      <c r="F192" s="81">
        <v>9000</v>
      </c>
      <c r="G192" s="81" t="s">
        <v>3165</v>
      </c>
      <c r="H192" s="83"/>
      <c r="I192" s="83"/>
      <c r="J192" s="83"/>
      <c r="K192" s="83"/>
      <c r="L192" s="83"/>
      <c r="M192" s="81" t="s">
        <v>43</v>
      </c>
      <c r="N192" s="81"/>
      <c r="O192" s="81"/>
      <c r="P192" s="81"/>
      <c r="Q192" s="81" t="s">
        <v>3166</v>
      </c>
      <c r="R192" s="82">
        <v>45944</v>
      </c>
      <c r="S192" s="82" t="s">
        <v>23</v>
      </c>
      <c r="T192"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92" s="125"/>
    </row>
    <row r="193" spans="1:21" ht="30" x14ac:dyDescent="0.25">
      <c r="A193" s="84"/>
      <c r="B193" s="84"/>
      <c r="C193" s="84" t="str">
        <f>IF(OR(TabellaBLENDING[[#This Row],[LUN]]="X",TabellaBLENDING[[#This Row],[MAR]]="X",TabellaBLENDING[[#This Row],[MER]]="X",TabellaBLENDING[[#This Row],[GIO]]="X",TabellaBLENDING[[#This Row],[VEN]]="X",),"X","")</f>
        <v/>
      </c>
      <c r="D193" s="81" t="s">
        <v>30</v>
      </c>
      <c r="E193" s="81" t="s">
        <v>3167</v>
      </c>
      <c r="F193" s="81">
        <v>6300</v>
      </c>
      <c r="G193" s="81" t="s">
        <v>3168</v>
      </c>
      <c r="H193" s="83"/>
      <c r="I193" s="83"/>
      <c r="J193" s="83"/>
      <c r="K193" s="83"/>
      <c r="L193" s="83"/>
      <c r="M193" s="81" t="s">
        <v>43</v>
      </c>
      <c r="N193" s="81"/>
      <c r="O193" s="81"/>
      <c r="P193" s="81"/>
      <c r="Q193" s="81" t="s">
        <v>3169</v>
      </c>
      <c r="R193" s="82">
        <v>45945</v>
      </c>
      <c r="S193" s="82" t="s">
        <v>23</v>
      </c>
      <c r="T193"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93" s="163"/>
    </row>
    <row r="194" spans="1:21" ht="23.25" x14ac:dyDescent="0.25">
      <c r="A194" s="84"/>
      <c r="B194" s="84"/>
      <c r="C194" s="84" t="str">
        <f>IF(OR(TabellaBLENDING[[#This Row],[LUN]]="X",TabellaBLENDING[[#This Row],[MAR]]="X",TabellaBLENDING[[#This Row],[MER]]="X",TabellaBLENDING[[#This Row],[GIO]]="X",TabellaBLENDING[[#This Row],[VEN]]="X",),"X","")</f>
        <v/>
      </c>
      <c r="D194" s="81" t="s">
        <v>30</v>
      </c>
      <c r="E194" s="81" t="s">
        <v>3170</v>
      </c>
      <c r="F194" s="81">
        <v>1300</v>
      </c>
      <c r="G194" s="81" t="s">
        <v>3171</v>
      </c>
      <c r="H194" s="83"/>
      <c r="I194" s="83"/>
      <c r="J194" s="83"/>
      <c r="K194" s="83"/>
      <c r="L194" s="83"/>
      <c r="M194" s="81" t="s">
        <v>43</v>
      </c>
      <c r="N194" s="81"/>
      <c r="O194" s="81"/>
      <c r="P194" s="81"/>
      <c r="Q194" s="81"/>
      <c r="R194" s="82"/>
      <c r="S194" s="82"/>
      <c r="T194"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94" s="125"/>
    </row>
    <row r="195" spans="1:21" ht="23.25" x14ac:dyDescent="0.25">
      <c r="A195" s="84"/>
      <c r="B195" s="84"/>
      <c r="C195" s="84" t="str">
        <f>IF(OR(TabellaBLENDING[[#This Row],[LUN]]="X",TabellaBLENDING[[#This Row],[MAR]]="X",TabellaBLENDING[[#This Row],[MER]]="X",TabellaBLENDING[[#This Row],[GIO]]="X",TabellaBLENDING[[#This Row],[VEN]]="X",),"X","")</f>
        <v/>
      </c>
      <c r="D195" s="81" t="s">
        <v>30</v>
      </c>
      <c r="E195" s="81" t="s">
        <v>3172</v>
      </c>
      <c r="F195" s="81">
        <v>1300</v>
      </c>
      <c r="G195" s="81" t="s">
        <v>3171</v>
      </c>
      <c r="H195" s="83"/>
      <c r="I195" s="83"/>
      <c r="J195" s="83"/>
      <c r="K195" s="83"/>
      <c r="L195" s="83"/>
      <c r="M195" s="81" t="s">
        <v>43</v>
      </c>
      <c r="N195" s="81"/>
      <c r="O195" s="81"/>
      <c r="P195" s="81"/>
      <c r="Q195" s="81"/>
      <c r="R195" s="82"/>
      <c r="S195" s="82"/>
      <c r="T195"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95" s="125"/>
    </row>
    <row r="196" spans="1:21" ht="23.25" x14ac:dyDescent="0.25">
      <c r="A196" s="84"/>
      <c r="B196" s="84"/>
      <c r="C196" s="84" t="str">
        <f>IF(OR(TabellaBLENDING[[#This Row],[LUN]]="X",TabellaBLENDING[[#This Row],[MAR]]="X",TabellaBLENDING[[#This Row],[MER]]="X",TabellaBLENDING[[#This Row],[GIO]]="X",TabellaBLENDING[[#This Row],[VEN]]="X",),"X","")</f>
        <v>X</v>
      </c>
      <c r="D196" s="81" t="s">
        <v>30</v>
      </c>
      <c r="E196" s="81" t="s">
        <v>3173</v>
      </c>
      <c r="F196" s="81">
        <v>6500</v>
      </c>
      <c r="G196" s="81" t="s">
        <v>3174</v>
      </c>
      <c r="H196" s="83" t="s">
        <v>8</v>
      </c>
      <c r="I196" s="83" t="s">
        <v>8</v>
      </c>
      <c r="J196" s="83"/>
      <c r="K196" s="83"/>
      <c r="L196" s="83"/>
      <c r="M196" s="81" t="s">
        <v>43</v>
      </c>
      <c r="N196" s="81"/>
      <c r="O196" s="81"/>
      <c r="P196" s="81"/>
      <c r="Q196" s="81"/>
      <c r="R196" s="82"/>
      <c r="S196" s="82"/>
      <c r="T196"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96" s="125"/>
    </row>
    <row r="197" spans="1:21" ht="23.25" x14ac:dyDescent="0.25">
      <c r="A197" s="84"/>
      <c r="B197" s="84"/>
      <c r="C197" s="84" t="str">
        <f>IF(OR(TabellaBLENDING[[#This Row],[LUN]]="X",TabellaBLENDING[[#This Row],[MAR]]="X",TabellaBLENDING[[#This Row],[MER]]="X",TabellaBLENDING[[#This Row],[GIO]]="X",TabellaBLENDING[[#This Row],[VEN]]="X",),"X","")</f>
        <v>X</v>
      </c>
      <c r="D197" s="81" t="s">
        <v>30</v>
      </c>
      <c r="E197" s="81" t="s">
        <v>3180</v>
      </c>
      <c r="F197" s="81">
        <v>9000</v>
      </c>
      <c r="G197" s="81" t="s">
        <v>3181</v>
      </c>
      <c r="H197" s="83"/>
      <c r="I197" s="83" t="s">
        <v>8</v>
      </c>
      <c r="J197" s="83" t="s">
        <v>8</v>
      </c>
      <c r="K197" s="83" t="s">
        <v>8</v>
      </c>
      <c r="L197" s="83"/>
      <c r="M197" s="81" t="s">
        <v>43</v>
      </c>
      <c r="N197" s="81"/>
      <c r="O197" s="81"/>
      <c r="P197" s="81"/>
      <c r="Q197" s="81"/>
      <c r="R197" s="82">
        <v>45951</v>
      </c>
      <c r="S197" s="82" t="s">
        <v>45</v>
      </c>
      <c r="T197"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97" s="125"/>
    </row>
    <row r="198" spans="1:21" ht="23.25" x14ac:dyDescent="0.25">
      <c r="A198" s="84"/>
      <c r="B198" s="84"/>
      <c r="C198" s="84" t="str">
        <f>IF(OR(TabellaBLENDING[[#This Row],[LUN]]="X",TabellaBLENDING[[#This Row],[MAR]]="X",TabellaBLENDING[[#This Row],[MER]]="X",TabellaBLENDING[[#This Row],[GIO]]="X",TabellaBLENDING[[#This Row],[VEN]]="X",),"X","")</f>
        <v>X</v>
      </c>
      <c r="D198" s="81" t="s">
        <v>30</v>
      </c>
      <c r="E198" s="81" t="s">
        <v>3178</v>
      </c>
      <c r="F198" s="81">
        <v>6300</v>
      </c>
      <c r="G198" s="81" t="s">
        <v>3179</v>
      </c>
      <c r="H198" s="83"/>
      <c r="I198" s="83"/>
      <c r="J198" s="83" t="s">
        <v>8</v>
      </c>
      <c r="K198" s="83" t="s">
        <v>8</v>
      </c>
      <c r="L198" s="83" t="s">
        <v>8</v>
      </c>
      <c r="M198" s="81" t="s">
        <v>43</v>
      </c>
      <c r="N198" s="81"/>
      <c r="O198" s="81"/>
      <c r="P198" s="81"/>
      <c r="Q198" s="81"/>
      <c r="R198" s="82">
        <v>45951</v>
      </c>
      <c r="S198" s="82" t="s">
        <v>535</v>
      </c>
      <c r="T198"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98" s="125"/>
    </row>
    <row r="199" spans="1:21" ht="30" x14ac:dyDescent="0.25">
      <c r="A199" s="84"/>
      <c r="B199" s="84"/>
      <c r="C199" s="84" t="str">
        <f>IF(OR(TabellaBLENDING[[#This Row],[LUN]]="X",TabellaBLENDING[[#This Row],[MAR]]="X",TabellaBLENDING[[#This Row],[MER]]="X",TabellaBLENDING[[#This Row],[GIO]]="X",TabellaBLENDING[[#This Row],[VEN]]="X",),"X","")</f>
        <v>X</v>
      </c>
      <c r="D199" s="81" t="s">
        <v>30</v>
      </c>
      <c r="E199" s="81" t="s">
        <v>3027</v>
      </c>
      <c r="F199" s="81" t="s">
        <v>2967</v>
      </c>
      <c r="G199" s="81" t="s">
        <v>3028</v>
      </c>
      <c r="H199" s="83"/>
      <c r="I199" s="83"/>
      <c r="J199" s="83"/>
      <c r="K199" s="83"/>
      <c r="L199" s="83" t="s">
        <v>8</v>
      </c>
      <c r="M199" s="81" t="s">
        <v>121</v>
      </c>
      <c r="N199" s="81"/>
      <c r="O199" s="81"/>
      <c r="P199" s="81"/>
      <c r="Q199" s="81"/>
      <c r="R199" s="82"/>
      <c r="S199" s="82"/>
      <c r="T199"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99" s="125"/>
    </row>
    <row r="200" spans="1:21" ht="23.25" x14ac:dyDescent="0.25">
      <c r="A200" s="84"/>
      <c r="B200" s="84"/>
      <c r="C200" s="84" t="str">
        <f>IF(OR(TabellaBLENDING[[#This Row],[LUN]]="X",TabellaBLENDING[[#This Row],[MAR]]="X",TabellaBLENDING[[#This Row],[MER]]="X",TabellaBLENDING[[#This Row],[GIO]]="X",TabellaBLENDING[[#This Row],[VEN]]="X",),"X","")</f>
        <v>X</v>
      </c>
      <c r="D200" s="81" t="s">
        <v>30</v>
      </c>
      <c r="E200" s="81" t="s">
        <v>3175</v>
      </c>
      <c r="F200" s="81">
        <v>6300</v>
      </c>
      <c r="G200" s="81" t="s">
        <v>3176</v>
      </c>
      <c r="H200" s="83"/>
      <c r="I200" s="83"/>
      <c r="J200" s="83" t="s">
        <v>8</v>
      </c>
      <c r="K200" s="83" t="s">
        <v>8</v>
      </c>
      <c r="L200" s="83" t="s">
        <v>8</v>
      </c>
      <c r="M200" s="81" t="s">
        <v>121</v>
      </c>
      <c r="N200" s="81"/>
      <c r="O200" s="81"/>
      <c r="P200" s="81"/>
      <c r="Q200" s="81" t="s">
        <v>3177</v>
      </c>
      <c r="R200" s="82">
        <v>45951</v>
      </c>
      <c r="S200" s="82" t="s">
        <v>535</v>
      </c>
      <c r="T200"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00" s="125"/>
    </row>
    <row r="201" spans="1:21" ht="30" x14ac:dyDescent="0.25">
      <c r="A201" s="84"/>
      <c r="B201" s="84" t="str">
        <f>IF(OR(A201="x",A201="X"),"",IF(ISBLANK(A201),"X",""))</f>
        <v>X</v>
      </c>
      <c r="C201" s="84" t="str">
        <f>IF(OR(TabellaBLENDING[[#This Row],[LUN]]="X",TabellaBLENDING[[#This Row],[MAR]]="X",TabellaBLENDING[[#This Row],[MER]]="X",TabellaBLENDING[[#This Row],[GIO]]="X",TabellaBLENDING[[#This Row],[VEN]]="X",),"X","")</f>
        <v/>
      </c>
      <c r="D201" s="81" t="s">
        <v>30</v>
      </c>
      <c r="E201" s="81" t="s">
        <v>3182</v>
      </c>
      <c r="F201" s="81" t="s">
        <v>2815</v>
      </c>
      <c r="G201" s="81" t="s">
        <v>3183</v>
      </c>
      <c r="H201" s="83"/>
      <c r="I201" s="83"/>
      <c r="J201" s="83"/>
      <c r="K201" s="83"/>
      <c r="L201" s="83"/>
      <c r="M201" s="81" t="s">
        <v>51</v>
      </c>
      <c r="N201" s="81"/>
      <c r="O201" s="81"/>
      <c r="P201" s="81"/>
      <c r="Q201" s="81" t="s">
        <v>3184</v>
      </c>
      <c r="R201" s="82">
        <v>45712</v>
      </c>
      <c r="S201" s="82" t="s">
        <v>38</v>
      </c>
      <c r="T201" s="138"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01" s="159" t="str">
        <f ca="1">IFERROR(MID(G201,_xlfn.AGGREGATE(15,6,(ROW(INDIRECT("1:"&amp;LEN(G201)-7)))/(ISNUMBER(--MID(G201,ROW(INDIRECT("1:"&amp;LEN(G201)-7)),8))),1),8),"")</f>
        <v/>
      </c>
    </row>
    <row r="202" spans="1:21" ht="30" x14ac:dyDescent="0.25">
      <c r="A202" s="84"/>
      <c r="B202" s="84" t="str">
        <f>IF(OR(A202="x",A202="X"),"",IF(ISBLANK(A202),"X",""))</f>
        <v>X</v>
      </c>
      <c r="C202" s="84" t="str">
        <f>IF(OR(TabellaBLENDING[[#This Row],[LUN]]="X",TabellaBLENDING[[#This Row],[MAR]]="X",TabellaBLENDING[[#This Row],[MER]]="X",TabellaBLENDING[[#This Row],[GIO]]="X",TabellaBLENDING[[#This Row],[VEN]]="X",),"X","")</f>
        <v/>
      </c>
      <c r="D202" s="81" t="s">
        <v>30</v>
      </c>
      <c r="E202" s="81" t="s">
        <v>3185</v>
      </c>
      <c r="F202" s="81" t="s">
        <v>30</v>
      </c>
      <c r="G202" s="81" t="s">
        <v>3186</v>
      </c>
      <c r="H202" s="83"/>
      <c r="I202" s="83"/>
      <c r="J202" s="83"/>
      <c r="K202" s="83"/>
      <c r="L202" s="83"/>
      <c r="M202" s="81" t="s">
        <v>51</v>
      </c>
      <c r="N202" s="81"/>
      <c r="O202" s="81"/>
      <c r="P202" s="81"/>
      <c r="Q202" s="81" t="s">
        <v>3187</v>
      </c>
      <c r="R202" s="82">
        <v>45700</v>
      </c>
      <c r="S202" s="82" t="s">
        <v>254</v>
      </c>
      <c r="T202" s="8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02" s="159" t="str">
        <f ca="1">IFERROR(MID(G202,_xlfn.AGGREGATE(15,6,(ROW(INDIRECT("1:"&amp;LEN(G202)-7)))/(ISNUMBER(--MID(G202,ROW(INDIRECT("1:"&amp;LEN(G202)-7)),8))),1),8),"")</f>
        <v/>
      </c>
    </row>
    <row r="203" spans="1:21" ht="23.25" x14ac:dyDescent="0.25">
      <c r="A203" s="84"/>
      <c r="B203" s="84"/>
      <c r="C203" s="84" t="str">
        <f>IF(OR(TabellaBLENDING[[#This Row],[LUN]]="X",TabellaBLENDING[[#This Row],[MAR]]="X",TabellaBLENDING[[#This Row],[MER]]="X",TabellaBLENDING[[#This Row],[GIO]]="X",TabellaBLENDING[[#This Row],[VEN]]="X",),"X","")</f>
        <v/>
      </c>
      <c r="D203" s="81" t="s">
        <v>30</v>
      </c>
      <c r="E203" s="81" t="s">
        <v>115</v>
      </c>
      <c r="F203" s="81">
        <v>6000</v>
      </c>
      <c r="G203" s="81" t="s">
        <v>114</v>
      </c>
      <c r="H203" s="83"/>
      <c r="I203" s="83"/>
      <c r="J203" s="83"/>
      <c r="K203" s="83"/>
      <c r="L203" s="83"/>
      <c r="M203" s="81" t="s">
        <v>3188</v>
      </c>
      <c r="N203" s="81"/>
      <c r="O203" s="81"/>
      <c r="P203" s="81"/>
      <c r="Q203" s="81"/>
      <c r="R203" s="82"/>
      <c r="S203" s="82"/>
      <c r="T203"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03" s="141" t="str">
        <f ca="1">IFERROR(MID(G203,_xlfn.AGGREGATE(15,6,(ROW(INDIRECT("1:"&amp;LEN(G203)-7)))/(ISNUMBER(--MID(G203,ROW(INDIRECT("1:"&amp;LEN(G203)-7)),8))),1),8),"")</f>
        <v/>
      </c>
    </row>
    <row r="204" spans="1:21" ht="23.25" x14ac:dyDescent="0.25">
      <c r="A204" s="84"/>
      <c r="B204" s="84"/>
      <c r="C204" s="84" t="str">
        <f>IF(OR(TabellaBLENDING[[#This Row],[LUN]]="X",TabellaBLENDING[[#This Row],[MAR]]="X",TabellaBLENDING[[#This Row],[MER]]="X",TabellaBLENDING[[#This Row],[GIO]]="X",TabellaBLENDING[[#This Row],[VEN]]="X",),"X","")</f>
        <v/>
      </c>
      <c r="D204" s="81" t="s">
        <v>30</v>
      </c>
      <c r="E204" s="81" t="s">
        <v>116</v>
      </c>
      <c r="F204" s="81">
        <v>6000</v>
      </c>
      <c r="G204" s="81" t="s">
        <v>117</v>
      </c>
      <c r="H204" s="83"/>
      <c r="I204" s="83"/>
      <c r="J204" s="83"/>
      <c r="K204" s="83"/>
      <c r="L204" s="83"/>
      <c r="M204" s="81" t="s">
        <v>3188</v>
      </c>
      <c r="N204" s="81"/>
      <c r="O204" s="81"/>
      <c r="P204" s="81"/>
      <c r="Q204" s="81"/>
      <c r="R204" s="82"/>
      <c r="S204" s="82"/>
      <c r="T204" s="150"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04" s="141" t="str">
        <f ca="1">IFERROR(MID(G204,_xlfn.AGGREGATE(15,6,(ROW(INDIRECT("1:"&amp;LEN(G204)-7)))/(ISNUMBER(--MID(G204,ROW(INDIRECT("1:"&amp;LEN(G204)-7)),8))),1),8),"")</f>
        <v/>
      </c>
    </row>
  </sheetData>
  <mergeCells count="2">
    <mergeCell ref="A1:D1"/>
    <mergeCell ref="N2:P2"/>
  </mergeCells>
  <conditionalFormatting sqref="N9:S9">
    <cfRule type="expression" dxfId="4190" priority="175">
      <formula>SEARCH("IN CORSO",$M9)&gt;0</formula>
    </cfRule>
    <cfRule type="expression" dxfId="4189" priority="176">
      <formula>SEARCH("CHIUSO",$M9)&gt;0</formula>
    </cfRule>
    <cfRule type="expression" dxfId="4188" priority="177">
      <formula>SEARCH("EMESSO",$M9)&gt;0</formula>
    </cfRule>
    <cfRule type="expression" dxfId="4187" priority="178">
      <formula>SEARCH("RICHIESTO",$M9)&gt;0</formula>
    </cfRule>
    <cfRule type="expression" dxfId="4186" priority="179">
      <formula>SEARCH("DA CHIUDERE",$M9)&gt;0</formula>
    </cfRule>
    <cfRule type="expression" dxfId="4185" priority="180">
      <formula>SEARCH("INTERROTTO",$M9)&gt;0</formula>
    </cfRule>
  </conditionalFormatting>
  <conditionalFormatting sqref="E9">
    <cfRule type="expression" dxfId="4184" priority="169">
      <formula>SEARCH("IN CORSO",$M9)&gt;0</formula>
    </cfRule>
    <cfRule type="expression" dxfId="4183" priority="170">
      <formula>SEARCH("CHIUSO",$M9)&gt;0</formula>
    </cfRule>
    <cfRule type="expression" dxfId="4182" priority="171">
      <formula>SEARCH("EMESSO",$M9)&gt;0</formula>
    </cfRule>
    <cfRule type="expression" dxfId="4181" priority="172">
      <formula>SEARCH("RICHIESTO",$M9)&gt;0</formula>
    </cfRule>
    <cfRule type="expression" dxfId="4180" priority="173">
      <formula>SEARCH("DA CHIUDERE",$M9)&gt;0</formula>
    </cfRule>
    <cfRule type="expression" dxfId="4179" priority="174">
      <formula>SEARCH("INTERROTTO",$M9)&gt;0</formula>
    </cfRule>
  </conditionalFormatting>
  <conditionalFormatting sqref="G9">
    <cfRule type="expression" dxfId="4178" priority="163">
      <formula>SEARCH("IN CORSO",$M9)&gt;0</formula>
    </cfRule>
    <cfRule type="expression" dxfId="4177" priority="164">
      <formula>SEARCH("CHIUSO",$M9)&gt;0</formula>
    </cfRule>
    <cfRule type="expression" dxfId="4176" priority="165">
      <formula>SEARCH("EMESSO",$M9)&gt;0</formula>
    </cfRule>
    <cfRule type="expression" dxfId="4175" priority="166">
      <formula>SEARCH("RICHIESTO",$M9)&gt;0</formula>
    </cfRule>
    <cfRule type="expression" dxfId="4174" priority="167">
      <formula>SEARCH("DA CHIUDERE",$M9)&gt;0</formula>
    </cfRule>
    <cfRule type="expression" dxfId="4173" priority="168">
      <formula>SEARCH("INTERROTTO",$M9)&gt;0</formula>
    </cfRule>
  </conditionalFormatting>
  <conditionalFormatting sqref="F9">
    <cfRule type="expression" dxfId="4172" priority="157">
      <formula>SEARCH("IN CORSO",$M9)&gt;0</formula>
    </cfRule>
    <cfRule type="expression" dxfId="4171" priority="158">
      <formula>SEARCH("CHIUSO",$M9)&gt;0</formula>
    </cfRule>
    <cfRule type="expression" dxfId="4170" priority="159">
      <formula>SEARCH("EMESSO",$M9)&gt;0</formula>
    </cfRule>
    <cfRule type="expression" dxfId="4169" priority="160">
      <formula>SEARCH("RICHIESTO",$M9)&gt;0</formula>
    </cfRule>
    <cfRule type="expression" dxfId="4168" priority="161">
      <formula>SEARCH("DA CHIUDERE",$M9)&gt;0</formula>
    </cfRule>
    <cfRule type="expression" dxfId="4167" priority="162">
      <formula>SEARCH("INTERROTTO",$M9)&gt;0</formula>
    </cfRule>
  </conditionalFormatting>
  <conditionalFormatting sqref="M9">
    <cfRule type="expression" dxfId="4166" priority="151">
      <formula>SEARCH("IN CORSO",$M9)&gt;0</formula>
    </cfRule>
    <cfRule type="expression" dxfId="4165" priority="152">
      <formula>SEARCH("CHIUSO",$M9)&gt;0</formula>
    </cfRule>
    <cfRule type="expression" dxfId="4164" priority="153">
      <formula>SEARCH("EMESSO",$M9)&gt;0</formula>
    </cfRule>
    <cfRule type="expression" dxfId="4163" priority="154">
      <formula>SEARCH("RICHIESTO",$M9)&gt;0</formula>
    </cfRule>
    <cfRule type="expression" dxfId="4162" priority="155">
      <formula>SEARCH("DA CHIUDERE",$M9)&gt;0</formula>
    </cfRule>
    <cfRule type="expression" dxfId="4161" priority="156">
      <formula>SEARCH("INTERROTTO",$M9)&gt;0</formula>
    </cfRule>
  </conditionalFormatting>
  <conditionalFormatting sqref="N8:S8">
    <cfRule type="expression" dxfId="4160" priority="145">
      <formula>SEARCH("IN CORSO",$M8)&gt;0</formula>
    </cfRule>
    <cfRule type="expression" dxfId="4159" priority="146">
      <formula>SEARCH("CHIUSO",$M8)&gt;0</formula>
    </cfRule>
    <cfRule type="expression" dxfId="4158" priority="147">
      <formula>SEARCH("EMESSO",$M8)&gt;0</formula>
    </cfRule>
    <cfRule type="expression" dxfId="4157" priority="148">
      <formula>SEARCH("RICHIESTO",$M8)&gt;0</formula>
    </cfRule>
    <cfRule type="expression" dxfId="4156" priority="149">
      <formula>SEARCH("DA CHIUDERE",$M8)&gt;0</formula>
    </cfRule>
    <cfRule type="expression" dxfId="4155" priority="150">
      <formula>SEARCH("INTERROTTO",$M8)&gt;0</formula>
    </cfRule>
  </conditionalFormatting>
  <conditionalFormatting sqref="E8">
    <cfRule type="expression" dxfId="4154" priority="139">
      <formula>SEARCH("IN CORSO",$M8)&gt;0</formula>
    </cfRule>
    <cfRule type="expression" dxfId="4153" priority="140">
      <formula>SEARCH("CHIUSO",$M8)&gt;0</formula>
    </cfRule>
    <cfRule type="expression" dxfId="4152" priority="141">
      <formula>SEARCH("EMESSO",$M8)&gt;0</formula>
    </cfRule>
    <cfRule type="expression" dxfId="4151" priority="142">
      <formula>SEARCH("RICHIESTO",$M8)&gt;0</formula>
    </cfRule>
    <cfRule type="expression" dxfId="4150" priority="143">
      <formula>SEARCH("DA CHIUDERE",$M8)&gt;0</formula>
    </cfRule>
    <cfRule type="expression" dxfId="4149" priority="144">
      <formula>SEARCH("INTERROTTO",$M8)&gt;0</formula>
    </cfRule>
  </conditionalFormatting>
  <conditionalFormatting sqref="G8">
    <cfRule type="expression" dxfId="4148" priority="133">
      <formula>SEARCH("IN CORSO",$M8)&gt;0</formula>
    </cfRule>
    <cfRule type="expression" dxfId="4147" priority="134">
      <formula>SEARCH("CHIUSO",$M8)&gt;0</formula>
    </cfRule>
    <cfRule type="expression" dxfId="4146" priority="135">
      <formula>SEARCH("EMESSO",$M8)&gt;0</formula>
    </cfRule>
    <cfRule type="expression" dxfId="4145" priority="136">
      <formula>SEARCH("RICHIESTO",$M8)&gt;0</formula>
    </cfRule>
    <cfRule type="expression" dxfId="4144" priority="137">
      <formula>SEARCH("DA CHIUDERE",$M8)&gt;0</formula>
    </cfRule>
    <cfRule type="expression" dxfId="4143" priority="138">
      <formula>SEARCH("INTERROTTO",$M8)&gt;0</formula>
    </cfRule>
  </conditionalFormatting>
  <conditionalFormatting sqref="F8">
    <cfRule type="expression" dxfId="4142" priority="127">
      <formula>SEARCH("IN CORSO",$M8)&gt;0</formula>
    </cfRule>
    <cfRule type="expression" dxfId="4141" priority="128">
      <formula>SEARCH("CHIUSO",$M8)&gt;0</formula>
    </cfRule>
    <cfRule type="expression" dxfId="4140" priority="129">
      <formula>SEARCH("EMESSO",$M8)&gt;0</formula>
    </cfRule>
    <cfRule type="expression" dxfId="4139" priority="130">
      <formula>SEARCH("RICHIESTO",$M8)&gt;0</formula>
    </cfRule>
    <cfRule type="expression" dxfId="4138" priority="131">
      <formula>SEARCH("DA CHIUDERE",$M8)&gt;0</formula>
    </cfRule>
    <cfRule type="expression" dxfId="4137" priority="132">
      <formula>SEARCH("INTERROTTO",$M8)&gt;0</formula>
    </cfRule>
  </conditionalFormatting>
  <conditionalFormatting sqref="M8">
    <cfRule type="expression" dxfId="4136" priority="121">
      <formula>SEARCH("IN CORSO",$M8)&gt;0</formula>
    </cfRule>
    <cfRule type="expression" dxfId="4135" priority="122">
      <formula>SEARCH("CHIUSO",$M8)&gt;0</formula>
    </cfRule>
    <cfRule type="expression" dxfId="4134" priority="123">
      <formula>SEARCH("EMESSO",$M8)&gt;0</formula>
    </cfRule>
    <cfRule type="expression" dxfId="4133" priority="124">
      <formula>SEARCH("RICHIESTO",$M8)&gt;0</formula>
    </cfRule>
    <cfRule type="expression" dxfId="4132" priority="125">
      <formula>SEARCH("DA CHIUDERE",$M8)&gt;0</formula>
    </cfRule>
    <cfRule type="expression" dxfId="4131" priority="126">
      <formula>SEARCH("INTERROTTO",$M8)&gt;0</formula>
    </cfRule>
  </conditionalFormatting>
  <conditionalFormatting sqref="N7:S7">
    <cfRule type="expression" dxfId="4130" priority="115">
      <formula>SEARCH("IN CORSO",$M7)&gt;0</formula>
    </cfRule>
    <cfRule type="expression" dxfId="4129" priority="116">
      <formula>SEARCH("CHIUSO",$M7)&gt;0</formula>
    </cfRule>
    <cfRule type="expression" dxfId="4128" priority="117">
      <formula>SEARCH("EMESSO",$M7)&gt;0</formula>
    </cfRule>
    <cfRule type="expression" dxfId="4127" priority="118">
      <formula>SEARCH("RICHIESTO",$M7)&gt;0</formula>
    </cfRule>
    <cfRule type="expression" dxfId="4126" priority="119">
      <formula>SEARCH("DA CHIUDERE",$M7)&gt;0</formula>
    </cfRule>
    <cfRule type="expression" dxfId="4125" priority="120">
      <formula>SEARCH("INTERROTTO",$M7)&gt;0</formula>
    </cfRule>
  </conditionalFormatting>
  <conditionalFormatting sqref="E7">
    <cfRule type="expression" dxfId="4124" priority="109">
      <formula>SEARCH("IN CORSO",$M7)&gt;0</formula>
    </cfRule>
    <cfRule type="expression" dxfId="4123" priority="110">
      <formula>SEARCH("CHIUSO",$M7)&gt;0</formula>
    </cfRule>
    <cfRule type="expression" dxfId="4122" priority="111">
      <formula>SEARCH("EMESSO",$M7)&gt;0</formula>
    </cfRule>
    <cfRule type="expression" dxfId="4121" priority="112">
      <formula>SEARCH("RICHIESTO",$M7)&gt;0</formula>
    </cfRule>
    <cfRule type="expression" dxfId="4120" priority="113">
      <formula>SEARCH("DA CHIUDERE",$M7)&gt;0</formula>
    </cfRule>
    <cfRule type="expression" dxfId="4119" priority="114">
      <formula>SEARCH("INTERROTTO",$M7)&gt;0</formula>
    </cfRule>
  </conditionalFormatting>
  <conditionalFormatting sqref="G7">
    <cfRule type="expression" dxfId="4118" priority="103">
      <formula>SEARCH("IN CORSO",$M7)&gt;0</formula>
    </cfRule>
    <cfRule type="expression" dxfId="4117" priority="104">
      <formula>SEARCH("CHIUSO",$M7)&gt;0</formula>
    </cfRule>
    <cfRule type="expression" dxfId="4116" priority="105">
      <formula>SEARCH("EMESSO",$M7)&gt;0</formula>
    </cfRule>
    <cfRule type="expression" dxfId="4115" priority="106">
      <formula>SEARCH("RICHIESTO",$M7)&gt;0</formula>
    </cfRule>
    <cfRule type="expression" dxfId="4114" priority="107">
      <formula>SEARCH("DA CHIUDERE",$M7)&gt;0</formula>
    </cfRule>
    <cfRule type="expression" dxfId="4113" priority="108">
      <formula>SEARCH("INTERROTTO",$M7)&gt;0</formula>
    </cfRule>
  </conditionalFormatting>
  <conditionalFormatting sqref="F7">
    <cfRule type="expression" dxfId="4112" priority="97">
      <formula>SEARCH("IN CORSO",$M7)&gt;0</formula>
    </cfRule>
    <cfRule type="expression" dxfId="4111" priority="98">
      <formula>SEARCH("CHIUSO",$M7)&gt;0</formula>
    </cfRule>
    <cfRule type="expression" dxfId="4110" priority="99">
      <formula>SEARCH("EMESSO",$M7)&gt;0</formula>
    </cfRule>
    <cfRule type="expression" dxfId="4109" priority="100">
      <formula>SEARCH("RICHIESTO",$M7)&gt;0</formula>
    </cfRule>
    <cfRule type="expression" dxfId="4108" priority="101">
      <formula>SEARCH("DA CHIUDERE",$M7)&gt;0</formula>
    </cfRule>
    <cfRule type="expression" dxfId="4107" priority="102">
      <formula>SEARCH("INTERROTTO",$M7)&gt;0</formula>
    </cfRule>
  </conditionalFormatting>
  <conditionalFormatting sqref="M7">
    <cfRule type="expression" dxfId="4106" priority="91">
      <formula>SEARCH("IN CORSO",$M7)&gt;0</formula>
    </cfRule>
    <cfRule type="expression" dxfId="4105" priority="92">
      <formula>SEARCH("CHIUSO",$M7)&gt;0</formula>
    </cfRule>
    <cfRule type="expression" dxfId="4104" priority="93">
      <formula>SEARCH("EMESSO",$M7)&gt;0</formula>
    </cfRule>
    <cfRule type="expression" dxfId="4103" priority="94">
      <formula>SEARCH("RICHIESTO",$M7)&gt;0</formula>
    </cfRule>
    <cfRule type="expression" dxfId="4102" priority="95">
      <formula>SEARCH("DA CHIUDERE",$M7)&gt;0</formula>
    </cfRule>
    <cfRule type="expression" dxfId="4101" priority="96">
      <formula>SEARCH("INTERROTTO",$M7)&gt;0</formula>
    </cfRule>
  </conditionalFormatting>
  <conditionalFormatting sqref="N6:S6">
    <cfRule type="expression" dxfId="4100" priority="85">
      <formula>SEARCH("IN CORSO",$M6)&gt;0</formula>
    </cfRule>
    <cfRule type="expression" dxfId="4099" priority="86">
      <formula>SEARCH("CHIUSO",$M6)&gt;0</formula>
    </cfRule>
    <cfRule type="expression" dxfId="4098" priority="87">
      <formula>SEARCH("EMESSO",$M6)&gt;0</formula>
    </cfRule>
    <cfRule type="expression" dxfId="4097" priority="88">
      <formula>SEARCH("RICHIESTO",$M6)&gt;0</formula>
    </cfRule>
    <cfRule type="expression" dxfId="4096" priority="89">
      <formula>SEARCH("DA CHIUDERE",$M6)&gt;0</formula>
    </cfRule>
    <cfRule type="expression" dxfId="4095" priority="90">
      <formula>SEARCH("INTERROTTO",$M6)&gt;0</formula>
    </cfRule>
  </conditionalFormatting>
  <conditionalFormatting sqref="E6">
    <cfRule type="expression" dxfId="4094" priority="79">
      <formula>SEARCH("IN CORSO",$M6)&gt;0</formula>
    </cfRule>
    <cfRule type="expression" dxfId="4093" priority="80">
      <formula>SEARCH("CHIUSO",$M6)&gt;0</formula>
    </cfRule>
    <cfRule type="expression" dxfId="4092" priority="81">
      <formula>SEARCH("EMESSO",$M6)&gt;0</formula>
    </cfRule>
    <cfRule type="expression" dxfId="4091" priority="82">
      <formula>SEARCH("RICHIESTO",$M6)&gt;0</formula>
    </cfRule>
    <cfRule type="expression" dxfId="4090" priority="83">
      <formula>SEARCH("DA CHIUDERE",$M6)&gt;0</formula>
    </cfRule>
    <cfRule type="expression" dxfId="4089" priority="84">
      <formula>SEARCH("INTERROTTO",$M6)&gt;0</formula>
    </cfRule>
  </conditionalFormatting>
  <conditionalFormatting sqref="G6">
    <cfRule type="expression" dxfId="4088" priority="73">
      <formula>SEARCH("IN CORSO",$M6)&gt;0</formula>
    </cfRule>
    <cfRule type="expression" dxfId="4087" priority="74">
      <formula>SEARCH("CHIUSO",$M6)&gt;0</formula>
    </cfRule>
    <cfRule type="expression" dxfId="4086" priority="75">
      <formula>SEARCH("EMESSO",$M6)&gt;0</formula>
    </cfRule>
    <cfRule type="expression" dxfId="4085" priority="76">
      <formula>SEARCH("RICHIESTO",$M6)&gt;0</formula>
    </cfRule>
    <cfRule type="expression" dxfId="4084" priority="77">
      <formula>SEARCH("DA CHIUDERE",$M6)&gt;0</formula>
    </cfRule>
    <cfRule type="expression" dxfId="4083" priority="78">
      <formula>SEARCH("INTERROTTO",$M6)&gt;0</formula>
    </cfRule>
  </conditionalFormatting>
  <conditionalFormatting sqref="F6">
    <cfRule type="expression" dxfId="4082" priority="67">
      <formula>SEARCH("IN CORSO",$M6)&gt;0</formula>
    </cfRule>
    <cfRule type="expression" dxfId="4081" priority="68">
      <formula>SEARCH("CHIUSO",$M6)&gt;0</formula>
    </cfRule>
    <cfRule type="expression" dxfId="4080" priority="69">
      <formula>SEARCH("EMESSO",$M6)&gt;0</formula>
    </cfRule>
    <cfRule type="expression" dxfId="4079" priority="70">
      <formula>SEARCH("RICHIESTO",$M6)&gt;0</formula>
    </cfRule>
    <cfRule type="expression" dxfId="4078" priority="71">
      <formula>SEARCH("DA CHIUDERE",$M6)&gt;0</formula>
    </cfRule>
    <cfRule type="expression" dxfId="4077" priority="72">
      <formula>SEARCH("INTERROTTO",$M6)&gt;0</formula>
    </cfRule>
  </conditionalFormatting>
  <conditionalFormatting sqref="M6">
    <cfRule type="expression" dxfId="4076" priority="61">
      <formula>SEARCH("IN CORSO",$M6)&gt;0</formula>
    </cfRule>
    <cfRule type="expression" dxfId="4075" priority="62">
      <formula>SEARCH("CHIUSO",$M6)&gt;0</formula>
    </cfRule>
    <cfRule type="expression" dxfId="4074" priority="63">
      <formula>SEARCH("EMESSO",$M6)&gt;0</formula>
    </cfRule>
    <cfRule type="expression" dxfId="4073" priority="64">
      <formula>SEARCH("RICHIESTO",$M6)&gt;0</formula>
    </cfRule>
    <cfRule type="expression" dxfId="4072" priority="65">
      <formula>SEARCH("DA CHIUDERE",$M6)&gt;0</formula>
    </cfRule>
    <cfRule type="expression" dxfId="4071" priority="66">
      <formula>SEARCH("INTERROTTO",$M6)&gt;0</formula>
    </cfRule>
  </conditionalFormatting>
  <conditionalFormatting sqref="N5:S5">
    <cfRule type="expression" dxfId="4070" priority="55">
      <formula>SEARCH("IN CORSO",$M5)&gt;0</formula>
    </cfRule>
    <cfRule type="expression" dxfId="4069" priority="56">
      <formula>SEARCH("CHIUSO",$M5)&gt;0</formula>
    </cfRule>
    <cfRule type="expression" dxfId="4068" priority="57">
      <formula>SEARCH("EMESSO",$M5)&gt;0</formula>
    </cfRule>
    <cfRule type="expression" dxfId="4067" priority="58">
      <formula>SEARCH("RICHIESTO",$M5)&gt;0</formula>
    </cfRule>
    <cfRule type="expression" dxfId="4066" priority="59">
      <formula>SEARCH("DA CHIUDERE",$M5)&gt;0</formula>
    </cfRule>
    <cfRule type="expression" dxfId="4065" priority="60">
      <formula>SEARCH("INTERROTTO",$M5)&gt;0</formula>
    </cfRule>
  </conditionalFormatting>
  <conditionalFormatting sqref="E5">
    <cfRule type="expression" dxfId="4064" priority="49">
      <formula>SEARCH("IN CORSO",$M5)&gt;0</formula>
    </cfRule>
    <cfRule type="expression" dxfId="4063" priority="50">
      <formula>SEARCH("CHIUSO",$M5)&gt;0</formula>
    </cfRule>
    <cfRule type="expression" dxfId="4062" priority="51">
      <formula>SEARCH("EMESSO",$M5)&gt;0</formula>
    </cfRule>
    <cfRule type="expression" dxfId="4061" priority="52">
      <formula>SEARCH("RICHIESTO",$M5)&gt;0</formula>
    </cfRule>
    <cfRule type="expression" dxfId="4060" priority="53">
      <formula>SEARCH("DA CHIUDERE",$M5)&gt;0</formula>
    </cfRule>
    <cfRule type="expression" dxfId="4059" priority="54">
      <formula>SEARCH("INTERROTTO",$M5)&gt;0</formula>
    </cfRule>
  </conditionalFormatting>
  <conditionalFormatting sqref="G5">
    <cfRule type="expression" dxfId="4058" priority="43">
      <formula>SEARCH("IN CORSO",$M5)&gt;0</formula>
    </cfRule>
    <cfRule type="expression" dxfId="4057" priority="44">
      <formula>SEARCH("CHIUSO",$M5)&gt;0</formula>
    </cfRule>
    <cfRule type="expression" dxfId="4056" priority="45">
      <formula>SEARCH("EMESSO",$M5)&gt;0</formula>
    </cfRule>
    <cfRule type="expression" dxfId="4055" priority="46">
      <formula>SEARCH("RICHIESTO",$M5)&gt;0</formula>
    </cfRule>
    <cfRule type="expression" dxfId="4054" priority="47">
      <formula>SEARCH("DA CHIUDERE",$M5)&gt;0</formula>
    </cfRule>
    <cfRule type="expression" dxfId="4053" priority="48">
      <formula>SEARCH("INTERROTTO",$M5)&gt;0</formula>
    </cfRule>
  </conditionalFormatting>
  <conditionalFormatting sqref="F5">
    <cfRule type="expression" dxfId="4052" priority="37">
      <formula>SEARCH("IN CORSO",$M5)&gt;0</formula>
    </cfRule>
    <cfRule type="expression" dxfId="4051" priority="38">
      <formula>SEARCH("CHIUSO",$M5)&gt;0</formula>
    </cfRule>
    <cfRule type="expression" dxfId="4050" priority="39">
      <formula>SEARCH("EMESSO",$M5)&gt;0</formula>
    </cfRule>
    <cfRule type="expression" dxfId="4049" priority="40">
      <formula>SEARCH("RICHIESTO",$M5)&gt;0</formula>
    </cfRule>
    <cfRule type="expression" dxfId="4048" priority="41">
      <formula>SEARCH("DA CHIUDERE",$M5)&gt;0</formula>
    </cfRule>
    <cfRule type="expression" dxfId="4047" priority="42">
      <formula>SEARCH("INTERROTTO",$M5)&gt;0</formula>
    </cfRule>
  </conditionalFormatting>
  <conditionalFormatting sqref="M5">
    <cfRule type="expression" dxfId="4046" priority="31">
      <formula>SEARCH("IN CORSO",$M5)&gt;0</formula>
    </cfRule>
    <cfRule type="expression" dxfId="4045" priority="32">
      <formula>SEARCH("CHIUSO",$M5)&gt;0</formula>
    </cfRule>
    <cfRule type="expression" dxfId="4044" priority="33">
      <formula>SEARCH("EMESSO",$M5)&gt;0</formula>
    </cfRule>
    <cfRule type="expression" dxfId="4043" priority="34">
      <formula>SEARCH("RICHIESTO",$M5)&gt;0</formula>
    </cfRule>
    <cfRule type="expression" dxfId="4042" priority="35">
      <formula>SEARCH("DA CHIUDERE",$M5)&gt;0</formula>
    </cfRule>
    <cfRule type="expression" dxfId="4041" priority="36">
      <formula>SEARCH("INTERROTTO",$M5)&gt;0</formula>
    </cfRule>
  </conditionalFormatting>
  <conditionalFormatting sqref="N4:S4">
    <cfRule type="expression" dxfId="4040" priority="25">
      <formula>SEARCH("IN CORSO",$M4)&gt;0</formula>
    </cfRule>
    <cfRule type="expression" dxfId="4039" priority="26">
      <formula>SEARCH("CHIUSO",$M4)&gt;0</formula>
    </cfRule>
    <cfRule type="expression" dxfId="4038" priority="27">
      <formula>SEARCH("EMESSO",$M4)&gt;0</formula>
    </cfRule>
    <cfRule type="expression" dxfId="4037" priority="28">
      <formula>SEARCH("RICHIESTO",$M4)&gt;0</formula>
    </cfRule>
    <cfRule type="expression" dxfId="4036" priority="29">
      <formula>SEARCH("DA CHIUDERE",$M4)&gt;0</formula>
    </cfRule>
    <cfRule type="expression" dxfId="4035" priority="30">
      <formula>SEARCH("INTERROTTO",$M4)&gt;0</formula>
    </cfRule>
  </conditionalFormatting>
  <conditionalFormatting sqref="E4">
    <cfRule type="expression" dxfId="4034" priority="19">
      <formula>SEARCH("IN CORSO",$M4)&gt;0</formula>
    </cfRule>
    <cfRule type="expression" dxfId="4033" priority="20">
      <formula>SEARCH("CHIUSO",$M4)&gt;0</formula>
    </cfRule>
    <cfRule type="expression" dxfId="4032" priority="21">
      <formula>SEARCH("EMESSO",$M4)&gt;0</formula>
    </cfRule>
    <cfRule type="expression" dxfId="4031" priority="22">
      <formula>SEARCH("RICHIESTO",$M4)&gt;0</formula>
    </cfRule>
    <cfRule type="expression" dxfId="4030" priority="23">
      <formula>SEARCH("DA CHIUDERE",$M4)&gt;0</formula>
    </cfRule>
    <cfRule type="expression" dxfId="4029" priority="24">
      <formula>SEARCH("INTERROTTO",$M4)&gt;0</formula>
    </cfRule>
  </conditionalFormatting>
  <conditionalFormatting sqref="G4">
    <cfRule type="expression" dxfId="4028" priority="13">
      <formula>SEARCH("IN CORSO",$M4)&gt;0</formula>
    </cfRule>
    <cfRule type="expression" dxfId="4027" priority="14">
      <formula>SEARCH("CHIUSO",$M4)&gt;0</formula>
    </cfRule>
    <cfRule type="expression" dxfId="4026" priority="15">
      <formula>SEARCH("EMESSO",$M4)&gt;0</formula>
    </cfRule>
    <cfRule type="expression" dxfId="4025" priority="16">
      <formula>SEARCH("RICHIESTO",$M4)&gt;0</formula>
    </cfRule>
    <cfRule type="expression" dxfId="4024" priority="17">
      <formula>SEARCH("DA CHIUDERE",$M4)&gt;0</formula>
    </cfRule>
    <cfRule type="expression" dxfId="4023" priority="18">
      <formula>SEARCH("INTERROTTO",$M4)&gt;0</formula>
    </cfRule>
  </conditionalFormatting>
  <conditionalFormatting sqref="F4">
    <cfRule type="expression" dxfId="4022" priority="7">
      <formula>SEARCH("IN CORSO",$M4)&gt;0</formula>
    </cfRule>
    <cfRule type="expression" dxfId="4021" priority="8">
      <formula>SEARCH("CHIUSO",$M4)&gt;0</formula>
    </cfRule>
    <cfRule type="expression" dxfId="4020" priority="9">
      <formula>SEARCH("EMESSO",$M4)&gt;0</formula>
    </cfRule>
    <cfRule type="expression" dxfId="4019" priority="10">
      <formula>SEARCH("RICHIESTO",$M4)&gt;0</formula>
    </cfRule>
    <cfRule type="expression" dxfId="4018" priority="11">
      <formula>SEARCH("DA CHIUDERE",$M4)&gt;0</formula>
    </cfRule>
    <cfRule type="expression" dxfId="4017" priority="12">
      <formula>SEARCH("INTERROTTO",$M4)&gt;0</formula>
    </cfRule>
  </conditionalFormatting>
  <conditionalFormatting sqref="M4">
    <cfRule type="expression" dxfId="4016" priority="1">
      <formula>SEARCH("IN CORSO",$M4)&gt;0</formula>
    </cfRule>
    <cfRule type="expression" dxfId="4015" priority="2">
      <formula>SEARCH("CHIUSO",$M4)&gt;0</formula>
    </cfRule>
    <cfRule type="expression" dxfId="4014" priority="3">
      <formula>SEARCH("EMESSO",$M4)&gt;0</formula>
    </cfRule>
    <cfRule type="expression" dxfId="4013" priority="4">
      <formula>SEARCH("RICHIESTO",$M4)&gt;0</formula>
    </cfRule>
    <cfRule type="expression" dxfId="4012" priority="5">
      <formula>SEARCH("DA CHIUDERE",$M4)&gt;0</formula>
    </cfRule>
    <cfRule type="expression" dxfId="4011" priority="6">
      <formula>SEARCH("INTERROTTO",$M4)&gt;0</formula>
    </cfRule>
  </conditionalFormatting>
  <conditionalFormatting sqref="F133 E137:G204 M137:S204">
    <cfRule type="expression" dxfId="4010" priority="3691">
      <formula>SEARCH("IN CORSO",$M133)&gt;0</formula>
    </cfRule>
    <cfRule type="expression" dxfId="4009" priority="3692">
      <formula>SEARCH("CHIUSO",$M133)&gt;0</formula>
    </cfRule>
    <cfRule type="expression" dxfId="4008" priority="3693">
      <formula>SEARCH("EMESSO",$M133)&gt;0</formula>
    </cfRule>
    <cfRule type="expression" dxfId="4007" priority="3694">
      <formula>SEARCH("RICHIESTO",$M133)&gt;0</formula>
    </cfRule>
    <cfRule type="expression" dxfId="4006" priority="3695">
      <formula>SEARCH("DA CHIUDERE",$M133)&gt;0</formula>
    </cfRule>
    <cfRule type="expression" dxfId="4005" priority="3696">
      <formula>SEARCH("INTERROTTO",$M133)&gt;0</formula>
    </cfRule>
  </conditionalFormatting>
  <conditionalFormatting sqref="F134">
    <cfRule type="expression" dxfId="4004" priority="3703">
      <formula>SEARCH("IN CORSO",$M134)&gt;0</formula>
    </cfRule>
    <cfRule type="expression" dxfId="4003" priority="3704">
      <formula>SEARCH("CHIUSO",$M134)&gt;0</formula>
    </cfRule>
    <cfRule type="expression" dxfId="4002" priority="3705">
      <formula>SEARCH("EMESSO",$M134)&gt;0</formula>
    </cfRule>
    <cfRule type="expression" dxfId="4001" priority="3706">
      <formula>SEARCH("RICHIESTO",$M134)&gt;0</formula>
    </cfRule>
    <cfRule type="expression" dxfId="4000" priority="3707">
      <formula>SEARCH("DA CHIUDERE",$M134)&gt;0</formula>
    </cfRule>
    <cfRule type="expression" dxfId="3999" priority="3708">
      <formula>SEARCH("INTERROTTO",$M134)&gt;0</formula>
    </cfRule>
  </conditionalFormatting>
  <conditionalFormatting sqref="E135 G135 M135:S135">
    <cfRule type="expression" dxfId="3998" priority="3721">
      <formula>SEARCH("IN CORSO",$M135)&gt;0</formula>
    </cfRule>
    <cfRule type="expression" dxfId="3997" priority="3722">
      <formula>SEARCH("CHIUSO",$M135)&gt;0</formula>
    </cfRule>
    <cfRule type="expression" dxfId="3996" priority="3723">
      <formula>SEARCH("EMESSO",$M135)&gt;0</formula>
    </cfRule>
    <cfRule type="expression" dxfId="3995" priority="3724">
      <formula>SEARCH("RICHIESTO",$M135)&gt;0</formula>
    </cfRule>
    <cfRule type="expression" dxfId="3994" priority="3725">
      <formula>SEARCH("DA CHIUDERE",$M135)&gt;0</formula>
    </cfRule>
    <cfRule type="expression" dxfId="3993" priority="3726">
      <formula>SEARCH("INTERROTTO",$M135)&gt;0</formula>
    </cfRule>
  </conditionalFormatting>
  <conditionalFormatting sqref="F135">
    <cfRule type="expression" dxfId="3992" priority="3715">
      <formula>SEARCH("IN CORSO",$M135)&gt;0</formula>
    </cfRule>
    <cfRule type="expression" dxfId="3991" priority="3716">
      <formula>SEARCH("CHIUSO",$M135)&gt;0</formula>
    </cfRule>
    <cfRule type="expression" dxfId="3990" priority="3717">
      <formula>SEARCH("EMESSO",$M135)&gt;0</formula>
    </cfRule>
    <cfRule type="expression" dxfId="3989" priority="3718">
      <formula>SEARCH("RICHIESTO",$M135)&gt;0</formula>
    </cfRule>
    <cfRule type="expression" dxfId="3988" priority="3719">
      <formula>SEARCH("DA CHIUDERE",$M135)&gt;0</formula>
    </cfRule>
    <cfRule type="expression" dxfId="3987" priority="3720">
      <formula>SEARCH("INTERROTTO",$M135)&gt;0</formula>
    </cfRule>
  </conditionalFormatting>
  <conditionalFormatting sqref="M106:M119">
    <cfRule type="expression" dxfId="3986" priority="3733">
      <formula>SEARCH("IN CORSO",$M106)&gt;0</formula>
    </cfRule>
    <cfRule type="expression" dxfId="3985" priority="3734">
      <formula>SEARCH("CHIUSO",$M106)&gt;0</formula>
    </cfRule>
    <cfRule type="expression" dxfId="3984" priority="3735">
      <formula>SEARCH("EMESSO",$M106)&gt;0</formula>
    </cfRule>
    <cfRule type="expression" dxfId="3983" priority="3736">
      <formula>SEARCH("RICHIESTO",$M106)&gt;0</formula>
    </cfRule>
    <cfRule type="expression" dxfId="3982" priority="3737">
      <formula>SEARCH("DA CHIUDERE",$M106)&gt;0</formula>
    </cfRule>
    <cfRule type="expression" dxfId="3981" priority="3738">
      <formula>SEARCH("INTERROTTO",$M106)&gt;0</formula>
    </cfRule>
  </conditionalFormatting>
  <conditionalFormatting sqref="E134 G134 M134:S134">
    <cfRule type="expression" dxfId="3980" priority="3709">
      <formula>SEARCH("IN CORSO",$M134)&gt;0</formula>
    </cfRule>
    <cfRule type="expression" dxfId="3979" priority="3710">
      <formula>SEARCH("CHIUSO",$M134)&gt;0</formula>
    </cfRule>
    <cfRule type="expression" dxfId="3978" priority="3711">
      <formula>SEARCH("EMESSO",$M134)&gt;0</formula>
    </cfRule>
    <cfRule type="expression" dxfId="3977" priority="3712">
      <formula>SEARCH("RICHIESTO",$M134)&gt;0</formula>
    </cfRule>
    <cfRule type="expression" dxfId="3976" priority="3713">
      <formula>SEARCH("DA CHIUDERE",$M134)&gt;0</formula>
    </cfRule>
    <cfRule type="expression" dxfId="3975" priority="3714">
      <formula>SEARCH("INTERROTTO",$M134)&gt;0</formula>
    </cfRule>
  </conditionalFormatting>
  <conditionalFormatting sqref="E133 G133 M133:S133">
    <cfRule type="expression" dxfId="3974" priority="3697">
      <formula>SEARCH("IN CORSO",$M133)&gt;0</formula>
    </cfRule>
    <cfRule type="expression" dxfId="3973" priority="3698">
      <formula>SEARCH("CHIUSO",$M133)&gt;0</formula>
    </cfRule>
    <cfRule type="expression" dxfId="3972" priority="3699">
      <formula>SEARCH("EMESSO",$M133)&gt;0</formula>
    </cfRule>
    <cfRule type="expression" dxfId="3971" priority="3700">
      <formula>SEARCH("RICHIESTO",$M133)&gt;0</formula>
    </cfRule>
    <cfRule type="expression" dxfId="3970" priority="3701">
      <formula>SEARCH("DA CHIUDERE",$M133)&gt;0</formula>
    </cfRule>
    <cfRule type="expression" dxfId="3969" priority="3702">
      <formula>SEARCH("INTERROTTO",$M133)&gt;0</formula>
    </cfRule>
  </conditionalFormatting>
  <conditionalFormatting sqref="E129 G129 M129:S129">
    <cfRule type="expression" dxfId="3968" priority="3649">
      <formula>SEARCH("IN CORSO",$M129)&gt;0</formula>
    </cfRule>
    <cfRule type="expression" dxfId="3967" priority="3650">
      <formula>SEARCH("CHIUSO",$M129)&gt;0</formula>
    </cfRule>
    <cfRule type="expression" dxfId="3966" priority="3651">
      <formula>SEARCH("EMESSO",$M129)&gt;0</formula>
    </cfRule>
    <cfRule type="expression" dxfId="3965" priority="3652">
      <formula>SEARCH("RICHIESTO",$M129)&gt;0</formula>
    </cfRule>
    <cfRule type="expression" dxfId="3964" priority="3653">
      <formula>SEARCH("DA CHIUDERE",$M129)&gt;0</formula>
    </cfRule>
    <cfRule type="expression" dxfId="3963" priority="3654">
      <formula>SEARCH("INTERROTTO",$M129)&gt;0</formula>
    </cfRule>
  </conditionalFormatting>
  <conditionalFormatting sqref="N128:S128">
    <cfRule type="expression" dxfId="3962" priority="3637">
      <formula>SEARCH("IN CORSO",$M128)&gt;0</formula>
    </cfRule>
    <cfRule type="expression" dxfId="3961" priority="3638">
      <formula>SEARCH("CHIUSO",$M128)&gt;0</formula>
    </cfRule>
    <cfRule type="expression" dxfId="3960" priority="3639">
      <formula>SEARCH("EMESSO",$M128)&gt;0</formula>
    </cfRule>
    <cfRule type="expression" dxfId="3959" priority="3640">
      <formula>SEARCH("RICHIESTO",$M128)&gt;0</formula>
    </cfRule>
    <cfRule type="expression" dxfId="3958" priority="3641">
      <formula>SEARCH("DA CHIUDERE",$M128)&gt;0</formula>
    </cfRule>
    <cfRule type="expression" dxfId="3957" priority="3642">
      <formula>SEARCH("INTERROTTO",$M128)&gt;0</formula>
    </cfRule>
  </conditionalFormatting>
  <conditionalFormatting sqref="F130">
    <cfRule type="expression" dxfId="3956" priority="3655">
      <formula>SEARCH("IN CORSO",$M130)&gt;0</formula>
    </cfRule>
    <cfRule type="expression" dxfId="3955" priority="3656">
      <formula>SEARCH("CHIUSO",$M130)&gt;0</formula>
    </cfRule>
    <cfRule type="expression" dxfId="3954" priority="3657">
      <formula>SEARCH("EMESSO",$M130)&gt;0</formula>
    </cfRule>
    <cfRule type="expression" dxfId="3953" priority="3658">
      <formula>SEARCH("RICHIESTO",$M130)&gt;0</formula>
    </cfRule>
    <cfRule type="expression" dxfId="3952" priority="3659">
      <formula>SEARCH("DA CHIUDERE",$M130)&gt;0</formula>
    </cfRule>
    <cfRule type="expression" dxfId="3951" priority="3660">
      <formula>SEARCH("INTERROTTO",$M130)&gt;0</formula>
    </cfRule>
  </conditionalFormatting>
  <conditionalFormatting sqref="G127">
    <cfRule type="expression" dxfId="3950" priority="3607">
      <formula>SEARCH("IN CORSO",$M127)&gt;0</formula>
    </cfRule>
    <cfRule type="expression" dxfId="3949" priority="3608">
      <formula>SEARCH("CHIUSO",$M127)&gt;0</formula>
    </cfRule>
    <cfRule type="expression" dxfId="3948" priority="3609">
      <formula>SEARCH("EMESSO",$M127)&gt;0</formula>
    </cfRule>
    <cfRule type="expression" dxfId="3947" priority="3610">
      <formula>SEARCH("RICHIESTO",$M127)&gt;0</formula>
    </cfRule>
    <cfRule type="expression" dxfId="3946" priority="3611">
      <formula>SEARCH("DA CHIUDERE",$M127)&gt;0</formula>
    </cfRule>
    <cfRule type="expression" dxfId="3945" priority="3612">
      <formula>SEARCH("INTERROTTO",$M127)&gt;0</formula>
    </cfRule>
  </conditionalFormatting>
  <conditionalFormatting sqref="E128 G128 M128">
    <cfRule type="expression" dxfId="3944" priority="3631">
      <formula>SEARCH("IN CORSO",$M128)&gt;0</formula>
    </cfRule>
    <cfRule type="expression" dxfId="3943" priority="3632">
      <formula>SEARCH("CHIUSO",$M128)&gt;0</formula>
    </cfRule>
    <cfRule type="expression" dxfId="3942" priority="3633">
      <formula>SEARCH("EMESSO",$M128)&gt;0</formula>
    </cfRule>
    <cfRule type="expression" dxfId="3941" priority="3634">
      <formula>SEARCH("RICHIESTO",$M128)&gt;0</formula>
    </cfRule>
    <cfRule type="expression" dxfId="3940" priority="3635">
      <formula>SEARCH("DA CHIUDERE",$M128)&gt;0</formula>
    </cfRule>
    <cfRule type="expression" dxfId="3939" priority="3636">
      <formula>SEARCH("INTERROTTO",$M128)&gt;0</formula>
    </cfRule>
  </conditionalFormatting>
  <conditionalFormatting sqref="F128">
    <cfRule type="expression" dxfId="3938" priority="3625">
      <formula>SEARCH("IN CORSO",$M128)&gt;0</formula>
    </cfRule>
    <cfRule type="expression" dxfId="3937" priority="3626">
      <formula>SEARCH("CHIUSO",$M128)&gt;0</formula>
    </cfRule>
    <cfRule type="expression" dxfId="3936" priority="3627">
      <formula>SEARCH("EMESSO",$M128)&gt;0</formula>
    </cfRule>
    <cfRule type="expression" dxfId="3935" priority="3628">
      <formula>SEARCH("RICHIESTO",$M128)&gt;0</formula>
    </cfRule>
    <cfRule type="expression" dxfId="3934" priority="3629">
      <formula>SEARCH("DA CHIUDERE",$M128)&gt;0</formula>
    </cfRule>
    <cfRule type="expression" dxfId="3933" priority="3630">
      <formula>SEARCH("INTERROTTO",$M128)&gt;0</formula>
    </cfRule>
  </conditionalFormatting>
  <conditionalFormatting sqref="E127">
    <cfRule type="expression" dxfId="3932" priority="3613">
      <formula>SEARCH("IN CORSO",$M127)&gt;0</formula>
    </cfRule>
    <cfRule type="expression" dxfId="3931" priority="3614">
      <formula>SEARCH("CHIUSO",$M127)&gt;0</formula>
    </cfRule>
    <cfRule type="expression" dxfId="3930" priority="3615">
      <formula>SEARCH("EMESSO",$M127)&gt;0</formula>
    </cfRule>
    <cfRule type="expression" dxfId="3929" priority="3616">
      <formula>SEARCH("RICHIESTO",$M127)&gt;0</formula>
    </cfRule>
    <cfRule type="expression" dxfId="3928" priority="3617">
      <formula>SEARCH("DA CHIUDERE",$M127)&gt;0</formula>
    </cfRule>
    <cfRule type="expression" dxfId="3927" priority="3618">
      <formula>SEARCH("INTERROTTO",$M127)&gt;0</formula>
    </cfRule>
  </conditionalFormatting>
  <conditionalFormatting sqref="N125:S125">
    <cfRule type="expression" dxfId="3926" priority="3577">
      <formula>SEARCH("IN CORSO",$M125)&gt;0</formula>
    </cfRule>
    <cfRule type="expression" dxfId="3925" priority="3578">
      <formula>SEARCH("CHIUSO",$M125)&gt;0</formula>
    </cfRule>
    <cfRule type="expression" dxfId="3924" priority="3579">
      <formula>SEARCH("EMESSO",$M125)&gt;0</formula>
    </cfRule>
    <cfRule type="expression" dxfId="3923" priority="3580">
      <formula>SEARCH("RICHIESTO",$M125)&gt;0</formula>
    </cfRule>
    <cfRule type="expression" dxfId="3922" priority="3581">
      <formula>SEARCH("DA CHIUDERE",$M125)&gt;0</formula>
    </cfRule>
    <cfRule type="expression" dxfId="3921" priority="3582">
      <formula>SEARCH("INTERROTTO",$M125)&gt;0</formula>
    </cfRule>
  </conditionalFormatting>
  <conditionalFormatting sqref="N127:S127">
    <cfRule type="expression" dxfId="3920" priority="3619">
      <formula>SEARCH("IN CORSO",$M127)&gt;0</formula>
    </cfRule>
    <cfRule type="expression" dxfId="3919" priority="3620">
      <formula>SEARCH("CHIUSO",$M127)&gt;0</formula>
    </cfRule>
    <cfRule type="expression" dxfId="3918" priority="3621">
      <formula>SEARCH("EMESSO",$M127)&gt;0</formula>
    </cfRule>
    <cfRule type="expression" dxfId="3917" priority="3622">
      <formula>SEARCH("RICHIESTO",$M127)&gt;0</formula>
    </cfRule>
    <cfRule type="expression" dxfId="3916" priority="3623">
      <formula>SEARCH("DA CHIUDERE",$M127)&gt;0</formula>
    </cfRule>
    <cfRule type="expression" dxfId="3915" priority="3624">
      <formula>SEARCH("INTERROTTO",$M127)&gt;0</formula>
    </cfRule>
  </conditionalFormatting>
  <conditionalFormatting sqref="M127">
    <cfRule type="expression" dxfId="3914" priority="3601">
      <formula>SEARCH("IN CORSO",$M127)&gt;0</formula>
    </cfRule>
    <cfRule type="expression" dxfId="3913" priority="3602">
      <formula>SEARCH("CHIUSO",$M127)&gt;0</formula>
    </cfRule>
    <cfRule type="expression" dxfId="3912" priority="3603">
      <formula>SEARCH("EMESSO",$M127)&gt;0</formula>
    </cfRule>
    <cfRule type="expression" dxfId="3911" priority="3604">
      <formula>SEARCH("RICHIESTO",$M127)&gt;0</formula>
    </cfRule>
    <cfRule type="expression" dxfId="3910" priority="3605">
      <formula>SEARCH("DA CHIUDERE",$M127)&gt;0</formula>
    </cfRule>
    <cfRule type="expression" dxfId="3909" priority="3606">
      <formula>SEARCH("INTERROTTO",$M127)&gt;0</formula>
    </cfRule>
  </conditionalFormatting>
  <conditionalFormatting sqref="F127">
    <cfRule type="expression" dxfId="3908" priority="3595">
      <formula>SEARCH("IN CORSO",$M127)&gt;0</formula>
    </cfRule>
    <cfRule type="expression" dxfId="3907" priority="3596">
      <formula>SEARCH("CHIUSO",$M127)&gt;0</formula>
    </cfRule>
    <cfRule type="expression" dxfId="3906" priority="3597">
      <formula>SEARCH("EMESSO",$M127)&gt;0</formula>
    </cfRule>
    <cfRule type="expression" dxfId="3905" priority="3598">
      <formula>SEARCH("RICHIESTO",$M127)&gt;0</formula>
    </cfRule>
    <cfRule type="expression" dxfId="3904" priority="3599">
      <formula>SEARCH("DA CHIUDERE",$M127)&gt;0</formula>
    </cfRule>
    <cfRule type="expression" dxfId="3903" priority="3600">
      <formula>SEARCH("INTERROTTO",$M127)&gt;0</formula>
    </cfRule>
  </conditionalFormatting>
  <conditionalFormatting sqref="E126">
    <cfRule type="expression" dxfId="3902" priority="3583">
      <formula>SEARCH("IN CORSO",$M126)&gt;0</formula>
    </cfRule>
    <cfRule type="expression" dxfId="3901" priority="3584">
      <formula>SEARCH("CHIUSO",$M126)&gt;0</formula>
    </cfRule>
    <cfRule type="expression" dxfId="3900" priority="3585">
      <formula>SEARCH("EMESSO",$M126)&gt;0</formula>
    </cfRule>
    <cfRule type="expression" dxfId="3899" priority="3586">
      <formula>SEARCH("RICHIESTO",$M126)&gt;0</formula>
    </cfRule>
    <cfRule type="expression" dxfId="3898" priority="3587">
      <formula>SEARCH("DA CHIUDERE",$M126)&gt;0</formula>
    </cfRule>
    <cfRule type="expression" dxfId="3897" priority="3588">
      <formula>SEARCH("INTERROTTO",$M126)&gt;0</formula>
    </cfRule>
  </conditionalFormatting>
  <conditionalFormatting sqref="N126:S126">
    <cfRule type="expression" dxfId="3896" priority="3589">
      <formula>SEARCH("IN CORSO",$M126)&gt;0</formula>
    </cfRule>
    <cfRule type="expression" dxfId="3895" priority="3590">
      <formula>SEARCH("CHIUSO",$M126)&gt;0</formula>
    </cfRule>
    <cfRule type="expression" dxfId="3894" priority="3591">
      <formula>SEARCH("EMESSO",$M126)&gt;0</formula>
    </cfRule>
    <cfRule type="expression" dxfId="3893" priority="3592">
      <formula>SEARCH("RICHIESTO",$M126)&gt;0</formula>
    </cfRule>
    <cfRule type="expression" dxfId="3892" priority="3593">
      <formula>SEARCH("DA CHIUDERE",$M126)&gt;0</formula>
    </cfRule>
    <cfRule type="expression" dxfId="3891" priority="3594">
      <formula>SEARCH("INTERROTTO",$M126)&gt;0</formula>
    </cfRule>
  </conditionalFormatting>
  <conditionalFormatting sqref="E125">
    <cfRule type="expression" dxfId="3890" priority="3571">
      <formula>SEARCH("IN CORSO",$M125)&gt;0</formula>
    </cfRule>
    <cfRule type="expression" dxfId="3889" priority="3572">
      <formula>SEARCH("CHIUSO",$M125)&gt;0</formula>
    </cfRule>
    <cfRule type="expression" dxfId="3888" priority="3573">
      <formula>SEARCH("EMESSO",$M125)&gt;0</formula>
    </cfRule>
    <cfRule type="expression" dxfId="3887" priority="3574">
      <formula>SEARCH("RICHIESTO",$M125)&gt;0</formula>
    </cfRule>
    <cfRule type="expression" dxfId="3886" priority="3575">
      <formula>SEARCH("DA CHIUDERE",$M125)&gt;0</formula>
    </cfRule>
    <cfRule type="expression" dxfId="3885" priority="3576">
      <formula>SEARCH("INTERROTTO",$M125)&gt;0</formula>
    </cfRule>
  </conditionalFormatting>
  <conditionalFormatting sqref="N124:S124">
    <cfRule type="expression" dxfId="3884" priority="3565">
      <formula>SEARCH("IN CORSO",$M124)&gt;0</formula>
    </cfRule>
    <cfRule type="expression" dxfId="3883" priority="3566">
      <formula>SEARCH("CHIUSO",$M124)&gt;0</formula>
    </cfRule>
    <cfRule type="expression" dxfId="3882" priority="3567">
      <formula>SEARCH("EMESSO",$M124)&gt;0</formula>
    </cfRule>
    <cfRule type="expression" dxfId="3881" priority="3568">
      <formula>SEARCH("RICHIESTO",$M124)&gt;0</formula>
    </cfRule>
    <cfRule type="expression" dxfId="3880" priority="3569">
      <formula>SEARCH("DA CHIUDERE",$M124)&gt;0</formula>
    </cfRule>
    <cfRule type="expression" dxfId="3879" priority="3570">
      <formula>SEARCH("INTERROTTO",$M124)&gt;0</formula>
    </cfRule>
  </conditionalFormatting>
  <conditionalFormatting sqref="N122:S122">
    <cfRule type="expression" dxfId="3878" priority="3499">
      <formula>SEARCH("IN CORSO",$M122)&gt;0</formula>
    </cfRule>
    <cfRule type="expression" dxfId="3877" priority="3500">
      <formula>SEARCH("CHIUSO",$M122)&gt;0</formula>
    </cfRule>
    <cfRule type="expression" dxfId="3876" priority="3501">
      <formula>SEARCH("EMESSO",$M122)&gt;0</formula>
    </cfRule>
    <cfRule type="expression" dxfId="3875" priority="3502">
      <formula>SEARCH("RICHIESTO",$M122)&gt;0</formula>
    </cfRule>
    <cfRule type="expression" dxfId="3874" priority="3503">
      <formula>SEARCH("DA CHIUDERE",$M122)&gt;0</formula>
    </cfRule>
    <cfRule type="expression" dxfId="3873" priority="3504">
      <formula>SEARCH("INTERROTTO",$M122)&gt;0</formula>
    </cfRule>
  </conditionalFormatting>
  <conditionalFormatting sqref="G122">
    <cfRule type="expression" dxfId="3872" priority="3487">
      <formula>SEARCH("IN CORSO",$M122)&gt;0</formula>
    </cfRule>
    <cfRule type="expression" dxfId="3871" priority="3488">
      <formula>SEARCH("CHIUSO",$M122)&gt;0</formula>
    </cfRule>
    <cfRule type="expression" dxfId="3870" priority="3489">
      <formula>SEARCH("EMESSO",$M122)&gt;0</formula>
    </cfRule>
    <cfRule type="expression" dxfId="3869" priority="3490">
      <formula>SEARCH("RICHIESTO",$M122)&gt;0</formula>
    </cfRule>
    <cfRule type="expression" dxfId="3868" priority="3491">
      <formula>SEARCH("DA CHIUDERE",$M122)&gt;0</formula>
    </cfRule>
    <cfRule type="expression" dxfId="3867" priority="3492">
      <formula>SEARCH("INTERROTTO",$M122)&gt;0</formula>
    </cfRule>
  </conditionalFormatting>
  <conditionalFormatting sqref="E122">
    <cfRule type="expression" dxfId="3866" priority="3493">
      <formula>SEARCH("IN CORSO",$M122)&gt;0</formula>
    </cfRule>
    <cfRule type="expression" dxfId="3865" priority="3494">
      <formula>SEARCH("CHIUSO",$M122)&gt;0</formula>
    </cfRule>
    <cfRule type="expression" dxfId="3864" priority="3495">
      <formula>SEARCH("EMESSO",$M122)&gt;0</formula>
    </cfRule>
    <cfRule type="expression" dxfId="3863" priority="3496">
      <formula>SEARCH("RICHIESTO",$M122)&gt;0</formula>
    </cfRule>
    <cfRule type="expression" dxfId="3862" priority="3497">
      <formula>SEARCH("DA CHIUDERE",$M122)&gt;0</formula>
    </cfRule>
    <cfRule type="expression" dxfId="3861" priority="3498">
      <formula>SEARCH("INTERROTTO",$M122)&gt;0</formula>
    </cfRule>
  </conditionalFormatting>
  <conditionalFormatting sqref="F122">
    <cfRule type="expression" dxfId="3860" priority="3481">
      <formula>SEARCH("IN CORSO",$M122)&gt;0</formula>
    </cfRule>
    <cfRule type="expression" dxfId="3859" priority="3482">
      <formula>SEARCH("CHIUSO",$M122)&gt;0</formula>
    </cfRule>
    <cfRule type="expression" dxfId="3858" priority="3483">
      <formula>SEARCH("EMESSO",$M122)&gt;0</formula>
    </cfRule>
    <cfRule type="expression" dxfId="3857" priority="3484">
      <formula>SEARCH("RICHIESTO",$M122)&gt;0</formula>
    </cfRule>
    <cfRule type="expression" dxfId="3856" priority="3485">
      <formula>SEARCH("DA CHIUDERE",$M122)&gt;0</formula>
    </cfRule>
    <cfRule type="expression" dxfId="3855" priority="3486">
      <formula>SEARCH("INTERROTTO",$M122)&gt;0</formula>
    </cfRule>
  </conditionalFormatting>
  <conditionalFormatting sqref="N121:S121">
    <cfRule type="expression" dxfId="3854" priority="3469">
      <formula>SEARCH("IN CORSO",$M121)&gt;0</formula>
    </cfRule>
    <cfRule type="expression" dxfId="3853" priority="3470">
      <formula>SEARCH("CHIUSO",$M121)&gt;0</formula>
    </cfRule>
    <cfRule type="expression" dxfId="3852" priority="3471">
      <formula>SEARCH("EMESSO",$M121)&gt;0</formula>
    </cfRule>
    <cfRule type="expression" dxfId="3851" priority="3472">
      <formula>SEARCH("RICHIESTO",$M121)&gt;0</formula>
    </cfRule>
    <cfRule type="expression" dxfId="3850" priority="3473">
      <formula>SEARCH("DA CHIUDERE",$M121)&gt;0</formula>
    </cfRule>
    <cfRule type="expression" dxfId="3849" priority="3474">
      <formula>SEARCH("INTERROTTO",$M121)&gt;0</formula>
    </cfRule>
  </conditionalFormatting>
  <conditionalFormatting sqref="G121">
    <cfRule type="expression" dxfId="3848" priority="3457">
      <formula>SEARCH("IN CORSO",$M121)&gt;0</formula>
    </cfRule>
    <cfRule type="expression" dxfId="3847" priority="3458">
      <formula>SEARCH("CHIUSO",$M121)&gt;0</formula>
    </cfRule>
    <cfRule type="expression" dxfId="3846" priority="3459">
      <formula>SEARCH("EMESSO",$M121)&gt;0</formula>
    </cfRule>
    <cfRule type="expression" dxfId="3845" priority="3460">
      <formula>SEARCH("RICHIESTO",$M121)&gt;0</formula>
    </cfRule>
    <cfRule type="expression" dxfId="3844" priority="3461">
      <formula>SEARCH("DA CHIUDERE",$M121)&gt;0</formula>
    </cfRule>
    <cfRule type="expression" dxfId="3843" priority="3462">
      <formula>SEARCH("INTERROTTO",$M121)&gt;0</formula>
    </cfRule>
  </conditionalFormatting>
  <conditionalFormatting sqref="E121">
    <cfRule type="expression" dxfId="3842" priority="3463">
      <formula>SEARCH("IN CORSO",$M121)&gt;0</formula>
    </cfRule>
    <cfRule type="expression" dxfId="3841" priority="3464">
      <formula>SEARCH("CHIUSO",$M121)&gt;0</formula>
    </cfRule>
    <cfRule type="expression" dxfId="3840" priority="3465">
      <formula>SEARCH("EMESSO",$M121)&gt;0</formula>
    </cfRule>
    <cfRule type="expression" dxfId="3839" priority="3466">
      <formula>SEARCH("RICHIESTO",$M121)&gt;0</formula>
    </cfRule>
    <cfRule type="expression" dxfId="3838" priority="3467">
      <formula>SEARCH("DA CHIUDERE",$M121)&gt;0</formula>
    </cfRule>
    <cfRule type="expression" dxfId="3837" priority="3468">
      <formula>SEARCH("INTERROTTO",$M121)&gt;0</formula>
    </cfRule>
  </conditionalFormatting>
  <conditionalFormatting sqref="F121">
    <cfRule type="expression" dxfId="3836" priority="3451">
      <formula>SEARCH("IN CORSO",$M121)&gt;0</formula>
    </cfRule>
    <cfRule type="expression" dxfId="3835" priority="3452">
      <formula>SEARCH("CHIUSO",$M121)&gt;0</formula>
    </cfRule>
    <cfRule type="expression" dxfId="3834" priority="3453">
      <formula>SEARCH("EMESSO",$M121)&gt;0</formula>
    </cfRule>
    <cfRule type="expression" dxfId="3833" priority="3454">
      <formula>SEARCH("RICHIESTO",$M121)&gt;0</formula>
    </cfRule>
    <cfRule type="expression" dxfId="3832" priority="3455">
      <formula>SEARCH("DA CHIUDERE",$M121)&gt;0</formula>
    </cfRule>
    <cfRule type="expression" dxfId="3831" priority="3456">
      <formula>SEARCH("INTERROTTO",$M121)&gt;0</formula>
    </cfRule>
  </conditionalFormatting>
  <conditionalFormatting sqref="N120:S120">
    <cfRule type="expression" dxfId="3830" priority="3439">
      <formula>SEARCH("IN CORSO",$M120)&gt;0</formula>
    </cfRule>
    <cfRule type="expression" dxfId="3829" priority="3440">
      <formula>SEARCH("CHIUSO",$M120)&gt;0</formula>
    </cfRule>
    <cfRule type="expression" dxfId="3828" priority="3441">
      <formula>SEARCH("EMESSO",$M120)&gt;0</formula>
    </cfRule>
    <cfRule type="expression" dxfId="3827" priority="3442">
      <formula>SEARCH("RICHIESTO",$M120)&gt;0</formula>
    </cfRule>
    <cfRule type="expression" dxfId="3826" priority="3443">
      <formula>SEARCH("DA CHIUDERE",$M120)&gt;0</formula>
    </cfRule>
    <cfRule type="expression" dxfId="3825" priority="3444">
      <formula>SEARCH("INTERROTTO",$M120)&gt;0</formula>
    </cfRule>
  </conditionalFormatting>
  <conditionalFormatting sqref="G120">
    <cfRule type="expression" dxfId="3824" priority="3427">
      <formula>SEARCH("IN CORSO",$M120)&gt;0</formula>
    </cfRule>
    <cfRule type="expression" dxfId="3823" priority="3428">
      <formula>SEARCH("CHIUSO",$M120)&gt;0</formula>
    </cfRule>
    <cfRule type="expression" dxfId="3822" priority="3429">
      <formula>SEARCH("EMESSO",$M120)&gt;0</formula>
    </cfRule>
    <cfRule type="expression" dxfId="3821" priority="3430">
      <formula>SEARCH("RICHIESTO",$M120)&gt;0</formula>
    </cfRule>
    <cfRule type="expression" dxfId="3820" priority="3431">
      <formula>SEARCH("DA CHIUDERE",$M120)&gt;0</formula>
    </cfRule>
    <cfRule type="expression" dxfId="3819" priority="3432">
      <formula>SEARCH("INTERROTTO",$M120)&gt;0</formula>
    </cfRule>
  </conditionalFormatting>
  <conditionalFormatting sqref="E120">
    <cfRule type="expression" dxfId="3818" priority="3433">
      <formula>SEARCH("IN CORSO",$M120)&gt;0</formula>
    </cfRule>
    <cfRule type="expression" dxfId="3817" priority="3434">
      <formula>SEARCH("CHIUSO",$M120)&gt;0</formula>
    </cfRule>
    <cfRule type="expression" dxfId="3816" priority="3435">
      <formula>SEARCH("EMESSO",$M120)&gt;0</formula>
    </cfRule>
    <cfRule type="expression" dxfId="3815" priority="3436">
      <formula>SEARCH("RICHIESTO",$M120)&gt;0</formula>
    </cfRule>
    <cfRule type="expression" dxfId="3814" priority="3437">
      <formula>SEARCH("DA CHIUDERE",$M120)&gt;0</formula>
    </cfRule>
    <cfRule type="expression" dxfId="3813" priority="3438">
      <formula>SEARCH("INTERROTTO",$M120)&gt;0</formula>
    </cfRule>
  </conditionalFormatting>
  <conditionalFormatting sqref="F120">
    <cfRule type="expression" dxfId="3812" priority="3421">
      <formula>SEARCH("IN CORSO",$M120)&gt;0</formula>
    </cfRule>
    <cfRule type="expression" dxfId="3811" priority="3422">
      <formula>SEARCH("CHIUSO",$M120)&gt;0</formula>
    </cfRule>
    <cfRule type="expression" dxfId="3810" priority="3423">
      <formula>SEARCH("EMESSO",$M120)&gt;0</formula>
    </cfRule>
    <cfRule type="expression" dxfId="3809" priority="3424">
      <formula>SEARCH("RICHIESTO",$M120)&gt;0</formula>
    </cfRule>
    <cfRule type="expression" dxfId="3808" priority="3425">
      <formula>SEARCH("DA CHIUDERE",$M120)&gt;0</formula>
    </cfRule>
    <cfRule type="expression" dxfId="3807" priority="3426">
      <formula>SEARCH("INTERROTTO",$M120)&gt;0</formula>
    </cfRule>
  </conditionalFormatting>
  <conditionalFormatting sqref="N119:S119">
    <cfRule type="expression" dxfId="3806" priority="3409">
      <formula>SEARCH("IN CORSO",$M119)&gt;0</formula>
    </cfRule>
    <cfRule type="expression" dxfId="3805" priority="3410">
      <formula>SEARCH("CHIUSO",$M119)&gt;0</formula>
    </cfRule>
    <cfRule type="expression" dxfId="3804" priority="3411">
      <formula>SEARCH("EMESSO",$M119)&gt;0</formula>
    </cfRule>
    <cfRule type="expression" dxfId="3803" priority="3412">
      <formula>SEARCH("RICHIESTO",$M119)&gt;0</formula>
    </cfRule>
    <cfRule type="expression" dxfId="3802" priority="3413">
      <formula>SEARCH("DA CHIUDERE",$M119)&gt;0</formula>
    </cfRule>
    <cfRule type="expression" dxfId="3801" priority="3414">
      <formula>SEARCH("INTERROTTO",$M119)&gt;0</formula>
    </cfRule>
  </conditionalFormatting>
  <conditionalFormatting sqref="G119">
    <cfRule type="expression" dxfId="3800" priority="3397">
      <formula>SEARCH("IN CORSO",$M119)&gt;0</formula>
    </cfRule>
    <cfRule type="expression" dxfId="3799" priority="3398">
      <formula>SEARCH("CHIUSO",$M119)&gt;0</formula>
    </cfRule>
    <cfRule type="expression" dxfId="3798" priority="3399">
      <formula>SEARCH("EMESSO",$M119)&gt;0</formula>
    </cfRule>
    <cfRule type="expression" dxfId="3797" priority="3400">
      <formula>SEARCH("RICHIESTO",$M119)&gt;0</formula>
    </cfRule>
    <cfRule type="expression" dxfId="3796" priority="3401">
      <formula>SEARCH("DA CHIUDERE",$M119)&gt;0</formula>
    </cfRule>
    <cfRule type="expression" dxfId="3795" priority="3402">
      <formula>SEARCH("INTERROTTO",$M119)&gt;0</formula>
    </cfRule>
  </conditionalFormatting>
  <conditionalFormatting sqref="E119">
    <cfRule type="expression" dxfId="3794" priority="3403">
      <formula>SEARCH("IN CORSO",$M119)&gt;0</formula>
    </cfRule>
    <cfRule type="expression" dxfId="3793" priority="3404">
      <formula>SEARCH("CHIUSO",$M119)&gt;0</formula>
    </cfRule>
    <cfRule type="expression" dxfId="3792" priority="3405">
      <formula>SEARCH("EMESSO",$M119)&gt;0</formula>
    </cfRule>
    <cfRule type="expression" dxfId="3791" priority="3406">
      <formula>SEARCH("RICHIESTO",$M119)&gt;0</formula>
    </cfRule>
    <cfRule type="expression" dxfId="3790" priority="3407">
      <formula>SEARCH("DA CHIUDERE",$M119)&gt;0</formula>
    </cfRule>
    <cfRule type="expression" dxfId="3789" priority="3408">
      <formula>SEARCH("INTERROTTO",$M119)&gt;0</formula>
    </cfRule>
  </conditionalFormatting>
  <conditionalFormatting sqref="F119">
    <cfRule type="expression" dxfId="3788" priority="3391">
      <formula>SEARCH("IN CORSO",$M119)&gt;0</formula>
    </cfRule>
    <cfRule type="expression" dxfId="3787" priority="3392">
      <formula>SEARCH("CHIUSO",$M119)&gt;0</formula>
    </cfRule>
    <cfRule type="expression" dxfId="3786" priority="3393">
      <formula>SEARCH("EMESSO",$M119)&gt;0</formula>
    </cfRule>
    <cfRule type="expression" dxfId="3785" priority="3394">
      <formula>SEARCH("RICHIESTO",$M119)&gt;0</formula>
    </cfRule>
    <cfRule type="expression" dxfId="3784" priority="3395">
      <formula>SEARCH("DA CHIUDERE",$M119)&gt;0</formula>
    </cfRule>
    <cfRule type="expression" dxfId="3783" priority="3396">
      <formula>SEARCH("INTERROTTO",$M119)&gt;0</formula>
    </cfRule>
  </conditionalFormatting>
  <conditionalFormatting sqref="E118">
    <cfRule type="expression" dxfId="3782" priority="3379">
      <formula>SEARCH("IN CORSO",$M118)&gt;0</formula>
    </cfRule>
    <cfRule type="expression" dxfId="3781" priority="3380">
      <formula>SEARCH("CHIUSO",$M118)&gt;0</formula>
    </cfRule>
    <cfRule type="expression" dxfId="3780" priority="3381">
      <formula>SEARCH("EMESSO",$M118)&gt;0</formula>
    </cfRule>
    <cfRule type="expression" dxfId="3779" priority="3382">
      <formula>SEARCH("RICHIESTO",$M118)&gt;0</formula>
    </cfRule>
    <cfRule type="expression" dxfId="3778" priority="3383">
      <formula>SEARCH("DA CHIUDERE",$M118)&gt;0</formula>
    </cfRule>
    <cfRule type="expression" dxfId="3777" priority="3384">
      <formula>SEARCH("INTERROTTO",$M118)&gt;0</formula>
    </cfRule>
  </conditionalFormatting>
  <conditionalFormatting sqref="F118">
    <cfRule type="expression" dxfId="3776" priority="3367">
      <formula>SEARCH("IN CORSO",$M118)&gt;0</formula>
    </cfRule>
    <cfRule type="expression" dxfId="3775" priority="3368">
      <formula>SEARCH("CHIUSO",$M118)&gt;0</formula>
    </cfRule>
    <cfRule type="expression" dxfId="3774" priority="3369">
      <formula>SEARCH("EMESSO",$M118)&gt;0</formula>
    </cfRule>
    <cfRule type="expression" dxfId="3773" priority="3370">
      <formula>SEARCH("RICHIESTO",$M118)&gt;0</formula>
    </cfRule>
    <cfRule type="expression" dxfId="3772" priority="3371">
      <formula>SEARCH("DA CHIUDERE",$M118)&gt;0</formula>
    </cfRule>
    <cfRule type="expression" dxfId="3771" priority="3372">
      <formula>SEARCH("INTERROTTO",$M118)&gt;0</formula>
    </cfRule>
  </conditionalFormatting>
  <conditionalFormatting sqref="G118">
    <cfRule type="expression" dxfId="3770" priority="3373">
      <formula>SEARCH("IN CORSO",$M118)&gt;0</formula>
    </cfRule>
    <cfRule type="expression" dxfId="3769" priority="3374">
      <formula>SEARCH("CHIUSO",$M118)&gt;0</formula>
    </cfRule>
    <cfRule type="expression" dxfId="3768" priority="3375">
      <formula>SEARCH("EMESSO",$M118)&gt;0</formula>
    </cfRule>
    <cfRule type="expression" dxfId="3767" priority="3376">
      <formula>SEARCH("RICHIESTO",$M118)&gt;0</formula>
    </cfRule>
    <cfRule type="expression" dxfId="3766" priority="3377">
      <formula>SEARCH("DA CHIUDERE",$M118)&gt;0</formula>
    </cfRule>
    <cfRule type="expression" dxfId="3765" priority="3378">
      <formula>SEARCH("INTERROTTO",$M118)&gt;0</formula>
    </cfRule>
  </conditionalFormatting>
  <conditionalFormatting sqref="N117:S117">
    <cfRule type="expression" dxfId="3764" priority="3361">
      <formula>SEARCH("IN CORSO",$M117)&gt;0</formula>
    </cfRule>
    <cfRule type="expression" dxfId="3763" priority="3362">
      <formula>SEARCH("CHIUSO",$M117)&gt;0</formula>
    </cfRule>
    <cfRule type="expression" dxfId="3762" priority="3363">
      <formula>SEARCH("EMESSO",$M117)&gt;0</formula>
    </cfRule>
    <cfRule type="expression" dxfId="3761" priority="3364">
      <formula>SEARCH("RICHIESTO",$M117)&gt;0</formula>
    </cfRule>
    <cfRule type="expression" dxfId="3760" priority="3365">
      <formula>SEARCH("DA CHIUDERE",$M117)&gt;0</formula>
    </cfRule>
    <cfRule type="expression" dxfId="3759" priority="3366">
      <formula>SEARCH("INTERROTTO",$M117)&gt;0</formula>
    </cfRule>
  </conditionalFormatting>
  <conditionalFormatting sqref="G117">
    <cfRule type="expression" dxfId="3758" priority="3349">
      <formula>SEARCH("IN CORSO",$M117)&gt;0</formula>
    </cfRule>
    <cfRule type="expression" dxfId="3757" priority="3350">
      <formula>SEARCH("CHIUSO",$M117)&gt;0</formula>
    </cfRule>
    <cfRule type="expression" dxfId="3756" priority="3351">
      <formula>SEARCH("EMESSO",$M117)&gt;0</formula>
    </cfRule>
    <cfRule type="expression" dxfId="3755" priority="3352">
      <formula>SEARCH("RICHIESTO",$M117)&gt;0</formula>
    </cfRule>
    <cfRule type="expression" dxfId="3754" priority="3353">
      <formula>SEARCH("DA CHIUDERE",$M117)&gt;0</formula>
    </cfRule>
    <cfRule type="expression" dxfId="3753" priority="3354">
      <formula>SEARCH("INTERROTTO",$M117)&gt;0</formula>
    </cfRule>
  </conditionalFormatting>
  <conditionalFormatting sqref="N116:S116">
    <cfRule type="expression" dxfId="3752" priority="3337">
      <formula>SEARCH("IN CORSO",$M116)&gt;0</formula>
    </cfRule>
    <cfRule type="expression" dxfId="3751" priority="3338">
      <formula>SEARCH("CHIUSO",$M116)&gt;0</formula>
    </cfRule>
    <cfRule type="expression" dxfId="3750" priority="3339">
      <formula>SEARCH("EMESSO",$M116)&gt;0</formula>
    </cfRule>
    <cfRule type="expression" dxfId="3749" priority="3340">
      <formula>SEARCH("RICHIESTO",$M116)&gt;0</formula>
    </cfRule>
    <cfRule type="expression" dxfId="3748" priority="3341">
      <formula>SEARCH("DA CHIUDERE",$M116)&gt;0</formula>
    </cfRule>
    <cfRule type="expression" dxfId="3747" priority="3342">
      <formula>SEARCH("INTERROTTO",$M116)&gt;0</formula>
    </cfRule>
  </conditionalFormatting>
  <conditionalFormatting sqref="F117">
    <cfRule type="expression" dxfId="3746" priority="3343">
      <formula>SEARCH("IN CORSO",$M117)&gt;0</formula>
    </cfRule>
    <cfRule type="expression" dxfId="3745" priority="3344">
      <formula>SEARCH("CHIUSO",$M117)&gt;0</formula>
    </cfRule>
    <cfRule type="expression" dxfId="3744" priority="3345">
      <formula>SEARCH("EMESSO",$M117)&gt;0</formula>
    </cfRule>
    <cfRule type="expression" dxfId="3743" priority="3346">
      <formula>SEARCH("RICHIESTO",$M117)&gt;0</formula>
    </cfRule>
    <cfRule type="expression" dxfId="3742" priority="3347">
      <formula>SEARCH("DA CHIUDERE",$M117)&gt;0</formula>
    </cfRule>
    <cfRule type="expression" dxfId="3741" priority="3348">
      <formula>SEARCH("INTERROTTO",$M117)&gt;0</formula>
    </cfRule>
  </conditionalFormatting>
  <conditionalFormatting sqref="E116">
    <cfRule type="expression" dxfId="3740" priority="3331">
      <formula>SEARCH("IN CORSO",$M116)&gt;0</formula>
    </cfRule>
    <cfRule type="expression" dxfId="3739" priority="3332">
      <formula>SEARCH("CHIUSO",$M116)&gt;0</formula>
    </cfRule>
    <cfRule type="expression" dxfId="3738" priority="3333">
      <formula>SEARCH("EMESSO",$M116)&gt;0</formula>
    </cfRule>
    <cfRule type="expression" dxfId="3737" priority="3334">
      <formula>SEARCH("RICHIESTO",$M116)&gt;0</formula>
    </cfRule>
    <cfRule type="expression" dxfId="3736" priority="3335">
      <formula>SEARCH("DA CHIUDERE",$M116)&gt;0</formula>
    </cfRule>
    <cfRule type="expression" dxfId="3735" priority="3336">
      <formula>SEARCH("INTERROTTO",$M116)&gt;0</formula>
    </cfRule>
  </conditionalFormatting>
  <conditionalFormatting sqref="F116">
    <cfRule type="expression" dxfId="3734" priority="3319">
      <formula>SEARCH("IN CORSO",$M116)&gt;0</formula>
    </cfRule>
    <cfRule type="expression" dxfId="3733" priority="3320">
      <formula>SEARCH("CHIUSO",$M116)&gt;0</formula>
    </cfRule>
    <cfRule type="expression" dxfId="3732" priority="3321">
      <formula>SEARCH("EMESSO",$M116)&gt;0</formula>
    </cfRule>
    <cfRule type="expression" dxfId="3731" priority="3322">
      <formula>SEARCH("RICHIESTO",$M116)&gt;0</formula>
    </cfRule>
    <cfRule type="expression" dxfId="3730" priority="3323">
      <formula>SEARCH("DA CHIUDERE",$M116)&gt;0</formula>
    </cfRule>
    <cfRule type="expression" dxfId="3729" priority="3324">
      <formula>SEARCH("INTERROTTO",$M116)&gt;0</formula>
    </cfRule>
  </conditionalFormatting>
  <conditionalFormatting sqref="E115">
    <cfRule type="expression" dxfId="3728" priority="3307">
      <formula>SEARCH("IN CORSO",$M115)&gt;0</formula>
    </cfRule>
    <cfRule type="expression" dxfId="3727" priority="3308">
      <formula>SEARCH("CHIUSO",$M115)&gt;0</formula>
    </cfRule>
    <cfRule type="expression" dxfId="3726" priority="3309">
      <formula>SEARCH("EMESSO",$M115)&gt;0</formula>
    </cfRule>
    <cfRule type="expression" dxfId="3725" priority="3310">
      <formula>SEARCH("RICHIESTO",$M115)&gt;0</formula>
    </cfRule>
    <cfRule type="expression" dxfId="3724" priority="3311">
      <formula>SEARCH("DA CHIUDERE",$M115)&gt;0</formula>
    </cfRule>
    <cfRule type="expression" dxfId="3723" priority="3312">
      <formula>SEARCH("INTERROTTO",$M115)&gt;0</formula>
    </cfRule>
  </conditionalFormatting>
  <conditionalFormatting sqref="N115:S115">
    <cfRule type="expression" dxfId="3722" priority="3313">
      <formula>SEARCH("IN CORSO",$M115)&gt;0</formula>
    </cfRule>
    <cfRule type="expression" dxfId="3721" priority="3314">
      <formula>SEARCH("CHIUSO",$M115)&gt;0</formula>
    </cfRule>
    <cfRule type="expression" dxfId="3720" priority="3315">
      <formula>SEARCH("EMESSO",$M115)&gt;0</formula>
    </cfRule>
    <cfRule type="expression" dxfId="3719" priority="3316">
      <formula>SEARCH("RICHIESTO",$M115)&gt;0</formula>
    </cfRule>
    <cfRule type="expression" dxfId="3718" priority="3317">
      <formula>SEARCH("DA CHIUDERE",$M115)&gt;0</formula>
    </cfRule>
    <cfRule type="expression" dxfId="3717" priority="3318">
      <formula>SEARCH("INTERROTTO",$M115)&gt;0</formula>
    </cfRule>
  </conditionalFormatting>
  <conditionalFormatting sqref="G115">
    <cfRule type="expression" dxfId="3716" priority="3301">
      <formula>SEARCH("IN CORSO",$M115)&gt;0</formula>
    </cfRule>
    <cfRule type="expression" dxfId="3715" priority="3302">
      <formula>SEARCH("CHIUSO",$M115)&gt;0</formula>
    </cfRule>
    <cfRule type="expression" dxfId="3714" priority="3303">
      <formula>SEARCH("EMESSO",$M115)&gt;0</formula>
    </cfRule>
    <cfRule type="expression" dxfId="3713" priority="3304">
      <formula>SEARCH("RICHIESTO",$M115)&gt;0</formula>
    </cfRule>
    <cfRule type="expression" dxfId="3712" priority="3305">
      <formula>SEARCH("DA CHIUDERE",$M115)&gt;0</formula>
    </cfRule>
    <cfRule type="expression" dxfId="3711" priority="3306">
      <formula>SEARCH("INTERROTTO",$M115)&gt;0</formula>
    </cfRule>
  </conditionalFormatting>
  <conditionalFormatting sqref="N114:S114">
    <cfRule type="expression" dxfId="3710" priority="3289">
      <formula>SEARCH("IN CORSO",$M114)&gt;0</formula>
    </cfRule>
    <cfRule type="expression" dxfId="3709" priority="3290">
      <formula>SEARCH("CHIUSO",$M114)&gt;0</formula>
    </cfRule>
    <cfRule type="expression" dxfId="3708" priority="3291">
      <formula>SEARCH("EMESSO",$M114)&gt;0</formula>
    </cfRule>
    <cfRule type="expression" dxfId="3707" priority="3292">
      <formula>SEARCH("RICHIESTO",$M114)&gt;0</formula>
    </cfRule>
    <cfRule type="expression" dxfId="3706" priority="3293">
      <formula>SEARCH("DA CHIUDERE",$M114)&gt;0</formula>
    </cfRule>
    <cfRule type="expression" dxfId="3705" priority="3294">
      <formula>SEARCH("INTERROTTO",$M114)&gt;0</formula>
    </cfRule>
  </conditionalFormatting>
  <conditionalFormatting sqref="G114">
    <cfRule type="expression" dxfId="3704" priority="3277">
      <formula>SEARCH("IN CORSO",$M114)&gt;0</formula>
    </cfRule>
    <cfRule type="expression" dxfId="3703" priority="3278">
      <formula>SEARCH("CHIUSO",$M114)&gt;0</formula>
    </cfRule>
    <cfRule type="expression" dxfId="3702" priority="3279">
      <formula>SEARCH("EMESSO",$M114)&gt;0</formula>
    </cfRule>
    <cfRule type="expression" dxfId="3701" priority="3280">
      <formula>SEARCH("RICHIESTO",$M114)&gt;0</formula>
    </cfRule>
    <cfRule type="expression" dxfId="3700" priority="3281">
      <formula>SEARCH("DA CHIUDERE",$M114)&gt;0</formula>
    </cfRule>
    <cfRule type="expression" dxfId="3699" priority="3282">
      <formula>SEARCH("INTERROTTO",$M114)&gt;0</formula>
    </cfRule>
  </conditionalFormatting>
  <conditionalFormatting sqref="E114">
    <cfRule type="expression" dxfId="3698" priority="3283">
      <formula>SEARCH("IN CORSO",$M114)&gt;0</formula>
    </cfRule>
    <cfRule type="expression" dxfId="3697" priority="3284">
      <formula>SEARCH("CHIUSO",$M114)&gt;0</formula>
    </cfRule>
    <cfRule type="expression" dxfId="3696" priority="3285">
      <formula>SEARCH("EMESSO",$M114)&gt;0</formula>
    </cfRule>
    <cfRule type="expression" dxfId="3695" priority="3286">
      <formula>SEARCH("RICHIESTO",$M114)&gt;0</formula>
    </cfRule>
    <cfRule type="expression" dxfId="3694" priority="3287">
      <formula>SEARCH("DA CHIUDERE",$M114)&gt;0</formula>
    </cfRule>
    <cfRule type="expression" dxfId="3693" priority="3288">
      <formula>SEARCH("INTERROTTO",$M114)&gt;0</formula>
    </cfRule>
  </conditionalFormatting>
  <conditionalFormatting sqref="F114">
    <cfRule type="expression" dxfId="3692" priority="3271">
      <formula>SEARCH("IN CORSO",$M114)&gt;0</formula>
    </cfRule>
    <cfRule type="expression" dxfId="3691" priority="3272">
      <formula>SEARCH("CHIUSO",$M114)&gt;0</formula>
    </cfRule>
    <cfRule type="expression" dxfId="3690" priority="3273">
      <formula>SEARCH("EMESSO",$M114)&gt;0</formula>
    </cfRule>
    <cfRule type="expression" dxfId="3689" priority="3274">
      <formula>SEARCH("RICHIESTO",$M114)&gt;0</formula>
    </cfRule>
    <cfRule type="expression" dxfId="3688" priority="3275">
      <formula>SEARCH("DA CHIUDERE",$M114)&gt;0</formula>
    </cfRule>
    <cfRule type="expression" dxfId="3687" priority="3276">
      <formula>SEARCH("INTERROTTO",$M114)&gt;0</formula>
    </cfRule>
  </conditionalFormatting>
  <conditionalFormatting sqref="E113">
    <cfRule type="expression" dxfId="3686" priority="3259">
      <formula>SEARCH("IN CORSO",$M113)&gt;0</formula>
    </cfRule>
    <cfRule type="expression" dxfId="3685" priority="3260">
      <formula>SEARCH("CHIUSO",$M113)&gt;0</formula>
    </cfRule>
    <cfRule type="expression" dxfId="3684" priority="3261">
      <formula>SEARCH("EMESSO",$M113)&gt;0</formula>
    </cfRule>
    <cfRule type="expression" dxfId="3683" priority="3262">
      <formula>SEARCH("RICHIESTO",$M113)&gt;0</formula>
    </cfRule>
    <cfRule type="expression" dxfId="3682" priority="3263">
      <formula>SEARCH("DA CHIUDERE",$M113)&gt;0</formula>
    </cfRule>
    <cfRule type="expression" dxfId="3681" priority="3264">
      <formula>SEARCH("INTERROTTO",$M113)&gt;0</formula>
    </cfRule>
  </conditionalFormatting>
  <conditionalFormatting sqref="F113">
    <cfRule type="expression" dxfId="3680" priority="3247">
      <formula>SEARCH("IN CORSO",$M113)&gt;0</formula>
    </cfRule>
    <cfRule type="expression" dxfId="3679" priority="3248">
      <formula>SEARCH("CHIUSO",$M113)&gt;0</formula>
    </cfRule>
    <cfRule type="expression" dxfId="3678" priority="3249">
      <formula>SEARCH("EMESSO",$M113)&gt;0</formula>
    </cfRule>
    <cfRule type="expression" dxfId="3677" priority="3250">
      <formula>SEARCH("RICHIESTO",$M113)&gt;0</formula>
    </cfRule>
    <cfRule type="expression" dxfId="3676" priority="3251">
      <formula>SEARCH("DA CHIUDERE",$M113)&gt;0</formula>
    </cfRule>
    <cfRule type="expression" dxfId="3675" priority="3252">
      <formula>SEARCH("INTERROTTO",$M113)&gt;0</formula>
    </cfRule>
  </conditionalFormatting>
  <conditionalFormatting sqref="G113">
    <cfRule type="expression" dxfId="3674" priority="3253">
      <formula>SEARCH("IN CORSO",$M113)&gt;0</formula>
    </cfRule>
    <cfRule type="expression" dxfId="3673" priority="3254">
      <formula>SEARCH("CHIUSO",$M113)&gt;0</formula>
    </cfRule>
    <cfRule type="expression" dxfId="3672" priority="3255">
      <formula>SEARCH("EMESSO",$M113)&gt;0</formula>
    </cfRule>
    <cfRule type="expression" dxfId="3671" priority="3256">
      <formula>SEARCH("RICHIESTO",$M113)&gt;0</formula>
    </cfRule>
    <cfRule type="expression" dxfId="3670" priority="3257">
      <formula>SEARCH("DA CHIUDERE",$M113)&gt;0</formula>
    </cfRule>
    <cfRule type="expression" dxfId="3669" priority="3258">
      <formula>SEARCH("INTERROTTO",$M113)&gt;0</formula>
    </cfRule>
  </conditionalFormatting>
  <conditionalFormatting sqref="N112:S112">
    <cfRule type="expression" dxfId="3668" priority="3241">
      <formula>SEARCH("IN CORSO",$M112)&gt;0</formula>
    </cfRule>
    <cfRule type="expression" dxfId="3667" priority="3242">
      <formula>SEARCH("CHIUSO",$M112)&gt;0</formula>
    </cfRule>
    <cfRule type="expression" dxfId="3666" priority="3243">
      <formula>SEARCH("EMESSO",$M112)&gt;0</formula>
    </cfRule>
    <cfRule type="expression" dxfId="3665" priority="3244">
      <formula>SEARCH("RICHIESTO",$M112)&gt;0</formula>
    </cfRule>
    <cfRule type="expression" dxfId="3664" priority="3245">
      <formula>SEARCH("DA CHIUDERE",$M112)&gt;0</formula>
    </cfRule>
    <cfRule type="expression" dxfId="3663" priority="3246">
      <formula>SEARCH("INTERROTTO",$M112)&gt;0</formula>
    </cfRule>
  </conditionalFormatting>
  <conditionalFormatting sqref="G112">
    <cfRule type="expression" dxfId="3662" priority="3229">
      <formula>SEARCH("IN CORSO",$M112)&gt;0</formula>
    </cfRule>
    <cfRule type="expression" dxfId="3661" priority="3230">
      <formula>SEARCH("CHIUSO",$M112)&gt;0</formula>
    </cfRule>
    <cfRule type="expression" dxfId="3660" priority="3231">
      <formula>SEARCH("EMESSO",$M112)&gt;0</formula>
    </cfRule>
    <cfRule type="expression" dxfId="3659" priority="3232">
      <formula>SEARCH("RICHIESTO",$M112)&gt;0</formula>
    </cfRule>
    <cfRule type="expression" dxfId="3658" priority="3233">
      <formula>SEARCH("DA CHIUDERE",$M112)&gt;0</formula>
    </cfRule>
    <cfRule type="expression" dxfId="3657" priority="3234">
      <formula>SEARCH("INTERROTTO",$M112)&gt;0</formula>
    </cfRule>
  </conditionalFormatting>
  <conditionalFormatting sqref="N111:S111">
    <cfRule type="expression" dxfId="3656" priority="3217">
      <formula>SEARCH("IN CORSO",$M111)&gt;0</formula>
    </cfRule>
    <cfRule type="expression" dxfId="3655" priority="3218">
      <formula>SEARCH("CHIUSO",$M111)&gt;0</formula>
    </cfRule>
    <cfRule type="expression" dxfId="3654" priority="3219">
      <formula>SEARCH("EMESSO",$M111)&gt;0</formula>
    </cfRule>
    <cfRule type="expression" dxfId="3653" priority="3220">
      <formula>SEARCH("RICHIESTO",$M111)&gt;0</formula>
    </cfRule>
    <cfRule type="expression" dxfId="3652" priority="3221">
      <formula>SEARCH("DA CHIUDERE",$M111)&gt;0</formula>
    </cfRule>
    <cfRule type="expression" dxfId="3651" priority="3222">
      <formula>SEARCH("INTERROTTO",$M111)&gt;0</formula>
    </cfRule>
  </conditionalFormatting>
  <conditionalFormatting sqref="F112">
    <cfRule type="expression" dxfId="3650" priority="3223">
      <formula>SEARCH("IN CORSO",$M112)&gt;0</formula>
    </cfRule>
    <cfRule type="expression" dxfId="3649" priority="3224">
      <formula>SEARCH("CHIUSO",$M112)&gt;0</formula>
    </cfRule>
    <cfRule type="expression" dxfId="3648" priority="3225">
      <formula>SEARCH("EMESSO",$M112)&gt;0</formula>
    </cfRule>
    <cfRule type="expression" dxfId="3647" priority="3226">
      <formula>SEARCH("RICHIESTO",$M112)&gt;0</formula>
    </cfRule>
    <cfRule type="expression" dxfId="3646" priority="3227">
      <formula>SEARCH("DA CHIUDERE",$M112)&gt;0</formula>
    </cfRule>
    <cfRule type="expression" dxfId="3645" priority="3228">
      <formula>SEARCH("INTERROTTO",$M112)&gt;0</formula>
    </cfRule>
  </conditionalFormatting>
  <conditionalFormatting sqref="E111">
    <cfRule type="expression" dxfId="3644" priority="3211">
      <formula>SEARCH("IN CORSO",$M111)&gt;0</formula>
    </cfRule>
    <cfRule type="expression" dxfId="3643" priority="3212">
      <formula>SEARCH("CHIUSO",$M111)&gt;0</formula>
    </cfRule>
    <cfRule type="expression" dxfId="3642" priority="3213">
      <formula>SEARCH("EMESSO",$M111)&gt;0</formula>
    </cfRule>
    <cfRule type="expression" dxfId="3641" priority="3214">
      <formula>SEARCH("RICHIESTO",$M111)&gt;0</formula>
    </cfRule>
    <cfRule type="expression" dxfId="3640" priority="3215">
      <formula>SEARCH("DA CHIUDERE",$M111)&gt;0</formula>
    </cfRule>
    <cfRule type="expression" dxfId="3639" priority="3216">
      <formula>SEARCH("INTERROTTO",$M111)&gt;0</formula>
    </cfRule>
  </conditionalFormatting>
  <conditionalFormatting sqref="F111">
    <cfRule type="expression" dxfId="3638" priority="3199">
      <formula>SEARCH("IN CORSO",$M111)&gt;0</formula>
    </cfRule>
    <cfRule type="expression" dxfId="3637" priority="3200">
      <formula>SEARCH("CHIUSO",$M111)&gt;0</formula>
    </cfRule>
    <cfRule type="expression" dxfId="3636" priority="3201">
      <formula>SEARCH("EMESSO",$M111)&gt;0</formula>
    </cfRule>
    <cfRule type="expression" dxfId="3635" priority="3202">
      <formula>SEARCH("RICHIESTO",$M111)&gt;0</formula>
    </cfRule>
    <cfRule type="expression" dxfId="3634" priority="3203">
      <formula>SEARCH("DA CHIUDERE",$M111)&gt;0</formula>
    </cfRule>
    <cfRule type="expression" dxfId="3633" priority="3204">
      <formula>SEARCH("INTERROTTO",$M111)&gt;0</formula>
    </cfRule>
  </conditionalFormatting>
  <conditionalFormatting sqref="E110">
    <cfRule type="expression" dxfId="3632" priority="3187">
      <formula>SEARCH("IN CORSO",$M110)&gt;0</formula>
    </cfRule>
    <cfRule type="expression" dxfId="3631" priority="3188">
      <formula>SEARCH("CHIUSO",$M110)&gt;0</formula>
    </cfRule>
    <cfRule type="expression" dxfId="3630" priority="3189">
      <formula>SEARCH("EMESSO",$M110)&gt;0</formula>
    </cfRule>
    <cfRule type="expression" dxfId="3629" priority="3190">
      <formula>SEARCH("RICHIESTO",$M110)&gt;0</formula>
    </cfRule>
    <cfRule type="expression" dxfId="3628" priority="3191">
      <formula>SEARCH("DA CHIUDERE",$M110)&gt;0</formula>
    </cfRule>
    <cfRule type="expression" dxfId="3627" priority="3192">
      <formula>SEARCH("INTERROTTO",$M110)&gt;0</formula>
    </cfRule>
  </conditionalFormatting>
  <conditionalFormatting sqref="N110:S110">
    <cfRule type="expression" dxfId="3626" priority="3193">
      <formula>SEARCH("IN CORSO",$M110)&gt;0</formula>
    </cfRule>
    <cfRule type="expression" dxfId="3625" priority="3194">
      <formula>SEARCH("CHIUSO",$M110)&gt;0</formula>
    </cfRule>
    <cfRule type="expression" dxfId="3624" priority="3195">
      <formula>SEARCH("EMESSO",$M110)&gt;0</formula>
    </cfRule>
    <cfRule type="expression" dxfId="3623" priority="3196">
      <formula>SEARCH("RICHIESTO",$M110)&gt;0</formula>
    </cfRule>
    <cfRule type="expression" dxfId="3622" priority="3197">
      <formula>SEARCH("DA CHIUDERE",$M110)&gt;0</formula>
    </cfRule>
    <cfRule type="expression" dxfId="3621" priority="3198">
      <formula>SEARCH("INTERROTTO",$M110)&gt;0</formula>
    </cfRule>
  </conditionalFormatting>
  <conditionalFormatting sqref="G110">
    <cfRule type="expression" dxfId="3620" priority="3181">
      <formula>SEARCH("IN CORSO",$M110)&gt;0</formula>
    </cfRule>
    <cfRule type="expression" dxfId="3619" priority="3182">
      <formula>SEARCH("CHIUSO",$M110)&gt;0</formula>
    </cfRule>
    <cfRule type="expression" dxfId="3618" priority="3183">
      <formula>SEARCH("EMESSO",$M110)&gt;0</formula>
    </cfRule>
    <cfRule type="expression" dxfId="3617" priority="3184">
      <formula>SEARCH("RICHIESTO",$M110)&gt;0</formula>
    </cfRule>
    <cfRule type="expression" dxfId="3616" priority="3185">
      <formula>SEARCH("DA CHIUDERE",$M110)&gt;0</formula>
    </cfRule>
    <cfRule type="expression" dxfId="3615" priority="3186">
      <formula>SEARCH("INTERROTTO",$M110)&gt;0</formula>
    </cfRule>
  </conditionalFormatting>
  <conditionalFormatting sqref="N109:S109">
    <cfRule type="expression" dxfId="3614" priority="3169">
      <formula>SEARCH("IN CORSO",$M109)&gt;0</formula>
    </cfRule>
    <cfRule type="expression" dxfId="3613" priority="3170">
      <formula>SEARCH("CHIUSO",$M109)&gt;0</formula>
    </cfRule>
    <cfRule type="expression" dxfId="3612" priority="3171">
      <formula>SEARCH("EMESSO",$M109)&gt;0</formula>
    </cfRule>
    <cfRule type="expression" dxfId="3611" priority="3172">
      <formula>SEARCH("RICHIESTO",$M109)&gt;0</formula>
    </cfRule>
    <cfRule type="expression" dxfId="3610" priority="3173">
      <formula>SEARCH("DA CHIUDERE",$M109)&gt;0</formula>
    </cfRule>
    <cfRule type="expression" dxfId="3609" priority="3174">
      <formula>SEARCH("INTERROTTO",$M109)&gt;0</formula>
    </cfRule>
  </conditionalFormatting>
  <conditionalFormatting sqref="G109">
    <cfRule type="expression" dxfId="3608" priority="3157">
      <formula>SEARCH("IN CORSO",$M109)&gt;0</formula>
    </cfRule>
    <cfRule type="expression" dxfId="3607" priority="3158">
      <formula>SEARCH("CHIUSO",$M109)&gt;0</formula>
    </cfRule>
    <cfRule type="expression" dxfId="3606" priority="3159">
      <formula>SEARCH("EMESSO",$M109)&gt;0</formula>
    </cfRule>
    <cfRule type="expression" dxfId="3605" priority="3160">
      <formula>SEARCH("RICHIESTO",$M109)&gt;0</formula>
    </cfRule>
    <cfRule type="expression" dxfId="3604" priority="3161">
      <formula>SEARCH("DA CHIUDERE",$M109)&gt;0</formula>
    </cfRule>
    <cfRule type="expression" dxfId="3603" priority="3162">
      <formula>SEARCH("INTERROTTO",$M109)&gt;0</formula>
    </cfRule>
  </conditionalFormatting>
  <conditionalFormatting sqref="E109">
    <cfRule type="expression" dxfId="3602" priority="3163">
      <formula>SEARCH("IN CORSO",$M109)&gt;0</formula>
    </cfRule>
    <cfRule type="expression" dxfId="3601" priority="3164">
      <formula>SEARCH("CHIUSO",$M109)&gt;0</formula>
    </cfRule>
    <cfRule type="expression" dxfId="3600" priority="3165">
      <formula>SEARCH("EMESSO",$M109)&gt;0</formula>
    </cfRule>
    <cfRule type="expression" dxfId="3599" priority="3166">
      <formula>SEARCH("RICHIESTO",$M109)&gt;0</formula>
    </cfRule>
    <cfRule type="expression" dxfId="3598" priority="3167">
      <formula>SEARCH("DA CHIUDERE",$M109)&gt;0</formula>
    </cfRule>
    <cfRule type="expression" dxfId="3597" priority="3168">
      <formula>SEARCH("INTERROTTO",$M109)&gt;0</formula>
    </cfRule>
  </conditionalFormatting>
  <conditionalFormatting sqref="F109">
    <cfRule type="expression" dxfId="3596" priority="3151">
      <formula>SEARCH("IN CORSO",$M109)&gt;0</formula>
    </cfRule>
    <cfRule type="expression" dxfId="3595" priority="3152">
      <formula>SEARCH("CHIUSO",$M109)&gt;0</formula>
    </cfRule>
    <cfRule type="expression" dxfId="3594" priority="3153">
      <formula>SEARCH("EMESSO",$M109)&gt;0</formula>
    </cfRule>
    <cfRule type="expression" dxfId="3593" priority="3154">
      <formula>SEARCH("RICHIESTO",$M109)&gt;0</formula>
    </cfRule>
    <cfRule type="expression" dxfId="3592" priority="3155">
      <formula>SEARCH("DA CHIUDERE",$M109)&gt;0</formula>
    </cfRule>
    <cfRule type="expression" dxfId="3591" priority="3156">
      <formula>SEARCH("INTERROTTO",$M109)&gt;0</formula>
    </cfRule>
  </conditionalFormatting>
  <conditionalFormatting sqref="E108">
    <cfRule type="expression" dxfId="3590" priority="3139">
      <formula>SEARCH("IN CORSO",$M108)&gt;0</formula>
    </cfRule>
    <cfRule type="expression" dxfId="3589" priority="3140">
      <formula>SEARCH("CHIUSO",$M108)&gt;0</formula>
    </cfRule>
    <cfRule type="expression" dxfId="3588" priority="3141">
      <formula>SEARCH("EMESSO",$M108)&gt;0</formula>
    </cfRule>
    <cfRule type="expression" dxfId="3587" priority="3142">
      <formula>SEARCH("RICHIESTO",$M108)&gt;0</formula>
    </cfRule>
    <cfRule type="expression" dxfId="3586" priority="3143">
      <formula>SEARCH("DA CHIUDERE",$M108)&gt;0</formula>
    </cfRule>
    <cfRule type="expression" dxfId="3585" priority="3144">
      <formula>SEARCH("INTERROTTO",$M108)&gt;0</formula>
    </cfRule>
  </conditionalFormatting>
  <conditionalFormatting sqref="F108">
    <cfRule type="expression" dxfId="3584" priority="3127">
      <formula>SEARCH("IN CORSO",$M108)&gt;0</formula>
    </cfRule>
    <cfRule type="expression" dxfId="3583" priority="3128">
      <formula>SEARCH("CHIUSO",$M108)&gt;0</formula>
    </cfRule>
    <cfRule type="expression" dxfId="3582" priority="3129">
      <formula>SEARCH("EMESSO",$M108)&gt;0</formula>
    </cfRule>
    <cfRule type="expression" dxfId="3581" priority="3130">
      <formula>SEARCH("RICHIESTO",$M108)&gt;0</formula>
    </cfRule>
    <cfRule type="expression" dxfId="3580" priority="3131">
      <formula>SEARCH("DA CHIUDERE",$M108)&gt;0</formula>
    </cfRule>
    <cfRule type="expression" dxfId="3579" priority="3132">
      <formula>SEARCH("INTERROTTO",$M108)&gt;0</formula>
    </cfRule>
  </conditionalFormatting>
  <conditionalFormatting sqref="G108">
    <cfRule type="expression" dxfId="3578" priority="3133">
      <formula>SEARCH("IN CORSO",$M108)&gt;0</formula>
    </cfRule>
    <cfRule type="expression" dxfId="3577" priority="3134">
      <formula>SEARCH("CHIUSO",$M108)&gt;0</formula>
    </cfRule>
    <cfRule type="expression" dxfId="3576" priority="3135">
      <formula>SEARCH("EMESSO",$M108)&gt;0</formula>
    </cfRule>
    <cfRule type="expression" dxfId="3575" priority="3136">
      <formula>SEARCH("RICHIESTO",$M108)&gt;0</formula>
    </cfRule>
    <cfRule type="expression" dxfId="3574" priority="3137">
      <formula>SEARCH("DA CHIUDERE",$M108)&gt;0</formula>
    </cfRule>
    <cfRule type="expression" dxfId="3573" priority="3138">
      <formula>SEARCH("INTERROTTO",$M108)&gt;0</formula>
    </cfRule>
  </conditionalFormatting>
  <conditionalFormatting sqref="N107:S107">
    <cfRule type="expression" dxfId="3572" priority="3121">
      <formula>SEARCH("IN CORSO",$M107)&gt;0</formula>
    </cfRule>
    <cfRule type="expression" dxfId="3571" priority="3122">
      <formula>SEARCH("CHIUSO",$M107)&gt;0</formula>
    </cfRule>
    <cfRule type="expression" dxfId="3570" priority="3123">
      <formula>SEARCH("EMESSO",$M107)&gt;0</formula>
    </cfRule>
    <cfRule type="expression" dxfId="3569" priority="3124">
      <formula>SEARCH("RICHIESTO",$M107)&gt;0</formula>
    </cfRule>
    <cfRule type="expression" dxfId="3568" priority="3125">
      <formula>SEARCH("DA CHIUDERE",$M107)&gt;0</formula>
    </cfRule>
    <cfRule type="expression" dxfId="3567" priority="3126">
      <formula>SEARCH("INTERROTTO",$M107)&gt;0</formula>
    </cfRule>
  </conditionalFormatting>
  <conditionalFormatting sqref="G107">
    <cfRule type="expression" dxfId="3566" priority="3109">
      <formula>SEARCH("IN CORSO",$M107)&gt;0</formula>
    </cfRule>
    <cfRule type="expression" dxfId="3565" priority="3110">
      <formula>SEARCH("CHIUSO",$M107)&gt;0</formula>
    </cfRule>
    <cfRule type="expression" dxfId="3564" priority="3111">
      <formula>SEARCH("EMESSO",$M107)&gt;0</formula>
    </cfRule>
    <cfRule type="expression" dxfId="3563" priority="3112">
      <formula>SEARCH("RICHIESTO",$M107)&gt;0</formula>
    </cfRule>
    <cfRule type="expression" dxfId="3562" priority="3113">
      <formula>SEARCH("DA CHIUDERE",$M107)&gt;0</formula>
    </cfRule>
    <cfRule type="expression" dxfId="3561" priority="3114">
      <formula>SEARCH("INTERROTTO",$M107)&gt;0</formula>
    </cfRule>
  </conditionalFormatting>
  <conditionalFormatting sqref="N106:S106">
    <cfRule type="expression" dxfId="3560" priority="3097">
      <formula>SEARCH("IN CORSO",$M106)&gt;0</formula>
    </cfRule>
    <cfRule type="expression" dxfId="3559" priority="3098">
      <formula>SEARCH("CHIUSO",$M106)&gt;0</formula>
    </cfRule>
    <cfRule type="expression" dxfId="3558" priority="3099">
      <formula>SEARCH("EMESSO",$M106)&gt;0</formula>
    </cfRule>
    <cfRule type="expression" dxfId="3557" priority="3100">
      <formula>SEARCH("RICHIESTO",$M106)&gt;0</formula>
    </cfRule>
    <cfRule type="expression" dxfId="3556" priority="3101">
      <formula>SEARCH("DA CHIUDERE",$M106)&gt;0</formula>
    </cfRule>
    <cfRule type="expression" dxfId="3555" priority="3102">
      <formula>SEARCH("INTERROTTO",$M106)&gt;0</formula>
    </cfRule>
  </conditionalFormatting>
  <conditionalFormatting sqref="F107">
    <cfRule type="expression" dxfId="3554" priority="3103">
      <formula>SEARCH("IN CORSO",$M107)&gt;0</formula>
    </cfRule>
    <cfRule type="expression" dxfId="3553" priority="3104">
      <formula>SEARCH("CHIUSO",$M107)&gt;0</formula>
    </cfRule>
    <cfRule type="expression" dxfId="3552" priority="3105">
      <formula>SEARCH("EMESSO",$M107)&gt;0</formula>
    </cfRule>
    <cfRule type="expression" dxfId="3551" priority="3106">
      <formula>SEARCH("RICHIESTO",$M107)&gt;0</formula>
    </cfRule>
    <cfRule type="expression" dxfId="3550" priority="3107">
      <formula>SEARCH("DA CHIUDERE",$M107)&gt;0</formula>
    </cfRule>
    <cfRule type="expression" dxfId="3549" priority="3108">
      <formula>SEARCH("INTERROTTO",$M107)&gt;0</formula>
    </cfRule>
  </conditionalFormatting>
  <conditionalFormatting sqref="E106">
    <cfRule type="expression" dxfId="3548" priority="3091">
      <formula>SEARCH("IN CORSO",$M106)&gt;0</formula>
    </cfRule>
    <cfRule type="expression" dxfId="3547" priority="3092">
      <formula>SEARCH("CHIUSO",$M106)&gt;0</formula>
    </cfRule>
    <cfRule type="expression" dxfId="3546" priority="3093">
      <formula>SEARCH("EMESSO",$M106)&gt;0</formula>
    </cfRule>
    <cfRule type="expression" dxfId="3545" priority="3094">
      <formula>SEARCH("RICHIESTO",$M106)&gt;0</formula>
    </cfRule>
    <cfRule type="expression" dxfId="3544" priority="3095">
      <formula>SEARCH("DA CHIUDERE",$M106)&gt;0</formula>
    </cfRule>
    <cfRule type="expression" dxfId="3543" priority="3096">
      <formula>SEARCH("INTERROTTO",$M106)&gt;0</formula>
    </cfRule>
  </conditionalFormatting>
  <conditionalFormatting sqref="M105">
    <cfRule type="expression" dxfId="3542" priority="3073">
      <formula>SEARCH("IN CORSO",$M105)&gt;0</formula>
    </cfRule>
    <cfRule type="expression" dxfId="3541" priority="3074">
      <formula>SEARCH("CHIUSO",$M105)&gt;0</formula>
    </cfRule>
    <cfRule type="expression" dxfId="3540" priority="3075">
      <formula>SEARCH("EMESSO",$M105)&gt;0</formula>
    </cfRule>
    <cfRule type="expression" dxfId="3539" priority="3076">
      <formula>SEARCH("RICHIESTO",$M105)&gt;0</formula>
    </cfRule>
    <cfRule type="expression" dxfId="3538" priority="3077">
      <formula>SEARCH("DA CHIUDERE",$M105)&gt;0</formula>
    </cfRule>
    <cfRule type="expression" dxfId="3537" priority="3078">
      <formula>SEARCH("INTERROTTO",$M105)&gt;0</formula>
    </cfRule>
  </conditionalFormatting>
  <conditionalFormatting sqref="N105:S105">
    <cfRule type="expression" dxfId="3536" priority="3067">
      <formula>SEARCH("IN CORSO",$M105)&gt;0</formula>
    </cfRule>
    <cfRule type="expression" dxfId="3535" priority="3068">
      <formula>SEARCH("CHIUSO",$M105)&gt;0</formula>
    </cfRule>
    <cfRule type="expression" dxfId="3534" priority="3069">
      <formula>SEARCH("EMESSO",$M105)&gt;0</formula>
    </cfRule>
    <cfRule type="expression" dxfId="3533" priority="3070">
      <formula>SEARCH("RICHIESTO",$M105)&gt;0</formula>
    </cfRule>
    <cfRule type="expression" dxfId="3532" priority="3071">
      <formula>SEARCH("DA CHIUDERE",$M105)&gt;0</formula>
    </cfRule>
    <cfRule type="expression" dxfId="3531" priority="3072">
      <formula>SEARCH("INTERROTTO",$M105)&gt;0</formula>
    </cfRule>
  </conditionalFormatting>
  <conditionalFormatting sqref="G105">
    <cfRule type="expression" dxfId="3530" priority="3055">
      <formula>SEARCH("IN CORSO",$M105)&gt;0</formula>
    </cfRule>
    <cfRule type="expression" dxfId="3529" priority="3056">
      <formula>SEARCH("CHIUSO",$M105)&gt;0</formula>
    </cfRule>
    <cfRule type="expression" dxfId="3528" priority="3057">
      <formula>SEARCH("EMESSO",$M105)&gt;0</formula>
    </cfRule>
    <cfRule type="expression" dxfId="3527" priority="3058">
      <formula>SEARCH("RICHIESTO",$M105)&gt;0</formula>
    </cfRule>
    <cfRule type="expression" dxfId="3526" priority="3059">
      <formula>SEARCH("DA CHIUDERE",$M105)&gt;0</formula>
    </cfRule>
    <cfRule type="expression" dxfId="3525" priority="3060">
      <formula>SEARCH("INTERROTTO",$M105)&gt;0</formula>
    </cfRule>
  </conditionalFormatting>
  <conditionalFormatting sqref="E105">
    <cfRule type="expression" dxfId="3524" priority="3061">
      <formula>SEARCH("IN CORSO",$M105)&gt;0</formula>
    </cfRule>
    <cfRule type="expression" dxfId="3523" priority="3062">
      <formula>SEARCH("CHIUSO",$M105)&gt;0</formula>
    </cfRule>
    <cfRule type="expression" dxfId="3522" priority="3063">
      <formula>SEARCH("EMESSO",$M105)&gt;0</formula>
    </cfRule>
    <cfRule type="expression" dxfId="3521" priority="3064">
      <formula>SEARCH("RICHIESTO",$M105)&gt;0</formula>
    </cfRule>
    <cfRule type="expression" dxfId="3520" priority="3065">
      <formula>SEARCH("DA CHIUDERE",$M105)&gt;0</formula>
    </cfRule>
    <cfRule type="expression" dxfId="3519" priority="3066">
      <formula>SEARCH("INTERROTTO",$M105)&gt;0</formula>
    </cfRule>
  </conditionalFormatting>
  <conditionalFormatting sqref="F105">
    <cfRule type="expression" dxfId="3518" priority="3049">
      <formula>SEARCH("IN CORSO",$M105)&gt;0</formula>
    </cfRule>
    <cfRule type="expression" dxfId="3517" priority="3050">
      <formula>SEARCH("CHIUSO",$M105)&gt;0</formula>
    </cfRule>
    <cfRule type="expression" dxfId="3516" priority="3051">
      <formula>SEARCH("EMESSO",$M105)&gt;0</formula>
    </cfRule>
    <cfRule type="expression" dxfId="3515" priority="3052">
      <formula>SEARCH("RICHIESTO",$M105)&gt;0</formula>
    </cfRule>
    <cfRule type="expression" dxfId="3514" priority="3053">
      <formula>SEARCH("DA CHIUDERE",$M105)&gt;0</formula>
    </cfRule>
    <cfRule type="expression" dxfId="3513" priority="3054">
      <formula>SEARCH("INTERROTTO",$M105)&gt;0</formula>
    </cfRule>
  </conditionalFormatting>
  <conditionalFormatting sqref="M104">
    <cfRule type="expression" dxfId="3512" priority="3043">
      <formula>SEARCH("IN CORSO",$M104)&gt;0</formula>
    </cfRule>
    <cfRule type="expression" dxfId="3511" priority="3044">
      <formula>SEARCH("CHIUSO",$M104)&gt;0</formula>
    </cfRule>
    <cfRule type="expression" dxfId="3510" priority="3045">
      <formula>SEARCH("EMESSO",$M104)&gt;0</formula>
    </cfRule>
    <cfRule type="expression" dxfId="3509" priority="3046">
      <formula>SEARCH("RICHIESTO",$M104)&gt;0</formula>
    </cfRule>
    <cfRule type="expression" dxfId="3508" priority="3047">
      <formula>SEARCH("DA CHIUDERE",$M104)&gt;0</formula>
    </cfRule>
    <cfRule type="expression" dxfId="3507" priority="3048">
      <formula>SEARCH("INTERROTTO",$M104)&gt;0</formula>
    </cfRule>
  </conditionalFormatting>
  <conditionalFormatting sqref="N104:S104">
    <cfRule type="expression" dxfId="3506" priority="3037">
      <formula>SEARCH("IN CORSO",$M104)&gt;0</formula>
    </cfRule>
    <cfRule type="expression" dxfId="3505" priority="3038">
      <formula>SEARCH("CHIUSO",$M104)&gt;0</formula>
    </cfRule>
    <cfRule type="expression" dxfId="3504" priority="3039">
      <formula>SEARCH("EMESSO",$M104)&gt;0</formula>
    </cfRule>
    <cfRule type="expression" dxfId="3503" priority="3040">
      <formula>SEARCH("RICHIESTO",$M104)&gt;0</formula>
    </cfRule>
    <cfRule type="expression" dxfId="3502" priority="3041">
      <formula>SEARCH("DA CHIUDERE",$M104)&gt;0</formula>
    </cfRule>
    <cfRule type="expression" dxfId="3501" priority="3042">
      <formula>SEARCH("INTERROTTO",$M104)&gt;0</formula>
    </cfRule>
  </conditionalFormatting>
  <conditionalFormatting sqref="G104">
    <cfRule type="expression" dxfId="3500" priority="3025">
      <formula>SEARCH("IN CORSO",$M104)&gt;0</formula>
    </cfRule>
    <cfRule type="expression" dxfId="3499" priority="3026">
      <formula>SEARCH("CHIUSO",$M104)&gt;0</formula>
    </cfRule>
    <cfRule type="expression" dxfId="3498" priority="3027">
      <formula>SEARCH("EMESSO",$M104)&gt;0</formula>
    </cfRule>
    <cfRule type="expression" dxfId="3497" priority="3028">
      <formula>SEARCH("RICHIESTO",$M104)&gt;0</formula>
    </cfRule>
    <cfRule type="expression" dxfId="3496" priority="3029">
      <formula>SEARCH("DA CHIUDERE",$M104)&gt;0</formula>
    </cfRule>
    <cfRule type="expression" dxfId="3495" priority="3030">
      <formula>SEARCH("INTERROTTO",$M104)&gt;0</formula>
    </cfRule>
  </conditionalFormatting>
  <conditionalFormatting sqref="E104">
    <cfRule type="expression" dxfId="3494" priority="3031">
      <formula>SEARCH("IN CORSO",$M104)&gt;0</formula>
    </cfRule>
    <cfRule type="expression" dxfId="3493" priority="3032">
      <formula>SEARCH("CHIUSO",$M104)&gt;0</formula>
    </cfRule>
    <cfRule type="expression" dxfId="3492" priority="3033">
      <formula>SEARCH("EMESSO",$M104)&gt;0</formula>
    </cfRule>
    <cfRule type="expression" dxfId="3491" priority="3034">
      <formula>SEARCH("RICHIESTO",$M104)&gt;0</formula>
    </cfRule>
    <cfRule type="expression" dxfId="3490" priority="3035">
      <formula>SEARCH("DA CHIUDERE",$M104)&gt;0</formula>
    </cfRule>
    <cfRule type="expression" dxfId="3489" priority="3036">
      <formula>SEARCH("INTERROTTO",$M104)&gt;0</formula>
    </cfRule>
  </conditionalFormatting>
  <conditionalFormatting sqref="F104">
    <cfRule type="expression" dxfId="3488" priority="3019">
      <formula>SEARCH("IN CORSO",$M104)&gt;0</formula>
    </cfRule>
    <cfRule type="expression" dxfId="3487" priority="3020">
      <formula>SEARCH("CHIUSO",$M104)&gt;0</formula>
    </cfRule>
    <cfRule type="expression" dxfId="3486" priority="3021">
      <formula>SEARCH("EMESSO",$M104)&gt;0</formula>
    </cfRule>
    <cfRule type="expression" dxfId="3485" priority="3022">
      <formula>SEARCH("RICHIESTO",$M104)&gt;0</formula>
    </cfRule>
    <cfRule type="expression" dxfId="3484" priority="3023">
      <formula>SEARCH("DA CHIUDERE",$M104)&gt;0</formula>
    </cfRule>
    <cfRule type="expression" dxfId="3483" priority="3024">
      <formula>SEARCH("INTERROTTO",$M104)&gt;0</formula>
    </cfRule>
  </conditionalFormatting>
  <conditionalFormatting sqref="M103">
    <cfRule type="expression" dxfId="3482" priority="3013">
      <formula>SEARCH("IN CORSO",$M103)&gt;0</formula>
    </cfRule>
    <cfRule type="expression" dxfId="3481" priority="3014">
      <formula>SEARCH("CHIUSO",$M103)&gt;0</formula>
    </cfRule>
    <cfRule type="expression" dxfId="3480" priority="3015">
      <formula>SEARCH("EMESSO",$M103)&gt;0</formula>
    </cfRule>
    <cfRule type="expression" dxfId="3479" priority="3016">
      <formula>SEARCH("RICHIESTO",$M103)&gt;0</formula>
    </cfRule>
    <cfRule type="expression" dxfId="3478" priority="3017">
      <formula>SEARCH("DA CHIUDERE",$M103)&gt;0</formula>
    </cfRule>
    <cfRule type="expression" dxfId="3477" priority="3018">
      <formula>SEARCH("INTERROTTO",$M103)&gt;0</formula>
    </cfRule>
  </conditionalFormatting>
  <conditionalFormatting sqref="N103:S103">
    <cfRule type="expression" dxfId="3476" priority="3007">
      <formula>SEARCH("IN CORSO",$M103)&gt;0</formula>
    </cfRule>
    <cfRule type="expression" dxfId="3475" priority="3008">
      <formula>SEARCH("CHIUSO",$M103)&gt;0</formula>
    </cfRule>
    <cfRule type="expression" dxfId="3474" priority="3009">
      <formula>SEARCH("EMESSO",$M103)&gt;0</formula>
    </cfRule>
    <cfRule type="expression" dxfId="3473" priority="3010">
      <formula>SEARCH("RICHIESTO",$M103)&gt;0</formula>
    </cfRule>
    <cfRule type="expression" dxfId="3472" priority="3011">
      <formula>SEARCH("DA CHIUDERE",$M103)&gt;0</formula>
    </cfRule>
    <cfRule type="expression" dxfId="3471" priority="3012">
      <formula>SEARCH("INTERROTTO",$M103)&gt;0</formula>
    </cfRule>
  </conditionalFormatting>
  <conditionalFormatting sqref="G103">
    <cfRule type="expression" dxfId="3470" priority="2995">
      <formula>SEARCH("IN CORSO",$M103)&gt;0</formula>
    </cfRule>
    <cfRule type="expression" dxfId="3469" priority="2996">
      <formula>SEARCH("CHIUSO",$M103)&gt;0</formula>
    </cfRule>
    <cfRule type="expression" dxfId="3468" priority="2997">
      <formula>SEARCH("EMESSO",$M103)&gt;0</formula>
    </cfRule>
    <cfRule type="expression" dxfId="3467" priority="2998">
      <formula>SEARCH("RICHIESTO",$M103)&gt;0</formula>
    </cfRule>
    <cfRule type="expression" dxfId="3466" priority="2999">
      <formula>SEARCH("DA CHIUDERE",$M103)&gt;0</formula>
    </cfRule>
    <cfRule type="expression" dxfId="3465" priority="3000">
      <formula>SEARCH("INTERROTTO",$M103)&gt;0</formula>
    </cfRule>
  </conditionalFormatting>
  <conditionalFormatting sqref="E103">
    <cfRule type="expression" dxfId="3464" priority="3001">
      <formula>SEARCH("IN CORSO",$M103)&gt;0</formula>
    </cfRule>
    <cfRule type="expression" dxfId="3463" priority="3002">
      <formula>SEARCH("CHIUSO",$M103)&gt;0</formula>
    </cfRule>
    <cfRule type="expression" dxfId="3462" priority="3003">
      <formula>SEARCH("EMESSO",$M103)&gt;0</formula>
    </cfRule>
    <cfRule type="expression" dxfId="3461" priority="3004">
      <formula>SEARCH("RICHIESTO",$M103)&gt;0</formula>
    </cfRule>
    <cfRule type="expression" dxfId="3460" priority="3005">
      <formula>SEARCH("DA CHIUDERE",$M103)&gt;0</formula>
    </cfRule>
    <cfRule type="expression" dxfId="3459" priority="3006">
      <formula>SEARCH("INTERROTTO",$M103)&gt;0</formula>
    </cfRule>
  </conditionalFormatting>
  <conditionalFormatting sqref="F103">
    <cfRule type="expression" dxfId="3458" priority="2989">
      <formula>SEARCH("IN CORSO",$M103)&gt;0</formula>
    </cfRule>
    <cfRule type="expression" dxfId="3457" priority="2990">
      <formula>SEARCH("CHIUSO",$M103)&gt;0</formula>
    </cfRule>
    <cfRule type="expression" dxfId="3456" priority="2991">
      <formula>SEARCH("EMESSO",$M103)&gt;0</formula>
    </cfRule>
    <cfRule type="expression" dxfId="3455" priority="2992">
      <formula>SEARCH("RICHIESTO",$M103)&gt;0</formula>
    </cfRule>
    <cfRule type="expression" dxfId="3454" priority="2993">
      <formula>SEARCH("DA CHIUDERE",$M103)&gt;0</formula>
    </cfRule>
    <cfRule type="expression" dxfId="3453" priority="2994">
      <formula>SEARCH("INTERROTTO",$M103)&gt;0</formula>
    </cfRule>
  </conditionalFormatting>
  <conditionalFormatting sqref="M102">
    <cfRule type="expression" dxfId="3452" priority="2983">
      <formula>SEARCH("IN CORSO",$M102)&gt;0</formula>
    </cfRule>
    <cfRule type="expression" dxfId="3451" priority="2984">
      <formula>SEARCH("CHIUSO",$M102)&gt;0</formula>
    </cfRule>
    <cfRule type="expression" dxfId="3450" priority="2985">
      <formula>SEARCH("EMESSO",$M102)&gt;0</formula>
    </cfRule>
    <cfRule type="expression" dxfId="3449" priority="2986">
      <formula>SEARCH("RICHIESTO",$M102)&gt;0</formula>
    </cfRule>
    <cfRule type="expression" dxfId="3448" priority="2987">
      <formula>SEARCH("DA CHIUDERE",$M102)&gt;0</formula>
    </cfRule>
    <cfRule type="expression" dxfId="3447" priority="2988">
      <formula>SEARCH("INTERROTTO",$M102)&gt;0</formula>
    </cfRule>
  </conditionalFormatting>
  <conditionalFormatting sqref="N102:S102">
    <cfRule type="expression" dxfId="3446" priority="2977">
      <formula>SEARCH("IN CORSO",$M102)&gt;0</formula>
    </cfRule>
    <cfRule type="expression" dxfId="3445" priority="2978">
      <formula>SEARCH("CHIUSO",$M102)&gt;0</formula>
    </cfRule>
    <cfRule type="expression" dxfId="3444" priority="2979">
      <formula>SEARCH("EMESSO",$M102)&gt;0</formula>
    </cfRule>
    <cfRule type="expression" dxfId="3443" priority="2980">
      <formula>SEARCH("RICHIESTO",$M102)&gt;0</formula>
    </cfRule>
    <cfRule type="expression" dxfId="3442" priority="2981">
      <formula>SEARCH("DA CHIUDERE",$M102)&gt;0</formula>
    </cfRule>
    <cfRule type="expression" dxfId="3441" priority="2982">
      <formula>SEARCH("INTERROTTO",$M102)&gt;0</formula>
    </cfRule>
  </conditionalFormatting>
  <conditionalFormatting sqref="G102">
    <cfRule type="expression" dxfId="3440" priority="2965">
      <formula>SEARCH("IN CORSO",$M102)&gt;0</formula>
    </cfRule>
    <cfRule type="expression" dxfId="3439" priority="2966">
      <formula>SEARCH("CHIUSO",$M102)&gt;0</formula>
    </cfRule>
    <cfRule type="expression" dxfId="3438" priority="2967">
      <formula>SEARCH("EMESSO",$M102)&gt;0</formula>
    </cfRule>
    <cfRule type="expression" dxfId="3437" priority="2968">
      <formula>SEARCH("RICHIESTO",$M102)&gt;0</formula>
    </cfRule>
    <cfRule type="expression" dxfId="3436" priority="2969">
      <formula>SEARCH("DA CHIUDERE",$M102)&gt;0</formula>
    </cfRule>
    <cfRule type="expression" dxfId="3435" priority="2970">
      <formula>SEARCH("INTERROTTO",$M102)&gt;0</formula>
    </cfRule>
  </conditionalFormatting>
  <conditionalFormatting sqref="E102">
    <cfRule type="expression" dxfId="3434" priority="2971">
      <formula>SEARCH("IN CORSO",$M102)&gt;0</formula>
    </cfRule>
    <cfRule type="expression" dxfId="3433" priority="2972">
      <formula>SEARCH("CHIUSO",$M102)&gt;0</formula>
    </cfRule>
    <cfRule type="expression" dxfId="3432" priority="2973">
      <formula>SEARCH("EMESSO",$M102)&gt;0</formula>
    </cfRule>
    <cfRule type="expression" dxfId="3431" priority="2974">
      <formula>SEARCH("RICHIESTO",$M102)&gt;0</formula>
    </cfRule>
    <cfRule type="expression" dxfId="3430" priority="2975">
      <formula>SEARCH("DA CHIUDERE",$M102)&gt;0</formula>
    </cfRule>
    <cfRule type="expression" dxfId="3429" priority="2976">
      <formula>SEARCH("INTERROTTO",$M102)&gt;0</formula>
    </cfRule>
  </conditionalFormatting>
  <conditionalFormatting sqref="F102">
    <cfRule type="expression" dxfId="3428" priority="2959">
      <formula>SEARCH("IN CORSO",$M102)&gt;0</formula>
    </cfRule>
    <cfRule type="expression" dxfId="3427" priority="2960">
      <formula>SEARCH("CHIUSO",$M102)&gt;0</formula>
    </cfRule>
    <cfRule type="expression" dxfId="3426" priority="2961">
      <formula>SEARCH("EMESSO",$M102)&gt;0</formula>
    </cfRule>
    <cfRule type="expression" dxfId="3425" priority="2962">
      <formula>SEARCH("RICHIESTO",$M102)&gt;0</formula>
    </cfRule>
    <cfRule type="expression" dxfId="3424" priority="2963">
      <formula>SEARCH("DA CHIUDERE",$M102)&gt;0</formula>
    </cfRule>
    <cfRule type="expression" dxfId="3423" priority="2964">
      <formula>SEARCH("INTERROTTO",$M102)&gt;0</formula>
    </cfRule>
  </conditionalFormatting>
  <conditionalFormatting sqref="M101">
    <cfRule type="expression" dxfId="3422" priority="2953">
      <formula>SEARCH("IN CORSO",$M101)&gt;0</formula>
    </cfRule>
    <cfRule type="expression" dxfId="3421" priority="2954">
      <formula>SEARCH("CHIUSO",$M101)&gt;0</formula>
    </cfRule>
    <cfRule type="expression" dxfId="3420" priority="2955">
      <formula>SEARCH("EMESSO",$M101)&gt;0</formula>
    </cfRule>
    <cfRule type="expression" dxfId="3419" priority="2956">
      <formula>SEARCH("RICHIESTO",$M101)&gt;0</formula>
    </cfRule>
    <cfRule type="expression" dxfId="3418" priority="2957">
      <formula>SEARCH("DA CHIUDERE",$M101)&gt;0</formula>
    </cfRule>
    <cfRule type="expression" dxfId="3417" priority="2958">
      <formula>SEARCH("INTERROTTO",$M101)&gt;0</formula>
    </cfRule>
  </conditionalFormatting>
  <conditionalFormatting sqref="N101:S101">
    <cfRule type="expression" dxfId="3416" priority="2947">
      <formula>SEARCH("IN CORSO",$M101)&gt;0</formula>
    </cfRule>
    <cfRule type="expression" dxfId="3415" priority="2948">
      <formula>SEARCH("CHIUSO",$M101)&gt;0</formula>
    </cfRule>
    <cfRule type="expression" dxfId="3414" priority="2949">
      <formula>SEARCH("EMESSO",$M101)&gt;0</formula>
    </cfRule>
    <cfRule type="expression" dxfId="3413" priority="2950">
      <formula>SEARCH("RICHIESTO",$M101)&gt;0</formula>
    </cfRule>
    <cfRule type="expression" dxfId="3412" priority="2951">
      <formula>SEARCH("DA CHIUDERE",$M101)&gt;0</formula>
    </cfRule>
    <cfRule type="expression" dxfId="3411" priority="2952">
      <formula>SEARCH("INTERROTTO",$M101)&gt;0</formula>
    </cfRule>
  </conditionalFormatting>
  <conditionalFormatting sqref="G101">
    <cfRule type="expression" dxfId="3410" priority="2935">
      <formula>SEARCH("IN CORSO",$M101)&gt;0</formula>
    </cfRule>
    <cfRule type="expression" dxfId="3409" priority="2936">
      <formula>SEARCH("CHIUSO",$M101)&gt;0</formula>
    </cfRule>
    <cfRule type="expression" dxfId="3408" priority="2937">
      <formula>SEARCH("EMESSO",$M101)&gt;0</formula>
    </cfRule>
    <cfRule type="expression" dxfId="3407" priority="2938">
      <formula>SEARCH("RICHIESTO",$M101)&gt;0</formula>
    </cfRule>
    <cfRule type="expression" dxfId="3406" priority="2939">
      <formula>SEARCH("DA CHIUDERE",$M101)&gt;0</formula>
    </cfRule>
    <cfRule type="expression" dxfId="3405" priority="2940">
      <formula>SEARCH("INTERROTTO",$M101)&gt;0</formula>
    </cfRule>
  </conditionalFormatting>
  <conditionalFormatting sqref="E101">
    <cfRule type="expression" dxfId="3404" priority="2941">
      <formula>SEARCH("IN CORSO",$M101)&gt;0</formula>
    </cfRule>
    <cfRule type="expression" dxfId="3403" priority="2942">
      <formula>SEARCH("CHIUSO",$M101)&gt;0</formula>
    </cfRule>
    <cfRule type="expression" dxfId="3402" priority="2943">
      <formula>SEARCH("EMESSO",$M101)&gt;0</formula>
    </cfRule>
    <cfRule type="expression" dxfId="3401" priority="2944">
      <formula>SEARCH("RICHIESTO",$M101)&gt;0</formula>
    </cfRule>
    <cfRule type="expression" dxfId="3400" priority="2945">
      <formula>SEARCH("DA CHIUDERE",$M101)&gt;0</formula>
    </cfRule>
    <cfRule type="expression" dxfId="3399" priority="2946">
      <formula>SEARCH("INTERROTTO",$M101)&gt;0</formula>
    </cfRule>
  </conditionalFormatting>
  <conditionalFormatting sqref="F101">
    <cfRule type="expression" dxfId="3398" priority="2929">
      <formula>SEARCH("IN CORSO",$M101)&gt;0</formula>
    </cfRule>
    <cfRule type="expression" dxfId="3397" priority="2930">
      <formula>SEARCH("CHIUSO",$M101)&gt;0</formula>
    </cfRule>
    <cfRule type="expression" dxfId="3396" priority="2931">
      <formula>SEARCH("EMESSO",$M101)&gt;0</formula>
    </cfRule>
    <cfRule type="expression" dxfId="3395" priority="2932">
      <formula>SEARCH("RICHIESTO",$M101)&gt;0</formula>
    </cfRule>
    <cfRule type="expression" dxfId="3394" priority="2933">
      <formula>SEARCH("DA CHIUDERE",$M101)&gt;0</formula>
    </cfRule>
    <cfRule type="expression" dxfId="3393" priority="2934">
      <formula>SEARCH("INTERROTTO",$M101)&gt;0</formula>
    </cfRule>
  </conditionalFormatting>
  <conditionalFormatting sqref="M100">
    <cfRule type="expression" dxfId="3392" priority="2923">
      <formula>SEARCH("IN CORSO",$M100)&gt;0</formula>
    </cfRule>
    <cfRule type="expression" dxfId="3391" priority="2924">
      <formula>SEARCH("CHIUSO",$M100)&gt;0</formula>
    </cfRule>
    <cfRule type="expression" dxfId="3390" priority="2925">
      <formula>SEARCH("EMESSO",$M100)&gt;0</formula>
    </cfRule>
    <cfRule type="expression" dxfId="3389" priority="2926">
      <formula>SEARCH("RICHIESTO",$M100)&gt;0</formula>
    </cfRule>
    <cfRule type="expression" dxfId="3388" priority="2927">
      <formula>SEARCH("DA CHIUDERE",$M100)&gt;0</formula>
    </cfRule>
    <cfRule type="expression" dxfId="3387" priority="2928">
      <formula>SEARCH("INTERROTTO",$M100)&gt;0</formula>
    </cfRule>
  </conditionalFormatting>
  <conditionalFormatting sqref="N100:S100">
    <cfRule type="expression" dxfId="3386" priority="2917">
      <formula>SEARCH("IN CORSO",$M100)&gt;0</formula>
    </cfRule>
    <cfRule type="expression" dxfId="3385" priority="2918">
      <formula>SEARCH("CHIUSO",$M100)&gt;0</formula>
    </cfRule>
    <cfRule type="expression" dxfId="3384" priority="2919">
      <formula>SEARCH("EMESSO",$M100)&gt;0</formula>
    </cfRule>
    <cfRule type="expression" dxfId="3383" priority="2920">
      <formula>SEARCH("RICHIESTO",$M100)&gt;0</formula>
    </cfRule>
    <cfRule type="expression" dxfId="3382" priority="2921">
      <formula>SEARCH("DA CHIUDERE",$M100)&gt;0</formula>
    </cfRule>
    <cfRule type="expression" dxfId="3381" priority="2922">
      <formula>SEARCH("INTERROTTO",$M100)&gt;0</formula>
    </cfRule>
  </conditionalFormatting>
  <conditionalFormatting sqref="G100">
    <cfRule type="expression" dxfId="3380" priority="2905">
      <formula>SEARCH("IN CORSO",$M100)&gt;0</formula>
    </cfRule>
    <cfRule type="expression" dxfId="3379" priority="2906">
      <formula>SEARCH("CHIUSO",$M100)&gt;0</formula>
    </cfRule>
    <cfRule type="expression" dxfId="3378" priority="2907">
      <formula>SEARCH("EMESSO",$M100)&gt;0</formula>
    </cfRule>
    <cfRule type="expression" dxfId="3377" priority="2908">
      <formula>SEARCH("RICHIESTO",$M100)&gt;0</formula>
    </cfRule>
    <cfRule type="expression" dxfId="3376" priority="2909">
      <formula>SEARCH("DA CHIUDERE",$M100)&gt;0</formula>
    </cfRule>
    <cfRule type="expression" dxfId="3375" priority="2910">
      <formula>SEARCH("INTERROTTO",$M100)&gt;0</formula>
    </cfRule>
  </conditionalFormatting>
  <conditionalFormatting sqref="E100">
    <cfRule type="expression" dxfId="3374" priority="2911">
      <formula>SEARCH("IN CORSO",$M100)&gt;0</formula>
    </cfRule>
    <cfRule type="expression" dxfId="3373" priority="2912">
      <formula>SEARCH("CHIUSO",$M100)&gt;0</formula>
    </cfRule>
    <cfRule type="expression" dxfId="3372" priority="2913">
      <formula>SEARCH("EMESSO",$M100)&gt;0</formula>
    </cfRule>
    <cfRule type="expression" dxfId="3371" priority="2914">
      <formula>SEARCH("RICHIESTO",$M100)&gt;0</formula>
    </cfRule>
    <cfRule type="expression" dxfId="3370" priority="2915">
      <formula>SEARCH("DA CHIUDERE",$M100)&gt;0</formula>
    </cfRule>
    <cfRule type="expression" dxfId="3369" priority="2916">
      <formula>SEARCH("INTERROTTO",$M100)&gt;0</formula>
    </cfRule>
  </conditionalFormatting>
  <conditionalFormatting sqref="F100">
    <cfRule type="expression" dxfId="3368" priority="2899">
      <formula>SEARCH("IN CORSO",$M100)&gt;0</formula>
    </cfRule>
    <cfRule type="expression" dxfId="3367" priority="2900">
      <formula>SEARCH("CHIUSO",$M100)&gt;0</formula>
    </cfRule>
    <cfRule type="expression" dxfId="3366" priority="2901">
      <formula>SEARCH("EMESSO",$M100)&gt;0</formula>
    </cfRule>
    <cfRule type="expression" dxfId="3365" priority="2902">
      <formula>SEARCH("RICHIESTO",$M100)&gt;0</formula>
    </cfRule>
    <cfRule type="expression" dxfId="3364" priority="2903">
      <formula>SEARCH("DA CHIUDERE",$M100)&gt;0</formula>
    </cfRule>
    <cfRule type="expression" dxfId="3363" priority="2904">
      <formula>SEARCH("INTERROTTO",$M100)&gt;0</formula>
    </cfRule>
  </conditionalFormatting>
  <conditionalFormatting sqref="E136:G136 M136:S136">
    <cfRule type="expression" dxfId="3362" priority="3727">
      <formula>SEARCH("IN CORSO",$M136)&gt;0</formula>
    </cfRule>
    <cfRule type="expression" dxfId="3361" priority="3728">
      <formula>SEARCH("CHIUSO",$M136)&gt;0</formula>
    </cfRule>
    <cfRule type="expression" dxfId="3360" priority="3729">
      <formula>SEARCH("EMESSO",$M136)&gt;0</formula>
    </cfRule>
    <cfRule type="expression" dxfId="3359" priority="3730">
      <formula>SEARCH("RICHIESTO",$M136)&gt;0</formula>
    </cfRule>
    <cfRule type="expression" dxfId="3358" priority="3731">
      <formula>SEARCH("DA CHIUDERE",$M136)&gt;0</formula>
    </cfRule>
    <cfRule type="expression" dxfId="3357" priority="3732">
      <formula>SEARCH("INTERROTTO",$M136)&gt;0</formula>
    </cfRule>
  </conditionalFormatting>
  <conditionalFormatting sqref="E132 G132 M132:P132">
    <cfRule type="expression" dxfId="3356" priority="3685">
      <formula>SEARCH("IN CORSO",$M132)&gt;0</formula>
    </cfRule>
    <cfRule type="expression" dxfId="3355" priority="3686">
      <formula>SEARCH("CHIUSO",$M132)&gt;0</formula>
    </cfRule>
    <cfRule type="expression" dxfId="3354" priority="3687">
      <formula>SEARCH("EMESSO",$M132)&gt;0</formula>
    </cfRule>
    <cfRule type="expression" dxfId="3353" priority="3688">
      <formula>SEARCH("RICHIESTO",$M132)&gt;0</formula>
    </cfRule>
    <cfRule type="expression" dxfId="3352" priority="3689">
      <formula>SEARCH("DA CHIUDERE",$M132)&gt;0</formula>
    </cfRule>
    <cfRule type="expression" dxfId="3351" priority="3690">
      <formula>SEARCH("INTERROTTO",$M132)&gt;0</formula>
    </cfRule>
  </conditionalFormatting>
  <conditionalFormatting sqref="F132">
    <cfRule type="expression" dxfId="3350" priority="3679">
      <formula>SEARCH("IN CORSO",$M132)&gt;0</formula>
    </cfRule>
    <cfRule type="expression" dxfId="3349" priority="3680">
      <formula>SEARCH("CHIUSO",$M132)&gt;0</formula>
    </cfRule>
    <cfRule type="expression" dxfId="3348" priority="3681">
      <formula>SEARCH("EMESSO",$M132)&gt;0</formula>
    </cfRule>
    <cfRule type="expression" dxfId="3347" priority="3682">
      <formula>SEARCH("RICHIESTO",$M132)&gt;0</formula>
    </cfRule>
    <cfRule type="expression" dxfId="3346" priority="3683">
      <formula>SEARCH("DA CHIUDERE",$M132)&gt;0</formula>
    </cfRule>
    <cfRule type="expression" dxfId="3345" priority="3684">
      <formula>SEARCH("INTERROTTO",$M132)&gt;0</formula>
    </cfRule>
  </conditionalFormatting>
  <conditionalFormatting sqref="E131 G131 M131:S131">
    <cfRule type="expression" dxfId="3344" priority="3673">
      <formula>SEARCH("IN CORSO",$M131)&gt;0</formula>
    </cfRule>
    <cfRule type="expression" dxfId="3343" priority="3674">
      <formula>SEARCH("CHIUSO",$M131)&gt;0</formula>
    </cfRule>
    <cfRule type="expression" dxfId="3342" priority="3675">
      <formula>SEARCH("EMESSO",$M131)&gt;0</formula>
    </cfRule>
    <cfRule type="expression" dxfId="3341" priority="3676">
      <formula>SEARCH("RICHIESTO",$M131)&gt;0</formula>
    </cfRule>
    <cfRule type="expression" dxfId="3340" priority="3677">
      <formula>SEARCH("DA CHIUDERE",$M131)&gt;0</formula>
    </cfRule>
    <cfRule type="expression" dxfId="3339" priority="3678">
      <formula>SEARCH("INTERROTTO",$M131)&gt;0</formula>
    </cfRule>
  </conditionalFormatting>
  <conditionalFormatting sqref="F131">
    <cfRule type="expression" dxfId="3338" priority="3667">
      <formula>SEARCH("IN CORSO",$M131)&gt;0</formula>
    </cfRule>
    <cfRule type="expression" dxfId="3337" priority="3668">
      <formula>SEARCH("CHIUSO",$M131)&gt;0</formula>
    </cfRule>
    <cfRule type="expression" dxfId="3336" priority="3669">
      <formula>SEARCH("EMESSO",$M131)&gt;0</formula>
    </cfRule>
    <cfRule type="expression" dxfId="3335" priority="3670">
      <formula>SEARCH("RICHIESTO",$M131)&gt;0</formula>
    </cfRule>
    <cfRule type="expression" dxfId="3334" priority="3671">
      <formula>SEARCH("DA CHIUDERE",$M131)&gt;0</formula>
    </cfRule>
    <cfRule type="expression" dxfId="3333" priority="3672">
      <formula>SEARCH("INTERROTTO",$M131)&gt;0</formula>
    </cfRule>
  </conditionalFormatting>
  <conditionalFormatting sqref="E130 G130 M130:Q130">
    <cfRule type="expression" dxfId="3332" priority="3661">
      <formula>SEARCH("IN CORSO",$M130)&gt;0</formula>
    </cfRule>
    <cfRule type="expression" dxfId="3331" priority="3662">
      <formula>SEARCH("CHIUSO",$M130)&gt;0</formula>
    </cfRule>
    <cfRule type="expression" dxfId="3330" priority="3663">
      <formula>SEARCH("EMESSO",$M130)&gt;0</formula>
    </cfRule>
    <cfRule type="expression" dxfId="3329" priority="3664">
      <formula>SEARCH("RICHIESTO",$M130)&gt;0</formula>
    </cfRule>
    <cfRule type="expression" dxfId="3328" priority="3665">
      <formula>SEARCH("DA CHIUDERE",$M130)&gt;0</formula>
    </cfRule>
    <cfRule type="expression" dxfId="3327" priority="3666">
      <formula>SEARCH("INTERROTTO",$M130)&gt;0</formula>
    </cfRule>
  </conditionalFormatting>
  <conditionalFormatting sqref="F129">
    <cfRule type="expression" dxfId="3326" priority="3643">
      <formula>SEARCH("IN CORSO",$M129)&gt;0</formula>
    </cfRule>
    <cfRule type="expression" dxfId="3325" priority="3644">
      <formula>SEARCH("CHIUSO",$M129)&gt;0</formula>
    </cfRule>
    <cfRule type="expression" dxfId="3324" priority="3645">
      <formula>SEARCH("EMESSO",$M129)&gt;0</formula>
    </cfRule>
    <cfRule type="expression" dxfId="3323" priority="3646">
      <formula>SEARCH("RICHIESTO",$M129)&gt;0</formula>
    </cfRule>
    <cfRule type="expression" dxfId="3322" priority="3647">
      <formula>SEARCH("DA CHIUDERE",$M129)&gt;0</formula>
    </cfRule>
    <cfRule type="expression" dxfId="3321" priority="3648">
      <formula>SEARCH("INTERROTTO",$M129)&gt;0</formula>
    </cfRule>
  </conditionalFormatting>
  <conditionalFormatting sqref="E124">
    <cfRule type="expression" dxfId="3320" priority="3559">
      <formula>SEARCH("IN CORSO",$M124)&gt;0</formula>
    </cfRule>
    <cfRule type="expression" dxfId="3319" priority="3560">
      <formula>SEARCH("CHIUSO",$M124)&gt;0</formula>
    </cfRule>
    <cfRule type="expression" dxfId="3318" priority="3561">
      <formula>SEARCH("EMESSO",$M124)&gt;0</formula>
    </cfRule>
    <cfRule type="expression" dxfId="3317" priority="3562">
      <formula>SEARCH("RICHIESTO",$M124)&gt;0</formula>
    </cfRule>
    <cfRule type="expression" dxfId="3316" priority="3563">
      <formula>SEARCH("DA CHIUDERE",$M124)&gt;0</formula>
    </cfRule>
    <cfRule type="expression" dxfId="3315" priority="3564">
      <formula>SEARCH("INTERROTTO",$M124)&gt;0</formula>
    </cfRule>
  </conditionalFormatting>
  <conditionalFormatting sqref="E123">
    <cfRule type="expression" dxfId="3314" priority="3547">
      <formula>SEARCH("IN CORSO",$M123)&gt;0</formula>
    </cfRule>
    <cfRule type="expression" dxfId="3313" priority="3548">
      <formula>SEARCH("CHIUSO",$M123)&gt;0</formula>
    </cfRule>
    <cfRule type="expression" dxfId="3312" priority="3549">
      <formula>SEARCH("EMESSO",$M123)&gt;0</formula>
    </cfRule>
    <cfRule type="expression" dxfId="3311" priority="3550">
      <formula>SEARCH("RICHIESTO",$M123)&gt;0</formula>
    </cfRule>
    <cfRule type="expression" dxfId="3310" priority="3551">
      <formula>SEARCH("DA CHIUDERE",$M123)&gt;0</formula>
    </cfRule>
    <cfRule type="expression" dxfId="3309" priority="3552">
      <formula>SEARCH("INTERROTTO",$M123)&gt;0</formula>
    </cfRule>
  </conditionalFormatting>
  <conditionalFormatting sqref="M124:M126">
    <cfRule type="expression" dxfId="3308" priority="3505">
      <formula>SEARCH("IN CORSO",$M124)&gt;0</formula>
    </cfRule>
    <cfRule type="expression" dxfId="3307" priority="3506">
      <formula>SEARCH("CHIUSO",$M124)&gt;0</formula>
    </cfRule>
    <cfRule type="expression" dxfId="3306" priority="3507">
      <formula>SEARCH("EMESSO",$M124)&gt;0</formula>
    </cfRule>
    <cfRule type="expression" dxfId="3305" priority="3508">
      <formula>SEARCH("RICHIESTO",$M124)&gt;0</formula>
    </cfRule>
    <cfRule type="expression" dxfId="3304" priority="3509">
      <formula>SEARCH("DA CHIUDERE",$M124)&gt;0</formula>
    </cfRule>
    <cfRule type="expression" dxfId="3303" priority="3510">
      <formula>SEARCH("INTERROTTO",$M124)&gt;0</formula>
    </cfRule>
  </conditionalFormatting>
  <conditionalFormatting sqref="G123">
    <cfRule type="expression" dxfId="3302" priority="3517">
      <formula>SEARCH("IN CORSO",$M123)&gt;0</formula>
    </cfRule>
    <cfRule type="expression" dxfId="3301" priority="3518">
      <formula>SEARCH("CHIUSO",$M123)&gt;0</formula>
    </cfRule>
    <cfRule type="expression" dxfId="3300" priority="3519">
      <formula>SEARCH("EMESSO",$M123)&gt;0</formula>
    </cfRule>
    <cfRule type="expression" dxfId="3299" priority="3520">
      <formula>SEARCH("RICHIESTO",$M123)&gt;0</formula>
    </cfRule>
    <cfRule type="expression" dxfId="3298" priority="3521">
      <formula>SEARCH("DA CHIUDERE",$M123)&gt;0</formula>
    </cfRule>
    <cfRule type="expression" dxfId="3297" priority="3522">
      <formula>SEARCH("INTERROTTO",$M123)&gt;0</formula>
    </cfRule>
  </conditionalFormatting>
  <conditionalFormatting sqref="G126">
    <cfRule type="expression" dxfId="3296" priority="3535">
      <formula>SEARCH("IN CORSO",$M126)&gt;0</formula>
    </cfRule>
    <cfRule type="expression" dxfId="3295" priority="3536">
      <formula>SEARCH("CHIUSO",$M126)&gt;0</formula>
    </cfRule>
    <cfRule type="expression" dxfId="3294" priority="3537">
      <formula>SEARCH("EMESSO",$M126)&gt;0</formula>
    </cfRule>
    <cfRule type="expression" dxfId="3293" priority="3538">
      <formula>SEARCH("RICHIESTO",$M126)&gt;0</formula>
    </cfRule>
    <cfRule type="expression" dxfId="3292" priority="3539">
      <formula>SEARCH("DA CHIUDERE",$M126)&gt;0</formula>
    </cfRule>
    <cfRule type="expression" dxfId="3291" priority="3540">
      <formula>SEARCH("INTERROTTO",$M126)&gt;0</formula>
    </cfRule>
  </conditionalFormatting>
  <conditionalFormatting sqref="G125">
    <cfRule type="expression" dxfId="3290" priority="3529">
      <formula>SEARCH("IN CORSO",$M125)&gt;0</formula>
    </cfRule>
    <cfRule type="expression" dxfId="3289" priority="3530">
      <formula>SEARCH("CHIUSO",$M125)&gt;0</formula>
    </cfRule>
    <cfRule type="expression" dxfId="3288" priority="3531">
      <formula>SEARCH("EMESSO",$M125)&gt;0</formula>
    </cfRule>
    <cfRule type="expression" dxfId="3287" priority="3532">
      <formula>SEARCH("RICHIESTO",$M125)&gt;0</formula>
    </cfRule>
    <cfRule type="expression" dxfId="3286" priority="3533">
      <formula>SEARCH("DA CHIUDERE",$M125)&gt;0</formula>
    </cfRule>
    <cfRule type="expression" dxfId="3285" priority="3534">
      <formula>SEARCH("INTERROTTO",$M125)&gt;0</formula>
    </cfRule>
  </conditionalFormatting>
  <conditionalFormatting sqref="N123:S123">
    <cfRule type="expression" dxfId="3284" priority="3553">
      <formula>SEARCH("IN CORSO",$M123)&gt;0</formula>
    </cfRule>
    <cfRule type="expression" dxfId="3283" priority="3554">
      <formula>SEARCH("CHIUSO",$M123)&gt;0</formula>
    </cfRule>
    <cfRule type="expression" dxfId="3282" priority="3555">
      <formula>SEARCH("EMESSO",$M123)&gt;0</formula>
    </cfRule>
    <cfRule type="expression" dxfId="3281" priority="3556">
      <formula>SEARCH("RICHIESTO",$M123)&gt;0</formula>
    </cfRule>
    <cfRule type="expression" dxfId="3280" priority="3557">
      <formula>SEARCH("DA CHIUDERE",$M123)&gt;0</formula>
    </cfRule>
    <cfRule type="expression" dxfId="3279" priority="3558">
      <formula>SEARCH("INTERROTTO",$M123)&gt;0</formula>
    </cfRule>
  </conditionalFormatting>
  <conditionalFormatting sqref="M123">
    <cfRule type="expression" dxfId="3278" priority="3541">
      <formula>SEARCH("IN CORSO",$M123)&gt;0</formula>
    </cfRule>
    <cfRule type="expression" dxfId="3277" priority="3542">
      <formula>SEARCH("CHIUSO",$M123)&gt;0</formula>
    </cfRule>
    <cfRule type="expression" dxfId="3276" priority="3543">
      <formula>SEARCH("EMESSO",$M123)&gt;0</formula>
    </cfRule>
    <cfRule type="expression" dxfId="3275" priority="3544">
      <formula>SEARCH("RICHIESTO",$M123)&gt;0</formula>
    </cfRule>
    <cfRule type="expression" dxfId="3274" priority="3545">
      <formula>SEARCH("DA CHIUDERE",$M123)&gt;0</formula>
    </cfRule>
    <cfRule type="expression" dxfId="3273" priority="3546">
      <formula>SEARCH("INTERROTTO",$M123)&gt;0</formula>
    </cfRule>
  </conditionalFormatting>
  <conditionalFormatting sqref="G124">
    <cfRule type="expression" dxfId="3272" priority="3523">
      <formula>SEARCH("IN CORSO",$M124)&gt;0</formula>
    </cfRule>
    <cfRule type="expression" dxfId="3271" priority="3524">
      <formula>SEARCH("CHIUSO",$M124)&gt;0</formula>
    </cfRule>
    <cfRule type="expression" dxfId="3270" priority="3525">
      <formula>SEARCH("EMESSO",$M124)&gt;0</formula>
    </cfRule>
    <cfRule type="expression" dxfId="3269" priority="3526">
      <formula>SEARCH("RICHIESTO",$M124)&gt;0</formula>
    </cfRule>
    <cfRule type="expression" dxfId="3268" priority="3527">
      <formula>SEARCH("DA CHIUDERE",$M124)&gt;0</formula>
    </cfRule>
    <cfRule type="expression" dxfId="3267" priority="3528">
      <formula>SEARCH("INTERROTTO",$M124)&gt;0</formula>
    </cfRule>
  </conditionalFormatting>
  <conditionalFormatting sqref="F123:F126">
    <cfRule type="expression" dxfId="3266" priority="3511">
      <formula>SEARCH("IN CORSO",$M123)&gt;0</formula>
    </cfRule>
    <cfRule type="expression" dxfId="3265" priority="3512">
      <formula>SEARCH("CHIUSO",$M123)&gt;0</formula>
    </cfRule>
    <cfRule type="expression" dxfId="3264" priority="3513">
      <formula>SEARCH("EMESSO",$M123)&gt;0</formula>
    </cfRule>
    <cfRule type="expression" dxfId="3263" priority="3514">
      <formula>SEARCH("RICHIESTO",$M123)&gt;0</formula>
    </cfRule>
    <cfRule type="expression" dxfId="3262" priority="3515">
      <formula>SEARCH("DA CHIUDERE",$M123)&gt;0</formula>
    </cfRule>
    <cfRule type="expression" dxfId="3261" priority="3516">
      <formula>SEARCH("INTERROTTO",$M123)&gt;0</formula>
    </cfRule>
  </conditionalFormatting>
  <conditionalFormatting sqref="M122">
    <cfRule type="expression" dxfId="3260" priority="3475">
      <formula>SEARCH("IN CORSO",$M122)&gt;0</formula>
    </cfRule>
    <cfRule type="expression" dxfId="3259" priority="3476">
      <formula>SEARCH("CHIUSO",$M122)&gt;0</formula>
    </cfRule>
    <cfRule type="expression" dxfId="3258" priority="3477">
      <formula>SEARCH("EMESSO",$M122)&gt;0</formula>
    </cfRule>
    <cfRule type="expression" dxfId="3257" priority="3478">
      <formula>SEARCH("RICHIESTO",$M122)&gt;0</formula>
    </cfRule>
    <cfRule type="expression" dxfId="3256" priority="3479">
      <formula>SEARCH("DA CHIUDERE",$M122)&gt;0</formula>
    </cfRule>
    <cfRule type="expression" dxfId="3255" priority="3480">
      <formula>SEARCH("INTERROTTO",$M122)&gt;0</formula>
    </cfRule>
  </conditionalFormatting>
  <conditionalFormatting sqref="M121">
    <cfRule type="expression" dxfId="3254" priority="3445">
      <formula>SEARCH("IN CORSO",$M121)&gt;0</formula>
    </cfRule>
    <cfRule type="expression" dxfId="3253" priority="3446">
      <formula>SEARCH("CHIUSO",$M121)&gt;0</formula>
    </cfRule>
    <cfRule type="expression" dxfId="3252" priority="3447">
      <formula>SEARCH("EMESSO",$M121)&gt;0</formula>
    </cfRule>
    <cfRule type="expression" dxfId="3251" priority="3448">
      <formula>SEARCH("RICHIESTO",$M121)&gt;0</formula>
    </cfRule>
    <cfRule type="expression" dxfId="3250" priority="3449">
      <formula>SEARCH("DA CHIUDERE",$M121)&gt;0</formula>
    </cfRule>
    <cfRule type="expression" dxfId="3249" priority="3450">
      <formula>SEARCH("INTERROTTO",$M121)&gt;0</formula>
    </cfRule>
  </conditionalFormatting>
  <conditionalFormatting sqref="M120">
    <cfRule type="expression" dxfId="3248" priority="3415">
      <formula>SEARCH("IN CORSO",$M120)&gt;0</formula>
    </cfRule>
    <cfRule type="expression" dxfId="3247" priority="3416">
      <formula>SEARCH("CHIUSO",$M120)&gt;0</formula>
    </cfRule>
    <cfRule type="expression" dxfId="3246" priority="3417">
      <formula>SEARCH("EMESSO",$M120)&gt;0</formula>
    </cfRule>
    <cfRule type="expression" dxfId="3245" priority="3418">
      <formula>SEARCH("RICHIESTO",$M120)&gt;0</formula>
    </cfRule>
    <cfRule type="expression" dxfId="3244" priority="3419">
      <formula>SEARCH("DA CHIUDERE",$M120)&gt;0</formula>
    </cfRule>
    <cfRule type="expression" dxfId="3243" priority="3420">
      <formula>SEARCH("INTERROTTO",$M120)&gt;0</formula>
    </cfRule>
  </conditionalFormatting>
  <conditionalFormatting sqref="N118:S118">
    <cfRule type="expression" dxfId="3242" priority="3385">
      <formula>SEARCH("IN CORSO",$M118)&gt;0</formula>
    </cfRule>
    <cfRule type="expression" dxfId="3241" priority="3386">
      <formula>SEARCH("CHIUSO",$M118)&gt;0</formula>
    </cfRule>
    <cfRule type="expression" dxfId="3240" priority="3387">
      <formula>SEARCH("EMESSO",$M118)&gt;0</formula>
    </cfRule>
    <cfRule type="expression" dxfId="3239" priority="3388">
      <formula>SEARCH("RICHIESTO",$M118)&gt;0</formula>
    </cfRule>
    <cfRule type="expression" dxfId="3238" priority="3389">
      <formula>SEARCH("DA CHIUDERE",$M118)&gt;0</formula>
    </cfRule>
    <cfRule type="expression" dxfId="3237" priority="3390">
      <formula>SEARCH("INTERROTTO",$M118)&gt;0</formula>
    </cfRule>
  </conditionalFormatting>
  <conditionalFormatting sqref="E117">
    <cfRule type="expression" dxfId="3236" priority="3355">
      <formula>SEARCH("IN CORSO",$M117)&gt;0</formula>
    </cfRule>
    <cfRule type="expression" dxfId="3235" priority="3356">
      <formula>SEARCH("CHIUSO",$M117)&gt;0</formula>
    </cfRule>
    <cfRule type="expression" dxfId="3234" priority="3357">
      <formula>SEARCH("EMESSO",$M117)&gt;0</formula>
    </cfRule>
    <cfRule type="expression" dxfId="3233" priority="3358">
      <formula>SEARCH("RICHIESTO",$M117)&gt;0</formula>
    </cfRule>
    <cfRule type="expression" dxfId="3232" priority="3359">
      <formula>SEARCH("DA CHIUDERE",$M117)&gt;0</formula>
    </cfRule>
    <cfRule type="expression" dxfId="3231" priority="3360">
      <formula>SEARCH("INTERROTTO",$M117)&gt;0</formula>
    </cfRule>
  </conditionalFormatting>
  <conditionalFormatting sqref="G116">
    <cfRule type="expression" dxfId="3230" priority="3325">
      <formula>SEARCH("IN CORSO",$M116)&gt;0</formula>
    </cfRule>
    <cfRule type="expression" dxfId="3229" priority="3326">
      <formula>SEARCH("CHIUSO",$M116)&gt;0</formula>
    </cfRule>
    <cfRule type="expression" dxfId="3228" priority="3327">
      <formula>SEARCH("EMESSO",$M116)&gt;0</formula>
    </cfRule>
    <cfRule type="expression" dxfId="3227" priority="3328">
      <formula>SEARCH("RICHIESTO",$M116)&gt;0</formula>
    </cfRule>
    <cfRule type="expression" dxfId="3226" priority="3329">
      <formula>SEARCH("DA CHIUDERE",$M116)&gt;0</formula>
    </cfRule>
    <cfRule type="expression" dxfId="3225" priority="3330">
      <formula>SEARCH("INTERROTTO",$M116)&gt;0</formula>
    </cfRule>
  </conditionalFormatting>
  <conditionalFormatting sqref="F115">
    <cfRule type="expression" dxfId="3224" priority="3295">
      <formula>SEARCH("IN CORSO",$M115)&gt;0</formula>
    </cfRule>
    <cfRule type="expression" dxfId="3223" priority="3296">
      <formula>SEARCH("CHIUSO",$M115)&gt;0</formula>
    </cfRule>
    <cfRule type="expression" dxfId="3222" priority="3297">
      <formula>SEARCH("EMESSO",$M115)&gt;0</formula>
    </cfRule>
    <cfRule type="expression" dxfId="3221" priority="3298">
      <formula>SEARCH("RICHIESTO",$M115)&gt;0</formula>
    </cfRule>
    <cfRule type="expression" dxfId="3220" priority="3299">
      <formula>SEARCH("DA CHIUDERE",$M115)&gt;0</formula>
    </cfRule>
    <cfRule type="expression" dxfId="3219" priority="3300">
      <formula>SEARCH("INTERROTTO",$M115)&gt;0</formula>
    </cfRule>
  </conditionalFormatting>
  <conditionalFormatting sqref="N113:S113">
    <cfRule type="expression" dxfId="3218" priority="3265">
      <formula>SEARCH("IN CORSO",$M113)&gt;0</formula>
    </cfRule>
    <cfRule type="expression" dxfId="3217" priority="3266">
      <formula>SEARCH("CHIUSO",$M113)&gt;0</formula>
    </cfRule>
    <cfRule type="expression" dxfId="3216" priority="3267">
      <formula>SEARCH("EMESSO",$M113)&gt;0</formula>
    </cfRule>
    <cfRule type="expression" dxfId="3215" priority="3268">
      <formula>SEARCH("RICHIESTO",$M113)&gt;0</formula>
    </cfRule>
    <cfRule type="expression" dxfId="3214" priority="3269">
      <formula>SEARCH("DA CHIUDERE",$M113)&gt;0</formula>
    </cfRule>
    <cfRule type="expression" dxfId="3213" priority="3270">
      <formula>SEARCH("INTERROTTO",$M113)&gt;0</formula>
    </cfRule>
  </conditionalFormatting>
  <conditionalFormatting sqref="E112">
    <cfRule type="expression" dxfId="3212" priority="3235">
      <formula>SEARCH("IN CORSO",$M112)&gt;0</formula>
    </cfRule>
    <cfRule type="expression" dxfId="3211" priority="3236">
      <formula>SEARCH("CHIUSO",$M112)&gt;0</formula>
    </cfRule>
    <cfRule type="expression" dxfId="3210" priority="3237">
      <formula>SEARCH("EMESSO",$M112)&gt;0</formula>
    </cfRule>
    <cfRule type="expression" dxfId="3209" priority="3238">
      <formula>SEARCH("RICHIESTO",$M112)&gt;0</formula>
    </cfRule>
    <cfRule type="expression" dxfId="3208" priority="3239">
      <formula>SEARCH("DA CHIUDERE",$M112)&gt;0</formula>
    </cfRule>
    <cfRule type="expression" dxfId="3207" priority="3240">
      <formula>SEARCH("INTERROTTO",$M112)&gt;0</formula>
    </cfRule>
  </conditionalFormatting>
  <conditionalFormatting sqref="G111">
    <cfRule type="expression" dxfId="3206" priority="3205">
      <formula>SEARCH("IN CORSO",$M111)&gt;0</formula>
    </cfRule>
    <cfRule type="expression" dxfId="3205" priority="3206">
      <formula>SEARCH("CHIUSO",$M111)&gt;0</formula>
    </cfRule>
    <cfRule type="expression" dxfId="3204" priority="3207">
      <formula>SEARCH("EMESSO",$M111)&gt;0</formula>
    </cfRule>
    <cfRule type="expression" dxfId="3203" priority="3208">
      <formula>SEARCH("RICHIESTO",$M111)&gt;0</formula>
    </cfRule>
    <cfRule type="expression" dxfId="3202" priority="3209">
      <formula>SEARCH("DA CHIUDERE",$M111)&gt;0</formula>
    </cfRule>
    <cfRule type="expression" dxfId="3201" priority="3210">
      <formula>SEARCH("INTERROTTO",$M111)&gt;0</formula>
    </cfRule>
  </conditionalFormatting>
  <conditionalFormatting sqref="F110">
    <cfRule type="expression" dxfId="3200" priority="3175">
      <formula>SEARCH("IN CORSO",$M110)&gt;0</formula>
    </cfRule>
    <cfRule type="expression" dxfId="3199" priority="3176">
      <formula>SEARCH("CHIUSO",$M110)&gt;0</formula>
    </cfRule>
    <cfRule type="expression" dxfId="3198" priority="3177">
      <formula>SEARCH("EMESSO",$M110)&gt;0</formula>
    </cfRule>
    <cfRule type="expression" dxfId="3197" priority="3178">
      <formula>SEARCH("RICHIESTO",$M110)&gt;0</formula>
    </cfRule>
    <cfRule type="expression" dxfId="3196" priority="3179">
      <formula>SEARCH("DA CHIUDERE",$M110)&gt;0</formula>
    </cfRule>
    <cfRule type="expression" dxfId="3195" priority="3180">
      <formula>SEARCH("INTERROTTO",$M110)&gt;0</formula>
    </cfRule>
  </conditionalFormatting>
  <conditionalFormatting sqref="N108:S108">
    <cfRule type="expression" dxfId="3194" priority="3145">
      <formula>SEARCH("IN CORSO",$M108)&gt;0</formula>
    </cfRule>
    <cfRule type="expression" dxfId="3193" priority="3146">
      <formula>SEARCH("CHIUSO",$M108)&gt;0</formula>
    </cfRule>
    <cfRule type="expression" dxfId="3192" priority="3147">
      <formula>SEARCH("EMESSO",$M108)&gt;0</formula>
    </cfRule>
    <cfRule type="expression" dxfId="3191" priority="3148">
      <formula>SEARCH("RICHIESTO",$M108)&gt;0</formula>
    </cfRule>
    <cfRule type="expression" dxfId="3190" priority="3149">
      <formula>SEARCH("DA CHIUDERE",$M108)&gt;0</formula>
    </cfRule>
    <cfRule type="expression" dxfId="3189" priority="3150">
      <formula>SEARCH("INTERROTTO",$M108)&gt;0</formula>
    </cfRule>
  </conditionalFormatting>
  <conditionalFormatting sqref="E107">
    <cfRule type="expression" dxfId="3188" priority="3115">
      <formula>SEARCH("IN CORSO",$M107)&gt;0</formula>
    </cfRule>
    <cfRule type="expression" dxfId="3187" priority="3116">
      <formula>SEARCH("CHIUSO",$M107)&gt;0</formula>
    </cfRule>
    <cfRule type="expression" dxfId="3186" priority="3117">
      <formula>SEARCH("EMESSO",$M107)&gt;0</formula>
    </cfRule>
    <cfRule type="expression" dxfId="3185" priority="3118">
      <formula>SEARCH("RICHIESTO",$M107)&gt;0</formula>
    </cfRule>
    <cfRule type="expression" dxfId="3184" priority="3119">
      <formula>SEARCH("DA CHIUDERE",$M107)&gt;0</formula>
    </cfRule>
    <cfRule type="expression" dxfId="3183" priority="3120">
      <formula>SEARCH("INTERROTTO",$M107)&gt;0</formula>
    </cfRule>
  </conditionalFormatting>
  <conditionalFormatting sqref="G106">
    <cfRule type="expression" dxfId="3182" priority="3085">
      <formula>SEARCH("IN CORSO",$M106)&gt;0</formula>
    </cfRule>
    <cfRule type="expression" dxfId="3181" priority="3086">
      <formula>SEARCH("CHIUSO",$M106)&gt;0</formula>
    </cfRule>
    <cfRule type="expression" dxfId="3180" priority="3087">
      <formula>SEARCH("EMESSO",$M106)&gt;0</formula>
    </cfRule>
    <cfRule type="expression" dxfId="3179" priority="3088">
      <formula>SEARCH("RICHIESTO",$M106)&gt;0</formula>
    </cfRule>
    <cfRule type="expression" dxfId="3178" priority="3089">
      <formula>SEARCH("DA CHIUDERE",$M106)&gt;0</formula>
    </cfRule>
    <cfRule type="expression" dxfId="3177" priority="3090">
      <formula>SEARCH("INTERROTTO",$M106)&gt;0</formula>
    </cfRule>
  </conditionalFormatting>
  <conditionalFormatting sqref="F106">
    <cfRule type="expression" dxfId="3176" priority="3079">
      <formula>SEARCH("IN CORSO",$M106)&gt;0</formula>
    </cfRule>
    <cfRule type="expression" dxfId="3175" priority="3080">
      <formula>SEARCH("CHIUSO",$M106)&gt;0</formula>
    </cfRule>
    <cfRule type="expression" dxfId="3174" priority="3081">
      <formula>SEARCH("EMESSO",$M106)&gt;0</formula>
    </cfRule>
    <cfRule type="expression" dxfId="3173" priority="3082">
      <formula>SEARCH("RICHIESTO",$M106)&gt;0</formula>
    </cfRule>
    <cfRule type="expression" dxfId="3172" priority="3083">
      <formula>SEARCH("DA CHIUDERE",$M106)&gt;0</formula>
    </cfRule>
    <cfRule type="expression" dxfId="3171" priority="3084">
      <formula>SEARCH("INTERROTTO",$M106)&gt;0</formula>
    </cfRule>
  </conditionalFormatting>
  <conditionalFormatting sqref="M99">
    <cfRule type="expression" dxfId="3170" priority="2893">
      <formula>SEARCH("IN CORSO",$M99)&gt;0</formula>
    </cfRule>
    <cfRule type="expression" dxfId="3169" priority="2894">
      <formula>SEARCH("CHIUSO",$M99)&gt;0</formula>
    </cfRule>
    <cfRule type="expression" dxfId="3168" priority="2895">
      <formula>SEARCH("EMESSO",$M99)&gt;0</formula>
    </cfRule>
    <cfRule type="expression" dxfId="3167" priority="2896">
      <formula>SEARCH("RICHIESTO",$M99)&gt;0</formula>
    </cfRule>
    <cfRule type="expression" dxfId="3166" priority="2897">
      <formula>SEARCH("DA CHIUDERE",$M99)&gt;0</formula>
    </cfRule>
    <cfRule type="expression" dxfId="3165" priority="2898">
      <formula>SEARCH("INTERROTTO",$M99)&gt;0</formula>
    </cfRule>
  </conditionalFormatting>
  <conditionalFormatting sqref="N99:S99">
    <cfRule type="expression" dxfId="3164" priority="2887">
      <formula>SEARCH("IN CORSO",$M99)&gt;0</formula>
    </cfRule>
    <cfRule type="expression" dxfId="3163" priority="2888">
      <formula>SEARCH("CHIUSO",$M99)&gt;0</formula>
    </cfRule>
    <cfRule type="expression" dxfId="3162" priority="2889">
      <formula>SEARCH("EMESSO",$M99)&gt;0</formula>
    </cfRule>
    <cfRule type="expression" dxfId="3161" priority="2890">
      <formula>SEARCH("RICHIESTO",$M99)&gt;0</formula>
    </cfRule>
    <cfRule type="expression" dxfId="3160" priority="2891">
      <formula>SEARCH("DA CHIUDERE",$M99)&gt;0</formula>
    </cfRule>
    <cfRule type="expression" dxfId="3159" priority="2892">
      <formula>SEARCH("INTERROTTO",$M99)&gt;0</formula>
    </cfRule>
  </conditionalFormatting>
  <conditionalFormatting sqref="G99">
    <cfRule type="expression" dxfId="3158" priority="2875">
      <formula>SEARCH("IN CORSO",$M99)&gt;0</formula>
    </cfRule>
    <cfRule type="expression" dxfId="3157" priority="2876">
      <formula>SEARCH("CHIUSO",$M99)&gt;0</formula>
    </cfRule>
    <cfRule type="expression" dxfId="3156" priority="2877">
      <formula>SEARCH("EMESSO",$M99)&gt;0</formula>
    </cfRule>
    <cfRule type="expression" dxfId="3155" priority="2878">
      <formula>SEARCH("RICHIESTO",$M99)&gt;0</formula>
    </cfRule>
    <cfRule type="expression" dxfId="3154" priority="2879">
      <formula>SEARCH("DA CHIUDERE",$M99)&gt;0</formula>
    </cfRule>
    <cfRule type="expression" dxfId="3153" priority="2880">
      <formula>SEARCH("INTERROTTO",$M99)&gt;0</formula>
    </cfRule>
  </conditionalFormatting>
  <conditionalFormatting sqref="E99">
    <cfRule type="expression" dxfId="3152" priority="2881">
      <formula>SEARCH("IN CORSO",$M99)&gt;0</formula>
    </cfRule>
    <cfRule type="expression" dxfId="3151" priority="2882">
      <formula>SEARCH("CHIUSO",$M99)&gt;0</formula>
    </cfRule>
    <cfRule type="expression" dxfId="3150" priority="2883">
      <formula>SEARCH("EMESSO",$M99)&gt;0</formula>
    </cfRule>
    <cfRule type="expression" dxfId="3149" priority="2884">
      <formula>SEARCH("RICHIESTO",$M99)&gt;0</formula>
    </cfRule>
    <cfRule type="expression" dxfId="3148" priority="2885">
      <formula>SEARCH("DA CHIUDERE",$M99)&gt;0</formula>
    </cfRule>
    <cfRule type="expression" dxfId="3147" priority="2886">
      <formula>SEARCH("INTERROTTO",$M99)&gt;0</formula>
    </cfRule>
  </conditionalFormatting>
  <conditionalFormatting sqref="F99">
    <cfRule type="expression" dxfId="3146" priority="2869">
      <formula>SEARCH("IN CORSO",$M99)&gt;0</formula>
    </cfRule>
    <cfRule type="expression" dxfId="3145" priority="2870">
      <formula>SEARCH("CHIUSO",$M99)&gt;0</formula>
    </cfRule>
    <cfRule type="expression" dxfId="3144" priority="2871">
      <formula>SEARCH("EMESSO",$M99)&gt;0</formula>
    </cfRule>
    <cfRule type="expression" dxfId="3143" priority="2872">
      <formula>SEARCH("RICHIESTO",$M99)&gt;0</formula>
    </cfRule>
    <cfRule type="expression" dxfId="3142" priority="2873">
      <formula>SEARCH("DA CHIUDERE",$M99)&gt;0</formula>
    </cfRule>
    <cfRule type="expression" dxfId="3141" priority="2874">
      <formula>SEARCH("INTERROTTO",$M99)&gt;0</formula>
    </cfRule>
  </conditionalFormatting>
  <conditionalFormatting sqref="M98">
    <cfRule type="expression" dxfId="3140" priority="2863">
      <formula>SEARCH("IN CORSO",$M98)&gt;0</formula>
    </cfRule>
    <cfRule type="expression" dxfId="3139" priority="2864">
      <formula>SEARCH("CHIUSO",$M98)&gt;0</formula>
    </cfRule>
    <cfRule type="expression" dxfId="3138" priority="2865">
      <formula>SEARCH("EMESSO",$M98)&gt;0</formula>
    </cfRule>
    <cfRule type="expression" dxfId="3137" priority="2866">
      <formula>SEARCH("RICHIESTO",$M98)&gt;0</formula>
    </cfRule>
    <cfRule type="expression" dxfId="3136" priority="2867">
      <formula>SEARCH("DA CHIUDERE",$M98)&gt;0</formula>
    </cfRule>
    <cfRule type="expression" dxfId="3135" priority="2868">
      <formula>SEARCH("INTERROTTO",$M98)&gt;0</formula>
    </cfRule>
  </conditionalFormatting>
  <conditionalFormatting sqref="N98:S98">
    <cfRule type="expression" dxfId="3134" priority="2857">
      <formula>SEARCH("IN CORSO",$M98)&gt;0</formula>
    </cfRule>
    <cfRule type="expression" dxfId="3133" priority="2858">
      <formula>SEARCH("CHIUSO",$M98)&gt;0</formula>
    </cfRule>
    <cfRule type="expression" dxfId="3132" priority="2859">
      <formula>SEARCH("EMESSO",$M98)&gt;0</formula>
    </cfRule>
    <cfRule type="expression" dxfId="3131" priority="2860">
      <formula>SEARCH("RICHIESTO",$M98)&gt;0</formula>
    </cfRule>
    <cfRule type="expression" dxfId="3130" priority="2861">
      <formula>SEARCH("DA CHIUDERE",$M98)&gt;0</formula>
    </cfRule>
    <cfRule type="expression" dxfId="3129" priority="2862">
      <formula>SEARCH("INTERROTTO",$M98)&gt;0</formula>
    </cfRule>
  </conditionalFormatting>
  <conditionalFormatting sqref="G98">
    <cfRule type="expression" dxfId="3128" priority="2845">
      <formula>SEARCH("IN CORSO",$M98)&gt;0</formula>
    </cfRule>
    <cfRule type="expression" dxfId="3127" priority="2846">
      <formula>SEARCH("CHIUSO",$M98)&gt;0</formula>
    </cfRule>
    <cfRule type="expression" dxfId="3126" priority="2847">
      <formula>SEARCH("EMESSO",$M98)&gt;0</formula>
    </cfRule>
    <cfRule type="expression" dxfId="3125" priority="2848">
      <formula>SEARCH("RICHIESTO",$M98)&gt;0</formula>
    </cfRule>
    <cfRule type="expression" dxfId="3124" priority="2849">
      <formula>SEARCH("DA CHIUDERE",$M98)&gt;0</formula>
    </cfRule>
    <cfRule type="expression" dxfId="3123" priority="2850">
      <formula>SEARCH("INTERROTTO",$M98)&gt;0</formula>
    </cfRule>
  </conditionalFormatting>
  <conditionalFormatting sqref="E98">
    <cfRule type="expression" dxfId="3122" priority="2851">
      <formula>SEARCH("IN CORSO",$M98)&gt;0</formula>
    </cfRule>
    <cfRule type="expression" dxfId="3121" priority="2852">
      <formula>SEARCH("CHIUSO",$M98)&gt;0</formula>
    </cfRule>
    <cfRule type="expression" dxfId="3120" priority="2853">
      <formula>SEARCH("EMESSO",$M98)&gt;0</formula>
    </cfRule>
    <cfRule type="expression" dxfId="3119" priority="2854">
      <formula>SEARCH("RICHIESTO",$M98)&gt;0</formula>
    </cfRule>
    <cfRule type="expression" dxfId="3118" priority="2855">
      <formula>SEARCH("DA CHIUDERE",$M98)&gt;0</formula>
    </cfRule>
    <cfRule type="expression" dxfId="3117" priority="2856">
      <formula>SEARCH("INTERROTTO",$M98)&gt;0</formula>
    </cfRule>
  </conditionalFormatting>
  <conditionalFormatting sqref="F98">
    <cfRule type="expression" dxfId="3116" priority="2839">
      <formula>SEARCH("IN CORSO",$M98)&gt;0</formula>
    </cfRule>
    <cfRule type="expression" dxfId="3115" priority="2840">
      <formula>SEARCH("CHIUSO",$M98)&gt;0</formula>
    </cfRule>
    <cfRule type="expression" dxfId="3114" priority="2841">
      <formula>SEARCH("EMESSO",$M98)&gt;0</formula>
    </cfRule>
    <cfRule type="expression" dxfId="3113" priority="2842">
      <formula>SEARCH("RICHIESTO",$M98)&gt;0</formula>
    </cfRule>
    <cfRule type="expression" dxfId="3112" priority="2843">
      <formula>SEARCH("DA CHIUDERE",$M98)&gt;0</formula>
    </cfRule>
    <cfRule type="expression" dxfId="3111" priority="2844">
      <formula>SEARCH("INTERROTTO",$M98)&gt;0</formula>
    </cfRule>
  </conditionalFormatting>
  <conditionalFormatting sqref="M97">
    <cfRule type="expression" dxfId="3110" priority="2833">
      <formula>SEARCH("IN CORSO",$M97)&gt;0</formula>
    </cfRule>
    <cfRule type="expression" dxfId="3109" priority="2834">
      <formula>SEARCH("CHIUSO",$M97)&gt;0</formula>
    </cfRule>
    <cfRule type="expression" dxfId="3108" priority="2835">
      <formula>SEARCH("EMESSO",$M97)&gt;0</formula>
    </cfRule>
    <cfRule type="expression" dxfId="3107" priority="2836">
      <formula>SEARCH("RICHIESTO",$M97)&gt;0</formula>
    </cfRule>
    <cfRule type="expression" dxfId="3106" priority="2837">
      <formula>SEARCH("DA CHIUDERE",$M97)&gt;0</formula>
    </cfRule>
    <cfRule type="expression" dxfId="3105" priority="2838">
      <formula>SEARCH("INTERROTTO",$M97)&gt;0</formula>
    </cfRule>
  </conditionalFormatting>
  <conditionalFormatting sqref="N97:S97">
    <cfRule type="expression" dxfId="3104" priority="2827">
      <formula>SEARCH("IN CORSO",$M97)&gt;0</formula>
    </cfRule>
    <cfRule type="expression" dxfId="3103" priority="2828">
      <formula>SEARCH("CHIUSO",$M97)&gt;0</formula>
    </cfRule>
    <cfRule type="expression" dxfId="3102" priority="2829">
      <formula>SEARCH("EMESSO",$M97)&gt;0</formula>
    </cfRule>
    <cfRule type="expression" dxfId="3101" priority="2830">
      <formula>SEARCH("RICHIESTO",$M97)&gt;0</formula>
    </cfRule>
    <cfRule type="expression" dxfId="3100" priority="2831">
      <formula>SEARCH("DA CHIUDERE",$M97)&gt;0</formula>
    </cfRule>
    <cfRule type="expression" dxfId="3099" priority="2832">
      <formula>SEARCH("INTERROTTO",$M97)&gt;0</formula>
    </cfRule>
  </conditionalFormatting>
  <conditionalFormatting sqref="G97">
    <cfRule type="expression" dxfId="3098" priority="2815">
      <formula>SEARCH("IN CORSO",$M97)&gt;0</formula>
    </cfRule>
    <cfRule type="expression" dxfId="3097" priority="2816">
      <formula>SEARCH("CHIUSO",$M97)&gt;0</formula>
    </cfRule>
    <cfRule type="expression" dxfId="3096" priority="2817">
      <formula>SEARCH("EMESSO",$M97)&gt;0</formula>
    </cfRule>
    <cfRule type="expression" dxfId="3095" priority="2818">
      <formula>SEARCH("RICHIESTO",$M97)&gt;0</formula>
    </cfRule>
    <cfRule type="expression" dxfId="3094" priority="2819">
      <formula>SEARCH("DA CHIUDERE",$M97)&gt;0</formula>
    </cfRule>
    <cfRule type="expression" dxfId="3093" priority="2820">
      <formula>SEARCH("INTERROTTO",$M97)&gt;0</formula>
    </cfRule>
  </conditionalFormatting>
  <conditionalFormatting sqref="E97">
    <cfRule type="expression" dxfId="3092" priority="2821">
      <formula>SEARCH("IN CORSO",$M97)&gt;0</formula>
    </cfRule>
    <cfRule type="expression" dxfId="3091" priority="2822">
      <formula>SEARCH("CHIUSO",$M97)&gt;0</formula>
    </cfRule>
    <cfRule type="expression" dxfId="3090" priority="2823">
      <formula>SEARCH("EMESSO",$M97)&gt;0</formula>
    </cfRule>
    <cfRule type="expression" dxfId="3089" priority="2824">
      <formula>SEARCH("RICHIESTO",$M97)&gt;0</formula>
    </cfRule>
    <cfRule type="expression" dxfId="3088" priority="2825">
      <formula>SEARCH("DA CHIUDERE",$M97)&gt;0</formula>
    </cfRule>
    <cfRule type="expression" dxfId="3087" priority="2826">
      <formula>SEARCH("INTERROTTO",$M97)&gt;0</formula>
    </cfRule>
  </conditionalFormatting>
  <conditionalFormatting sqref="F97">
    <cfRule type="expression" dxfId="3086" priority="2809">
      <formula>SEARCH("IN CORSO",$M97)&gt;0</formula>
    </cfRule>
    <cfRule type="expression" dxfId="3085" priority="2810">
      <formula>SEARCH("CHIUSO",$M97)&gt;0</formula>
    </cfRule>
    <cfRule type="expression" dxfId="3084" priority="2811">
      <formula>SEARCH("EMESSO",$M97)&gt;0</formula>
    </cfRule>
    <cfRule type="expression" dxfId="3083" priority="2812">
      <formula>SEARCH("RICHIESTO",$M97)&gt;0</formula>
    </cfRule>
    <cfRule type="expression" dxfId="3082" priority="2813">
      <formula>SEARCH("DA CHIUDERE",$M97)&gt;0</formula>
    </cfRule>
    <cfRule type="expression" dxfId="3081" priority="2814">
      <formula>SEARCH("INTERROTTO",$M97)&gt;0</formula>
    </cfRule>
  </conditionalFormatting>
  <conditionalFormatting sqref="M96">
    <cfRule type="expression" dxfId="3080" priority="2803">
      <formula>SEARCH("IN CORSO",$M96)&gt;0</formula>
    </cfRule>
    <cfRule type="expression" dxfId="3079" priority="2804">
      <formula>SEARCH("CHIUSO",$M96)&gt;0</formula>
    </cfRule>
    <cfRule type="expression" dxfId="3078" priority="2805">
      <formula>SEARCH("EMESSO",$M96)&gt;0</formula>
    </cfRule>
    <cfRule type="expression" dxfId="3077" priority="2806">
      <formula>SEARCH("RICHIESTO",$M96)&gt;0</formula>
    </cfRule>
    <cfRule type="expression" dxfId="3076" priority="2807">
      <formula>SEARCH("DA CHIUDERE",$M96)&gt;0</formula>
    </cfRule>
    <cfRule type="expression" dxfId="3075" priority="2808">
      <formula>SEARCH("INTERROTTO",$M96)&gt;0</formula>
    </cfRule>
  </conditionalFormatting>
  <conditionalFormatting sqref="N96:S96">
    <cfRule type="expression" dxfId="3074" priority="2797">
      <formula>SEARCH("IN CORSO",$M96)&gt;0</formula>
    </cfRule>
    <cfRule type="expression" dxfId="3073" priority="2798">
      <formula>SEARCH("CHIUSO",$M96)&gt;0</formula>
    </cfRule>
    <cfRule type="expression" dxfId="3072" priority="2799">
      <formula>SEARCH("EMESSO",$M96)&gt;0</formula>
    </cfRule>
    <cfRule type="expression" dxfId="3071" priority="2800">
      <formula>SEARCH("RICHIESTO",$M96)&gt;0</formula>
    </cfRule>
    <cfRule type="expression" dxfId="3070" priority="2801">
      <formula>SEARCH("DA CHIUDERE",$M96)&gt;0</formula>
    </cfRule>
    <cfRule type="expression" dxfId="3069" priority="2802">
      <formula>SEARCH("INTERROTTO",$M96)&gt;0</formula>
    </cfRule>
  </conditionalFormatting>
  <conditionalFormatting sqref="G96">
    <cfRule type="expression" dxfId="3068" priority="2785">
      <formula>SEARCH("IN CORSO",$M96)&gt;0</formula>
    </cfRule>
    <cfRule type="expression" dxfId="3067" priority="2786">
      <formula>SEARCH("CHIUSO",$M96)&gt;0</formula>
    </cfRule>
    <cfRule type="expression" dxfId="3066" priority="2787">
      <formula>SEARCH("EMESSO",$M96)&gt;0</formula>
    </cfRule>
    <cfRule type="expression" dxfId="3065" priority="2788">
      <formula>SEARCH("RICHIESTO",$M96)&gt;0</formula>
    </cfRule>
    <cfRule type="expression" dxfId="3064" priority="2789">
      <formula>SEARCH("DA CHIUDERE",$M96)&gt;0</formula>
    </cfRule>
    <cfRule type="expression" dxfId="3063" priority="2790">
      <formula>SEARCH("INTERROTTO",$M96)&gt;0</formula>
    </cfRule>
  </conditionalFormatting>
  <conditionalFormatting sqref="E96">
    <cfRule type="expression" dxfId="3062" priority="2791">
      <formula>SEARCH("IN CORSO",$M96)&gt;0</formula>
    </cfRule>
    <cfRule type="expression" dxfId="3061" priority="2792">
      <formula>SEARCH("CHIUSO",$M96)&gt;0</formula>
    </cfRule>
    <cfRule type="expression" dxfId="3060" priority="2793">
      <formula>SEARCH("EMESSO",$M96)&gt;0</formula>
    </cfRule>
    <cfRule type="expression" dxfId="3059" priority="2794">
      <formula>SEARCH("RICHIESTO",$M96)&gt;0</formula>
    </cfRule>
    <cfRule type="expression" dxfId="3058" priority="2795">
      <formula>SEARCH("DA CHIUDERE",$M96)&gt;0</formula>
    </cfRule>
    <cfRule type="expression" dxfId="3057" priority="2796">
      <formula>SEARCH("INTERROTTO",$M96)&gt;0</formula>
    </cfRule>
  </conditionalFormatting>
  <conditionalFormatting sqref="F96">
    <cfRule type="expression" dxfId="3056" priority="2779">
      <formula>SEARCH("IN CORSO",$M96)&gt;0</formula>
    </cfRule>
    <cfRule type="expression" dxfId="3055" priority="2780">
      <formula>SEARCH("CHIUSO",$M96)&gt;0</formula>
    </cfRule>
    <cfRule type="expression" dxfId="3054" priority="2781">
      <formula>SEARCH("EMESSO",$M96)&gt;0</formula>
    </cfRule>
    <cfRule type="expression" dxfId="3053" priority="2782">
      <formula>SEARCH("RICHIESTO",$M96)&gt;0</formula>
    </cfRule>
    <cfRule type="expression" dxfId="3052" priority="2783">
      <formula>SEARCH("DA CHIUDERE",$M96)&gt;0</formula>
    </cfRule>
    <cfRule type="expression" dxfId="3051" priority="2784">
      <formula>SEARCH("INTERROTTO",$M96)&gt;0</formula>
    </cfRule>
  </conditionalFormatting>
  <conditionalFormatting sqref="M95">
    <cfRule type="expression" dxfId="3050" priority="2773">
      <formula>SEARCH("IN CORSO",$M95)&gt;0</formula>
    </cfRule>
    <cfRule type="expression" dxfId="3049" priority="2774">
      <formula>SEARCH("CHIUSO",$M95)&gt;0</formula>
    </cfRule>
    <cfRule type="expression" dxfId="3048" priority="2775">
      <formula>SEARCH("EMESSO",$M95)&gt;0</formula>
    </cfRule>
    <cfRule type="expression" dxfId="3047" priority="2776">
      <formula>SEARCH("RICHIESTO",$M95)&gt;0</formula>
    </cfRule>
    <cfRule type="expression" dxfId="3046" priority="2777">
      <formula>SEARCH("DA CHIUDERE",$M95)&gt;0</formula>
    </cfRule>
    <cfRule type="expression" dxfId="3045" priority="2778">
      <formula>SEARCH("INTERROTTO",$M95)&gt;0</formula>
    </cfRule>
  </conditionalFormatting>
  <conditionalFormatting sqref="N95:S95">
    <cfRule type="expression" dxfId="3044" priority="2767">
      <formula>SEARCH("IN CORSO",$M95)&gt;0</formula>
    </cfRule>
    <cfRule type="expression" dxfId="3043" priority="2768">
      <formula>SEARCH("CHIUSO",$M95)&gt;0</formula>
    </cfRule>
    <cfRule type="expression" dxfId="3042" priority="2769">
      <formula>SEARCH("EMESSO",$M95)&gt;0</formula>
    </cfRule>
    <cfRule type="expression" dxfId="3041" priority="2770">
      <formula>SEARCH("RICHIESTO",$M95)&gt;0</formula>
    </cfRule>
    <cfRule type="expression" dxfId="3040" priority="2771">
      <formula>SEARCH("DA CHIUDERE",$M95)&gt;0</formula>
    </cfRule>
    <cfRule type="expression" dxfId="3039" priority="2772">
      <formula>SEARCH("INTERROTTO",$M95)&gt;0</formula>
    </cfRule>
  </conditionalFormatting>
  <conditionalFormatting sqref="G95">
    <cfRule type="expression" dxfId="3038" priority="2755">
      <formula>SEARCH("IN CORSO",$M95)&gt;0</formula>
    </cfRule>
    <cfRule type="expression" dxfId="3037" priority="2756">
      <formula>SEARCH("CHIUSO",$M95)&gt;0</formula>
    </cfRule>
    <cfRule type="expression" dxfId="3036" priority="2757">
      <formula>SEARCH("EMESSO",$M95)&gt;0</formula>
    </cfRule>
    <cfRule type="expression" dxfId="3035" priority="2758">
      <formula>SEARCH("RICHIESTO",$M95)&gt;0</formula>
    </cfRule>
    <cfRule type="expression" dxfId="3034" priority="2759">
      <formula>SEARCH("DA CHIUDERE",$M95)&gt;0</formula>
    </cfRule>
    <cfRule type="expression" dxfId="3033" priority="2760">
      <formula>SEARCH("INTERROTTO",$M95)&gt;0</formula>
    </cfRule>
  </conditionalFormatting>
  <conditionalFormatting sqref="E95">
    <cfRule type="expression" dxfId="3032" priority="2761">
      <formula>SEARCH("IN CORSO",$M95)&gt;0</formula>
    </cfRule>
    <cfRule type="expression" dxfId="3031" priority="2762">
      <formula>SEARCH("CHIUSO",$M95)&gt;0</formula>
    </cfRule>
    <cfRule type="expression" dxfId="3030" priority="2763">
      <formula>SEARCH("EMESSO",$M95)&gt;0</formula>
    </cfRule>
    <cfRule type="expression" dxfId="3029" priority="2764">
      <formula>SEARCH("RICHIESTO",$M95)&gt;0</formula>
    </cfRule>
    <cfRule type="expression" dxfId="3028" priority="2765">
      <formula>SEARCH("DA CHIUDERE",$M95)&gt;0</formula>
    </cfRule>
    <cfRule type="expression" dxfId="3027" priority="2766">
      <formula>SEARCH("INTERROTTO",$M95)&gt;0</formula>
    </cfRule>
  </conditionalFormatting>
  <conditionalFormatting sqref="F95">
    <cfRule type="expression" dxfId="3026" priority="2749">
      <formula>SEARCH("IN CORSO",$M95)&gt;0</formula>
    </cfRule>
    <cfRule type="expression" dxfId="3025" priority="2750">
      <formula>SEARCH("CHIUSO",$M95)&gt;0</formula>
    </cfRule>
    <cfRule type="expression" dxfId="3024" priority="2751">
      <formula>SEARCH("EMESSO",$M95)&gt;0</formula>
    </cfRule>
    <cfRule type="expression" dxfId="3023" priority="2752">
      <formula>SEARCH("RICHIESTO",$M95)&gt;0</formula>
    </cfRule>
    <cfRule type="expression" dxfId="3022" priority="2753">
      <formula>SEARCH("DA CHIUDERE",$M95)&gt;0</formula>
    </cfRule>
    <cfRule type="expression" dxfId="3021" priority="2754">
      <formula>SEARCH("INTERROTTO",$M95)&gt;0</formula>
    </cfRule>
  </conditionalFormatting>
  <conditionalFormatting sqref="M94">
    <cfRule type="expression" dxfId="3020" priority="2743">
      <formula>SEARCH("IN CORSO",$M94)&gt;0</formula>
    </cfRule>
    <cfRule type="expression" dxfId="3019" priority="2744">
      <formula>SEARCH("CHIUSO",$M94)&gt;0</formula>
    </cfRule>
    <cfRule type="expression" dxfId="3018" priority="2745">
      <formula>SEARCH("EMESSO",$M94)&gt;0</formula>
    </cfRule>
    <cfRule type="expression" dxfId="3017" priority="2746">
      <formula>SEARCH("RICHIESTO",$M94)&gt;0</formula>
    </cfRule>
    <cfRule type="expression" dxfId="3016" priority="2747">
      <formula>SEARCH("DA CHIUDERE",$M94)&gt;0</formula>
    </cfRule>
    <cfRule type="expression" dxfId="3015" priority="2748">
      <formula>SEARCH("INTERROTTO",$M94)&gt;0</formula>
    </cfRule>
  </conditionalFormatting>
  <conditionalFormatting sqref="N94:S94">
    <cfRule type="expression" dxfId="3014" priority="2737">
      <formula>SEARCH("IN CORSO",$M94)&gt;0</formula>
    </cfRule>
    <cfRule type="expression" dxfId="3013" priority="2738">
      <formula>SEARCH("CHIUSO",$M94)&gt;0</formula>
    </cfRule>
    <cfRule type="expression" dxfId="3012" priority="2739">
      <formula>SEARCH("EMESSO",$M94)&gt;0</formula>
    </cfRule>
    <cfRule type="expression" dxfId="3011" priority="2740">
      <formula>SEARCH("RICHIESTO",$M94)&gt;0</formula>
    </cfRule>
    <cfRule type="expression" dxfId="3010" priority="2741">
      <formula>SEARCH("DA CHIUDERE",$M94)&gt;0</formula>
    </cfRule>
    <cfRule type="expression" dxfId="3009" priority="2742">
      <formula>SEARCH("INTERROTTO",$M94)&gt;0</formula>
    </cfRule>
  </conditionalFormatting>
  <conditionalFormatting sqref="G94">
    <cfRule type="expression" dxfId="3008" priority="2725">
      <formula>SEARCH("IN CORSO",$M94)&gt;0</formula>
    </cfRule>
    <cfRule type="expression" dxfId="3007" priority="2726">
      <formula>SEARCH("CHIUSO",$M94)&gt;0</formula>
    </cfRule>
    <cfRule type="expression" dxfId="3006" priority="2727">
      <formula>SEARCH("EMESSO",$M94)&gt;0</formula>
    </cfRule>
    <cfRule type="expression" dxfId="3005" priority="2728">
      <formula>SEARCH("RICHIESTO",$M94)&gt;0</formula>
    </cfRule>
    <cfRule type="expression" dxfId="3004" priority="2729">
      <formula>SEARCH("DA CHIUDERE",$M94)&gt;0</formula>
    </cfRule>
    <cfRule type="expression" dxfId="3003" priority="2730">
      <formula>SEARCH("INTERROTTO",$M94)&gt;0</formula>
    </cfRule>
  </conditionalFormatting>
  <conditionalFormatting sqref="E94">
    <cfRule type="expression" dxfId="3002" priority="2731">
      <formula>SEARCH("IN CORSO",$M94)&gt;0</formula>
    </cfRule>
    <cfRule type="expression" dxfId="3001" priority="2732">
      <formula>SEARCH("CHIUSO",$M94)&gt;0</formula>
    </cfRule>
    <cfRule type="expression" dxfId="3000" priority="2733">
      <formula>SEARCH("EMESSO",$M94)&gt;0</formula>
    </cfRule>
    <cfRule type="expression" dxfId="2999" priority="2734">
      <formula>SEARCH("RICHIESTO",$M94)&gt;0</formula>
    </cfRule>
    <cfRule type="expression" dxfId="2998" priority="2735">
      <formula>SEARCH("DA CHIUDERE",$M94)&gt;0</formula>
    </cfRule>
    <cfRule type="expression" dxfId="2997" priority="2736">
      <formula>SEARCH("INTERROTTO",$M94)&gt;0</formula>
    </cfRule>
  </conditionalFormatting>
  <conditionalFormatting sqref="F94">
    <cfRule type="expression" dxfId="2996" priority="2719">
      <formula>SEARCH("IN CORSO",$M94)&gt;0</formula>
    </cfRule>
    <cfRule type="expression" dxfId="2995" priority="2720">
      <formula>SEARCH("CHIUSO",$M94)&gt;0</formula>
    </cfRule>
    <cfRule type="expression" dxfId="2994" priority="2721">
      <formula>SEARCH("EMESSO",$M94)&gt;0</formula>
    </cfRule>
    <cfRule type="expression" dxfId="2993" priority="2722">
      <formula>SEARCH("RICHIESTO",$M94)&gt;0</formula>
    </cfRule>
    <cfRule type="expression" dxfId="2992" priority="2723">
      <formula>SEARCH("DA CHIUDERE",$M94)&gt;0</formula>
    </cfRule>
    <cfRule type="expression" dxfId="2991" priority="2724">
      <formula>SEARCH("INTERROTTO",$M94)&gt;0</formula>
    </cfRule>
  </conditionalFormatting>
  <conditionalFormatting sqref="M93">
    <cfRule type="expression" dxfId="2990" priority="2713">
      <formula>SEARCH("IN CORSO",$M93)&gt;0</formula>
    </cfRule>
    <cfRule type="expression" dxfId="2989" priority="2714">
      <formula>SEARCH("CHIUSO",$M93)&gt;0</formula>
    </cfRule>
    <cfRule type="expression" dxfId="2988" priority="2715">
      <formula>SEARCH("EMESSO",$M93)&gt;0</formula>
    </cfRule>
    <cfRule type="expression" dxfId="2987" priority="2716">
      <formula>SEARCH("RICHIESTO",$M93)&gt;0</formula>
    </cfRule>
    <cfRule type="expression" dxfId="2986" priority="2717">
      <formula>SEARCH("DA CHIUDERE",$M93)&gt;0</formula>
    </cfRule>
    <cfRule type="expression" dxfId="2985" priority="2718">
      <formula>SEARCH("INTERROTTO",$M93)&gt;0</formula>
    </cfRule>
  </conditionalFormatting>
  <conditionalFormatting sqref="N93:S93">
    <cfRule type="expression" dxfId="2984" priority="2707">
      <formula>SEARCH("IN CORSO",$M93)&gt;0</formula>
    </cfRule>
    <cfRule type="expression" dxfId="2983" priority="2708">
      <formula>SEARCH("CHIUSO",$M93)&gt;0</formula>
    </cfRule>
    <cfRule type="expression" dxfId="2982" priority="2709">
      <formula>SEARCH("EMESSO",$M93)&gt;0</formula>
    </cfRule>
    <cfRule type="expression" dxfId="2981" priority="2710">
      <formula>SEARCH("RICHIESTO",$M93)&gt;0</formula>
    </cfRule>
    <cfRule type="expression" dxfId="2980" priority="2711">
      <formula>SEARCH("DA CHIUDERE",$M93)&gt;0</formula>
    </cfRule>
    <cfRule type="expression" dxfId="2979" priority="2712">
      <formula>SEARCH("INTERROTTO",$M93)&gt;0</formula>
    </cfRule>
  </conditionalFormatting>
  <conditionalFormatting sqref="G93">
    <cfRule type="expression" dxfId="2978" priority="2695">
      <formula>SEARCH("IN CORSO",$M93)&gt;0</formula>
    </cfRule>
    <cfRule type="expression" dxfId="2977" priority="2696">
      <formula>SEARCH("CHIUSO",$M93)&gt;0</formula>
    </cfRule>
    <cfRule type="expression" dxfId="2976" priority="2697">
      <formula>SEARCH("EMESSO",$M93)&gt;0</formula>
    </cfRule>
    <cfRule type="expression" dxfId="2975" priority="2698">
      <formula>SEARCH("RICHIESTO",$M93)&gt;0</formula>
    </cfRule>
    <cfRule type="expression" dxfId="2974" priority="2699">
      <formula>SEARCH("DA CHIUDERE",$M93)&gt;0</formula>
    </cfRule>
    <cfRule type="expression" dxfId="2973" priority="2700">
      <formula>SEARCH("INTERROTTO",$M93)&gt;0</formula>
    </cfRule>
  </conditionalFormatting>
  <conditionalFormatting sqref="E93">
    <cfRule type="expression" dxfId="2972" priority="2701">
      <formula>SEARCH("IN CORSO",$M93)&gt;0</formula>
    </cfRule>
    <cfRule type="expression" dxfId="2971" priority="2702">
      <formula>SEARCH("CHIUSO",$M93)&gt;0</formula>
    </cfRule>
    <cfRule type="expression" dxfId="2970" priority="2703">
      <formula>SEARCH("EMESSO",$M93)&gt;0</formula>
    </cfRule>
    <cfRule type="expression" dxfId="2969" priority="2704">
      <formula>SEARCH("RICHIESTO",$M93)&gt;0</formula>
    </cfRule>
    <cfRule type="expression" dxfId="2968" priority="2705">
      <formula>SEARCH("DA CHIUDERE",$M93)&gt;0</formula>
    </cfRule>
    <cfRule type="expression" dxfId="2967" priority="2706">
      <formula>SEARCH("INTERROTTO",$M93)&gt;0</formula>
    </cfRule>
  </conditionalFormatting>
  <conditionalFormatting sqref="F93">
    <cfRule type="expression" dxfId="2966" priority="2689">
      <formula>SEARCH("IN CORSO",$M93)&gt;0</formula>
    </cfRule>
    <cfRule type="expression" dxfId="2965" priority="2690">
      <formula>SEARCH("CHIUSO",$M93)&gt;0</formula>
    </cfRule>
    <cfRule type="expression" dxfId="2964" priority="2691">
      <formula>SEARCH("EMESSO",$M93)&gt;0</formula>
    </cfRule>
    <cfRule type="expression" dxfId="2963" priority="2692">
      <formula>SEARCH("RICHIESTO",$M93)&gt;0</formula>
    </cfRule>
    <cfRule type="expression" dxfId="2962" priority="2693">
      <formula>SEARCH("DA CHIUDERE",$M93)&gt;0</formula>
    </cfRule>
    <cfRule type="expression" dxfId="2961" priority="2694">
      <formula>SEARCH("INTERROTTO",$M93)&gt;0</formula>
    </cfRule>
  </conditionalFormatting>
  <conditionalFormatting sqref="M92">
    <cfRule type="expression" dxfId="2960" priority="2683">
      <formula>SEARCH("IN CORSO",$M92)&gt;0</formula>
    </cfRule>
    <cfRule type="expression" dxfId="2959" priority="2684">
      <formula>SEARCH("CHIUSO",$M92)&gt;0</formula>
    </cfRule>
    <cfRule type="expression" dxfId="2958" priority="2685">
      <formula>SEARCH("EMESSO",$M92)&gt;0</formula>
    </cfRule>
    <cfRule type="expression" dxfId="2957" priority="2686">
      <formula>SEARCH("RICHIESTO",$M92)&gt;0</formula>
    </cfRule>
    <cfRule type="expression" dxfId="2956" priority="2687">
      <formula>SEARCH("DA CHIUDERE",$M92)&gt;0</formula>
    </cfRule>
    <cfRule type="expression" dxfId="2955" priority="2688">
      <formula>SEARCH("INTERROTTO",$M92)&gt;0</formula>
    </cfRule>
  </conditionalFormatting>
  <conditionalFormatting sqref="N92:S92">
    <cfRule type="expression" dxfId="2954" priority="2677">
      <formula>SEARCH("IN CORSO",$M92)&gt;0</formula>
    </cfRule>
    <cfRule type="expression" dxfId="2953" priority="2678">
      <formula>SEARCH("CHIUSO",$M92)&gt;0</formula>
    </cfRule>
    <cfRule type="expression" dxfId="2952" priority="2679">
      <formula>SEARCH("EMESSO",$M92)&gt;0</formula>
    </cfRule>
    <cfRule type="expression" dxfId="2951" priority="2680">
      <formula>SEARCH("RICHIESTO",$M92)&gt;0</formula>
    </cfRule>
    <cfRule type="expression" dxfId="2950" priority="2681">
      <formula>SEARCH("DA CHIUDERE",$M92)&gt;0</formula>
    </cfRule>
    <cfRule type="expression" dxfId="2949" priority="2682">
      <formula>SEARCH("INTERROTTO",$M92)&gt;0</formula>
    </cfRule>
  </conditionalFormatting>
  <conditionalFormatting sqref="G92">
    <cfRule type="expression" dxfId="2948" priority="2665">
      <formula>SEARCH("IN CORSO",$M92)&gt;0</formula>
    </cfRule>
    <cfRule type="expression" dxfId="2947" priority="2666">
      <formula>SEARCH("CHIUSO",$M92)&gt;0</formula>
    </cfRule>
    <cfRule type="expression" dxfId="2946" priority="2667">
      <formula>SEARCH("EMESSO",$M92)&gt;0</formula>
    </cfRule>
    <cfRule type="expression" dxfId="2945" priority="2668">
      <formula>SEARCH("RICHIESTO",$M92)&gt;0</formula>
    </cfRule>
    <cfRule type="expression" dxfId="2944" priority="2669">
      <formula>SEARCH("DA CHIUDERE",$M92)&gt;0</formula>
    </cfRule>
    <cfRule type="expression" dxfId="2943" priority="2670">
      <formula>SEARCH("INTERROTTO",$M92)&gt;0</formula>
    </cfRule>
  </conditionalFormatting>
  <conditionalFormatting sqref="E92">
    <cfRule type="expression" dxfId="2942" priority="2671">
      <formula>SEARCH("IN CORSO",$M92)&gt;0</formula>
    </cfRule>
    <cfRule type="expression" dxfId="2941" priority="2672">
      <formula>SEARCH("CHIUSO",$M92)&gt;0</formula>
    </cfRule>
    <cfRule type="expression" dxfId="2940" priority="2673">
      <formula>SEARCH("EMESSO",$M92)&gt;0</formula>
    </cfRule>
    <cfRule type="expression" dxfId="2939" priority="2674">
      <formula>SEARCH("RICHIESTO",$M92)&gt;0</formula>
    </cfRule>
    <cfRule type="expression" dxfId="2938" priority="2675">
      <formula>SEARCH("DA CHIUDERE",$M92)&gt;0</formula>
    </cfRule>
    <cfRule type="expression" dxfId="2937" priority="2676">
      <formula>SEARCH("INTERROTTO",$M92)&gt;0</formula>
    </cfRule>
  </conditionalFormatting>
  <conditionalFormatting sqref="F92">
    <cfRule type="expression" dxfId="2936" priority="2659">
      <formula>SEARCH("IN CORSO",$M92)&gt;0</formula>
    </cfRule>
    <cfRule type="expression" dxfId="2935" priority="2660">
      <formula>SEARCH("CHIUSO",$M92)&gt;0</formula>
    </cfRule>
    <cfRule type="expression" dxfId="2934" priority="2661">
      <formula>SEARCH("EMESSO",$M92)&gt;0</formula>
    </cfRule>
    <cfRule type="expression" dxfId="2933" priority="2662">
      <formula>SEARCH("RICHIESTO",$M92)&gt;0</formula>
    </cfRule>
    <cfRule type="expression" dxfId="2932" priority="2663">
      <formula>SEARCH("DA CHIUDERE",$M92)&gt;0</formula>
    </cfRule>
    <cfRule type="expression" dxfId="2931" priority="2664">
      <formula>SEARCH("INTERROTTO",$M92)&gt;0</formula>
    </cfRule>
  </conditionalFormatting>
  <conditionalFormatting sqref="M91">
    <cfRule type="expression" dxfId="2930" priority="2653">
      <formula>SEARCH("IN CORSO",$M91)&gt;0</formula>
    </cfRule>
    <cfRule type="expression" dxfId="2929" priority="2654">
      <formula>SEARCH("CHIUSO",$M91)&gt;0</formula>
    </cfRule>
    <cfRule type="expression" dxfId="2928" priority="2655">
      <formula>SEARCH("EMESSO",$M91)&gt;0</formula>
    </cfRule>
    <cfRule type="expression" dxfId="2927" priority="2656">
      <formula>SEARCH("RICHIESTO",$M91)&gt;0</formula>
    </cfRule>
    <cfRule type="expression" dxfId="2926" priority="2657">
      <formula>SEARCH("DA CHIUDERE",$M91)&gt;0</formula>
    </cfRule>
    <cfRule type="expression" dxfId="2925" priority="2658">
      <formula>SEARCH("INTERROTTO",$M91)&gt;0</formula>
    </cfRule>
  </conditionalFormatting>
  <conditionalFormatting sqref="N91:S91">
    <cfRule type="expression" dxfId="2924" priority="2647">
      <formula>SEARCH("IN CORSO",$M91)&gt;0</formula>
    </cfRule>
    <cfRule type="expression" dxfId="2923" priority="2648">
      <formula>SEARCH("CHIUSO",$M91)&gt;0</formula>
    </cfRule>
    <cfRule type="expression" dxfId="2922" priority="2649">
      <formula>SEARCH("EMESSO",$M91)&gt;0</formula>
    </cfRule>
    <cfRule type="expression" dxfId="2921" priority="2650">
      <formula>SEARCH("RICHIESTO",$M91)&gt;0</formula>
    </cfRule>
    <cfRule type="expression" dxfId="2920" priority="2651">
      <formula>SEARCH("DA CHIUDERE",$M91)&gt;0</formula>
    </cfRule>
    <cfRule type="expression" dxfId="2919" priority="2652">
      <formula>SEARCH("INTERROTTO",$M91)&gt;0</formula>
    </cfRule>
  </conditionalFormatting>
  <conditionalFormatting sqref="G91">
    <cfRule type="expression" dxfId="2918" priority="2635">
      <formula>SEARCH("IN CORSO",$M91)&gt;0</formula>
    </cfRule>
    <cfRule type="expression" dxfId="2917" priority="2636">
      <formula>SEARCH("CHIUSO",$M91)&gt;0</formula>
    </cfRule>
    <cfRule type="expression" dxfId="2916" priority="2637">
      <formula>SEARCH("EMESSO",$M91)&gt;0</formula>
    </cfRule>
    <cfRule type="expression" dxfId="2915" priority="2638">
      <formula>SEARCH("RICHIESTO",$M91)&gt;0</formula>
    </cfRule>
    <cfRule type="expression" dxfId="2914" priority="2639">
      <formula>SEARCH("DA CHIUDERE",$M91)&gt;0</formula>
    </cfRule>
    <cfRule type="expression" dxfId="2913" priority="2640">
      <formula>SEARCH("INTERROTTO",$M91)&gt;0</formula>
    </cfRule>
  </conditionalFormatting>
  <conditionalFormatting sqref="E91">
    <cfRule type="expression" dxfId="2912" priority="2641">
      <formula>SEARCH("IN CORSO",$M91)&gt;0</formula>
    </cfRule>
    <cfRule type="expression" dxfId="2911" priority="2642">
      <formula>SEARCH("CHIUSO",$M91)&gt;0</formula>
    </cfRule>
    <cfRule type="expression" dxfId="2910" priority="2643">
      <formula>SEARCH("EMESSO",$M91)&gt;0</formula>
    </cfRule>
    <cfRule type="expression" dxfId="2909" priority="2644">
      <formula>SEARCH("RICHIESTO",$M91)&gt;0</formula>
    </cfRule>
    <cfRule type="expression" dxfId="2908" priority="2645">
      <formula>SEARCH("DA CHIUDERE",$M91)&gt;0</formula>
    </cfRule>
    <cfRule type="expression" dxfId="2907" priority="2646">
      <formula>SEARCH("INTERROTTO",$M91)&gt;0</formula>
    </cfRule>
  </conditionalFormatting>
  <conditionalFormatting sqref="F91">
    <cfRule type="expression" dxfId="2906" priority="2629">
      <formula>SEARCH("IN CORSO",$M91)&gt;0</formula>
    </cfRule>
    <cfRule type="expression" dxfId="2905" priority="2630">
      <formula>SEARCH("CHIUSO",$M91)&gt;0</formula>
    </cfRule>
    <cfRule type="expression" dxfId="2904" priority="2631">
      <formula>SEARCH("EMESSO",$M91)&gt;0</formula>
    </cfRule>
    <cfRule type="expression" dxfId="2903" priority="2632">
      <formula>SEARCH("RICHIESTO",$M91)&gt;0</formula>
    </cfRule>
    <cfRule type="expression" dxfId="2902" priority="2633">
      <formula>SEARCH("DA CHIUDERE",$M91)&gt;0</formula>
    </cfRule>
    <cfRule type="expression" dxfId="2901" priority="2634">
      <formula>SEARCH("INTERROTTO",$M91)&gt;0</formula>
    </cfRule>
  </conditionalFormatting>
  <conditionalFormatting sqref="M90">
    <cfRule type="expression" dxfId="2900" priority="2623">
      <formula>SEARCH("IN CORSO",$M90)&gt;0</formula>
    </cfRule>
    <cfRule type="expression" dxfId="2899" priority="2624">
      <formula>SEARCH("CHIUSO",$M90)&gt;0</formula>
    </cfRule>
    <cfRule type="expression" dxfId="2898" priority="2625">
      <formula>SEARCH("EMESSO",$M90)&gt;0</formula>
    </cfRule>
    <cfRule type="expression" dxfId="2897" priority="2626">
      <formula>SEARCH("RICHIESTO",$M90)&gt;0</formula>
    </cfRule>
    <cfRule type="expression" dxfId="2896" priority="2627">
      <formula>SEARCH("DA CHIUDERE",$M90)&gt;0</formula>
    </cfRule>
    <cfRule type="expression" dxfId="2895" priority="2628">
      <formula>SEARCH("INTERROTTO",$M90)&gt;0</formula>
    </cfRule>
  </conditionalFormatting>
  <conditionalFormatting sqref="N90:S90">
    <cfRule type="expression" dxfId="2894" priority="2617">
      <formula>SEARCH("IN CORSO",$M90)&gt;0</formula>
    </cfRule>
    <cfRule type="expression" dxfId="2893" priority="2618">
      <formula>SEARCH("CHIUSO",$M90)&gt;0</formula>
    </cfRule>
    <cfRule type="expression" dxfId="2892" priority="2619">
      <formula>SEARCH("EMESSO",$M90)&gt;0</formula>
    </cfRule>
    <cfRule type="expression" dxfId="2891" priority="2620">
      <formula>SEARCH("RICHIESTO",$M90)&gt;0</formula>
    </cfRule>
    <cfRule type="expression" dxfId="2890" priority="2621">
      <formula>SEARCH("DA CHIUDERE",$M90)&gt;0</formula>
    </cfRule>
    <cfRule type="expression" dxfId="2889" priority="2622">
      <formula>SEARCH("INTERROTTO",$M90)&gt;0</formula>
    </cfRule>
  </conditionalFormatting>
  <conditionalFormatting sqref="G90">
    <cfRule type="expression" dxfId="2888" priority="2605">
      <formula>SEARCH("IN CORSO",$M90)&gt;0</formula>
    </cfRule>
    <cfRule type="expression" dxfId="2887" priority="2606">
      <formula>SEARCH("CHIUSO",$M90)&gt;0</formula>
    </cfRule>
    <cfRule type="expression" dxfId="2886" priority="2607">
      <formula>SEARCH("EMESSO",$M90)&gt;0</formula>
    </cfRule>
    <cfRule type="expression" dxfId="2885" priority="2608">
      <formula>SEARCH("RICHIESTO",$M90)&gt;0</formula>
    </cfRule>
    <cfRule type="expression" dxfId="2884" priority="2609">
      <formula>SEARCH("DA CHIUDERE",$M90)&gt;0</formula>
    </cfRule>
    <cfRule type="expression" dxfId="2883" priority="2610">
      <formula>SEARCH("INTERROTTO",$M90)&gt;0</formula>
    </cfRule>
  </conditionalFormatting>
  <conditionalFormatting sqref="E90">
    <cfRule type="expression" dxfId="2882" priority="2611">
      <formula>SEARCH("IN CORSO",$M90)&gt;0</formula>
    </cfRule>
    <cfRule type="expression" dxfId="2881" priority="2612">
      <formula>SEARCH("CHIUSO",$M90)&gt;0</formula>
    </cfRule>
    <cfRule type="expression" dxfId="2880" priority="2613">
      <formula>SEARCH("EMESSO",$M90)&gt;0</formula>
    </cfRule>
    <cfRule type="expression" dxfId="2879" priority="2614">
      <formula>SEARCH("RICHIESTO",$M90)&gt;0</formula>
    </cfRule>
    <cfRule type="expression" dxfId="2878" priority="2615">
      <formula>SEARCH("DA CHIUDERE",$M90)&gt;0</formula>
    </cfRule>
    <cfRule type="expression" dxfId="2877" priority="2616">
      <formula>SEARCH("INTERROTTO",$M90)&gt;0</formula>
    </cfRule>
  </conditionalFormatting>
  <conditionalFormatting sqref="F90">
    <cfRule type="expression" dxfId="2876" priority="2599">
      <formula>SEARCH("IN CORSO",$M90)&gt;0</formula>
    </cfRule>
    <cfRule type="expression" dxfId="2875" priority="2600">
      <formula>SEARCH("CHIUSO",$M90)&gt;0</formula>
    </cfRule>
    <cfRule type="expression" dxfId="2874" priority="2601">
      <formula>SEARCH("EMESSO",$M90)&gt;0</formula>
    </cfRule>
    <cfRule type="expression" dxfId="2873" priority="2602">
      <formula>SEARCH("RICHIESTO",$M90)&gt;0</formula>
    </cfRule>
    <cfRule type="expression" dxfId="2872" priority="2603">
      <formula>SEARCH("DA CHIUDERE",$M90)&gt;0</formula>
    </cfRule>
    <cfRule type="expression" dxfId="2871" priority="2604">
      <formula>SEARCH("INTERROTTO",$M90)&gt;0</formula>
    </cfRule>
  </conditionalFormatting>
  <conditionalFormatting sqref="M89">
    <cfRule type="expression" dxfId="2870" priority="2593">
      <formula>SEARCH("IN CORSO",$M89)&gt;0</formula>
    </cfRule>
    <cfRule type="expression" dxfId="2869" priority="2594">
      <formula>SEARCH("CHIUSO",$M89)&gt;0</formula>
    </cfRule>
    <cfRule type="expression" dxfId="2868" priority="2595">
      <formula>SEARCH("EMESSO",$M89)&gt;0</formula>
    </cfRule>
    <cfRule type="expression" dxfId="2867" priority="2596">
      <formula>SEARCH("RICHIESTO",$M89)&gt;0</formula>
    </cfRule>
    <cfRule type="expression" dxfId="2866" priority="2597">
      <formula>SEARCH("DA CHIUDERE",$M89)&gt;0</formula>
    </cfRule>
    <cfRule type="expression" dxfId="2865" priority="2598">
      <formula>SEARCH("INTERROTTO",$M89)&gt;0</formula>
    </cfRule>
  </conditionalFormatting>
  <conditionalFormatting sqref="N89:S89">
    <cfRule type="expression" dxfId="2864" priority="2587">
      <formula>SEARCH("IN CORSO",$M89)&gt;0</formula>
    </cfRule>
    <cfRule type="expression" dxfId="2863" priority="2588">
      <formula>SEARCH("CHIUSO",$M89)&gt;0</formula>
    </cfRule>
    <cfRule type="expression" dxfId="2862" priority="2589">
      <formula>SEARCH("EMESSO",$M89)&gt;0</formula>
    </cfRule>
    <cfRule type="expression" dxfId="2861" priority="2590">
      <formula>SEARCH("RICHIESTO",$M89)&gt;0</formula>
    </cfRule>
    <cfRule type="expression" dxfId="2860" priority="2591">
      <formula>SEARCH("DA CHIUDERE",$M89)&gt;0</formula>
    </cfRule>
    <cfRule type="expression" dxfId="2859" priority="2592">
      <formula>SEARCH("INTERROTTO",$M89)&gt;0</formula>
    </cfRule>
  </conditionalFormatting>
  <conditionalFormatting sqref="G89">
    <cfRule type="expression" dxfId="2858" priority="2575">
      <formula>SEARCH("IN CORSO",$M89)&gt;0</formula>
    </cfRule>
    <cfRule type="expression" dxfId="2857" priority="2576">
      <formula>SEARCH("CHIUSO",$M89)&gt;0</formula>
    </cfRule>
    <cfRule type="expression" dxfId="2856" priority="2577">
      <formula>SEARCH("EMESSO",$M89)&gt;0</formula>
    </cfRule>
    <cfRule type="expression" dxfId="2855" priority="2578">
      <formula>SEARCH("RICHIESTO",$M89)&gt;0</formula>
    </cfRule>
    <cfRule type="expression" dxfId="2854" priority="2579">
      <formula>SEARCH("DA CHIUDERE",$M89)&gt;0</formula>
    </cfRule>
    <cfRule type="expression" dxfId="2853" priority="2580">
      <formula>SEARCH("INTERROTTO",$M89)&gt;0</formula>
    </cfRule>
  </conditionalFormatting>
  <conditionalFormatting sqref="E89">
    <cfRule type="expression" dxfId="2852" priority="2581">
      <formula>SEARCH("IN CORSO",$M89)&gt;0</formula>
    </cfRule>
    <cfRule type="expression" dxfId="2851" priority="2582">
      <formula>SEARCH("CHIUSO",$M89)&gt;0</formula>
    </cfRule>
    <cfRule type="expression" dxfId="2850" priority="2583">
      <formula>SEARCH("EMESSO",$M89)&gt;0</formula>
    </cfRule>
    <cfRule type="expression" dxfId="2849" priority="2584">
      <formula>SEARCH("RICHIESTO",$M89)&gt;0</formula>
    </cfRule>
    <cfRule type="expression" dxfId="2848" priority="2585">
      <formula>SEARCH("DA CHIUDERE",$M89)&gt;0</formula>
    </cfRule>
    <cfRule type="expression" dxfId="2847" priority="2586">
      <formula>SEARCH("INTERROTTO",$M89)&gt;0</formula>
    </cfRule>
  </conditionalFormatting>
  <conditionalFormatting sqref="F89">
    <cfRule type="expression" dxfId="2846" priority="2569">
      <formula>SEARCH("IN CORSO",$M89)&gt;0</formula>
    </cfRule>
    <cfRule type="expression" dxfId="2845" priority="2570">
      <formula>SEARCH("CHIUSO",$M89)&gt;0</formula>
    </cfRule>
    <cfRule type="expression" dxfId="2844" priority="2571">
      <formula>SEARCH("EMESSO",$M89)&gt;0</formula>
    </cfRule>
    <cfRule type="expression" dxfId="2843" priority="2572">
      <formula>SEARCH("RICHIESTO",$M89)&gt;0</formula>
    </cfRule>
    <cfRule type="expression" dxfId="2842" priority="2573">
      <formula>SEARCH("DA CHIUDERE",$M89)&gt;0</formula>
    </cfRule>
    <cfRule type="expression" dxfId="2841" priority="2574">
      <formula>SEARCH("INTERROTTO",$M89)&gt;0</formula>
    </cfRule>
  </conditionalFormatting>
  <conditionalFormatting sqref="M88">
    <cfRule type="expression" dxfId="2840" priority="2563">
      <formula>SEARCH("IN CORSO",$M88)&gt;0</formula>
    </cfRule>
    <cfRule type="expression" dxfId="2839" priority="2564">
      <formula>SEARCH("CHIUSO",$M88)&gt;0</formula>
    </cfRule>
    <cfRule type="expression" dxfId="2838" priority="2565">
      <formula>SEARCH("EMESSO",$M88)&gt;0</formula>
    </cfRule>
    <cfRule type="expression" dxfId="2837" priority="2566">
      <formula>SEARCH("RICHIESTO",$M88)&gt;0</formula>
    </cfRule>
    <cfRule type="expression" dxfId="2836" priority="2567">
      <formula>SEARCH("DA CHIUDERE",$M88)&gt;0</formula>
    </cfRule>
    <cfRule type="expression" dxfId="2835" priority="2568">
      <formula>SEARCH("INTERROTTO",$M88)&gt;0</formula>
    </cfRule>
  </conditionalFormatting>
  <conditionalFormatting sqref="N88:S88">
    <cfRule type="expression" dxfId="2834" priority="2557">
      <formula>SEARCH("IN CORSO",$M88)&gt;0</formula>
    </cfRule>
    <cfRule type="expression" dxfId="2833" priority="2558">
      <formula>SEARCH("CHIUSO",$M88)&gt;0</formula>
    </cfRule>
    <cfRule type="expression" dxfId="2832" priority="2559">
      <formula>SEARCH("EMESSO",$M88)&gt;0</formula>
    </cfRule>
    <cfRule type="expression" dxfId="2831" priority="2560">
      <formula>SEARCH("RICHIESTO",$M88)&gt;0</formula>
    </cfRule>
    <cfRule type="expression" dxfId="2830" priority="2561">
      <formula>SEARCH("DA CHIUDERE",$M88)&gt;0</formula>
    </cfRule>
    <cfRule type="expression" dxfId="2829" priority="2562">
      <formula>SEARCH("INTERROTTO",$M88)&gt;0</formula>
    </cfRule>
  </conditionalFormatting>
  <conditionalFormatting sqref="G88">
    <cfRule type="expression" dxfId="2828" priority="2545">
      <formula>SEARCH("IN CORSO",$M88)&gt;0</formula>
    </cfRule>
    <cfRule type="expression" dxfId="2827" priority="2546">
      <formula>SEARCH("CHIUSO",$M88)&gt;0</formula>
    </cfRule>
    <cfRule type="expression" dxfId="2826" priority="2547">
      <formula>SEARCH("EMESSO",$M88)&gt;0</formula>
    </cfRule>
    <cfRule type="expression" dxfId="2825" priority="2548">
      <formula>SEARCH("RICHIESTO",$M88)&gt;0</formula>
    </cfRule>
    <cfRule type="expression" dxfId="2824" priority="2549">
      <formula>SEARCH("DA CHIUDERE",$M88)&gt;0</formula>
    </cfRule>
    <cfRule type="expression" dxfId="2823" priority="2550">
      <formula>SEARCH("INTERROTTO",$M88)&gt;0</formula>
    </cfRule>
  </conditionalFormatting>
  <conditionalFormatting sqref="E88">
    <cfRule type="expression" dxfId="2822" priority="2551">
      <formula>SEARCH("IN CORSO",$M88)&gt;0</formula>
    </cfRule>
    <cfRule type="expression" dxfId="2821" priority="2552">
      <formula>SEARCH("CHIUSO",$M88)&gt;0</formula>
    </cfRule>
    <cfRule type="expression" dxfId="2820" priority="2553">
      <formula>SEARCH("EMESSO",$M88)&gt;0</formula>
    </cfRule>
    <cfRule type="expression" dxfId="2819" priority="2554">
      <formula>SEARCH("RICHIESTO",$M88)&gt;0</formula>
    </cfRule>
    <cfRule type="expression" dxfId="2818" priority="2555">
      <formula>SEARCH("DA CHIUDERE",$M88)&gt;0</formula>
    </cfRule>
    <cfRule type="expression" dxfId="2817" priority="2556">
      <formula>SEARCH("INTERROTTO",$M88)&gt;0</formula>
    </cfRule>
  </conditionalFormatting>
  <conditionalFormatting sqref="F88">
    <cfRule type="expression" dxfId="2816" priority="2539">
      <formula>SEARCH("IN CORSO",$M88)&gt;0</formula>
    </cfRule>
    <cfRule type="expression" dxfId="2815" priority="2540">
      <formula>SEARCH("CHIUSO",$M88)&gt;0</formula>
    </cfRule>
    <cfRule type="expression" dxfId="2814" priority="2541">
      <formula>SEARCH("EMESSO",$M88)&gt;0</formula>
    </cfRule>
    <cfRule type="expression" dxfId="2813" priority="2542">
      <formula>SEARCH("RICHIESTO",$M88)&gt;0</formula>
    </cfRule>
    <cfRule type="expression" dxfId="2812" priority="2543">
      <formula>SEARCH("DA CHIUDERE",$M88)&gt;0</formula>
    </cfRule>
    <cfRule type="expression" dxfId="2811" priority="2544">
      <formula>SEARCH("INTERROTTO",$M88)&gt;0</formula>
    </cfRule>
  </conditionalFormatting>
  <conditionalFormatting sqref="M87">
    <cfRule type="expression" dxfId="2810" priority="2533">
      <formula>SEARCH("IN CORSO",$M87)&gt;0</formula>
    </cfRule>
    <cfRule type="expression" dxfId="2809" priority="2534">
      <formula>SEARCH("CHIUSO",$M87)&gt;0</formula>
    </cfRule>
    <cfRule type="expression" dxfId="2808" priority="2535">
      <formula>SEARCH("EMESSO",$M87)&gt;0</formula>
    </cfRule>
    <cfRule type="expression" dxfId="2807" priority="2536">
      <formula>SEARCH("RICHIESTO",$M87)&gt;0</formula>
    </cfRule>
    <cfRule type="expression" dxfId="2806" priority="2537">
      <formula>SEARCH("DA CHIUDERE",$M87)&gt;0</formula>
    </cfRule>
    <cfRule type="expression" dxfId="2805" priority="2538">
      <formula>SEARCH("INTERROTTO",$M87)&gt;0</formula>
    </cfRule>
  </conditionalFormatting>
  <conditionalFormatting sqref="N87:S87">
    <cfRule type="expression" dxfId="2804" priority="2527">
      <formula>SEARCH("IN CORSO",$M87)&gt;0</formula>
    </cfRule>
    <cfRule type="expression" dxfId="2803" priority="2528">
      <formula>SEARCH("CHIUSO",$M87)&gt;0</formula>
    </cfRule>
    <cfRule type="expression" dxfId="2802" priority="2529">
      <formula>SEARCH("EMESSO",$M87)&gt;0</formula>
    </cfRule>
    <cfRule type="expression" dxfId="2801" priority="2530">
      <formula>SEARCH("RICHIESTO",$M87)&gt;0</formula>
    </cfRule>
    <cfRule type="expression" dxfId="2800" priority="2531">
      <formula>SEARCH("DA CHIUDERE",$M87)&gt;0</formula>
    </cfRule>
    <cfRule type="expression" dxfId="2799" priority="2532">
      <formula>SEARCH("INTERROTTO",$M87)&gt;0</formula>
    </cfRule>
  </conditionalFormatting>
  <conditionalFormatting sqref="G87">
    <cfRule type="expression" dxfId="2798" priority="2515">
      <formula>SEARCH("IN CORSO",$M87)&gt;0</formula>
    </cfRule>
    <cfRule type="expression" dxfId="2797" priority="2516">
      <formula>SEARCH("CHIUSO",$M87)&gt;0</formula>
    </cfRule>
    <cfRule type="expression" dxfId="2796" priority="2517">
      <formula>SEARCH("EMESSO",$M87)&gt;0</formula>
    </cfRule>
    <cfRule type="expression" dxfId="2795" priority="2518">
      <formula>SEARCH("RICHIESTO",$M87)&gt;0</formula>
    </cfRule>
    <cfRule type="expression" dxfId="2794" priority="2519">
      <formula>SEARCH("DA CHIUDERE",$M87)&gt;0</formula>
    </cfRule>
    <cfRule type="expression" dxfId="2793" priority="2520">
      <formula>SEARCH("INTERROTTO",$M87)&gt;0</formula>
    </cfRule>
  </conditionalFormatting>
  <conditionalFormatting sqref="E87">
    <cfRule type="expression" dxfId="2792" priority="2521">
      <formula>SEARCH("IN CORSO",$M87)&gt;0</formula>
    </cfRule>
    <cfRule type="expression" dxfId="2791" priority="2522">
      <formula>SEARCH("CHIUSO",$M87)&gt;0</formula>
    </cfRule>
    <cfRule type="expression" dxfId="2790" priority="2523">
      <formula>SEARCH("EMESSO",$M87)&gt;0</formula>
    </cfRule>
    <cfRule type="expression" dxfId="2789" priority="2524">
      <formula>SEARCH("RICHIESTO",$M87)&gt;0</formula>
    </cfRule>
    <cfRule type="expression" dxfId="2788" priority="2525">
      <formula>SEARCH("DA CHIUDERE",$M87)&gt;0</formula>
    </cfRule>
    <cfRule type="expression" dxfId="2787" priority="2526">
      <formula>SEARCH("INTERROTTO",$M87)&gt;0</formula>
    </cfRule>
  </conditionalFormatting>
  <conditionalFormatting sqref="F87">
    <cfRule type="expression" dxfId="2786" priority="2509">
      <formula>SEARCH("IN CORSO",$M87)&gt;0</formula>
    </cfRule>
    <cfRule type="expression" dxfId="2785" priority="2510">
      <formula>SEARCH("CHIUSO",$M87)&gt;0</formula>
    </cfRule>
    <cfRule type="expression" dxfId="2784" priority="2511">
      <formula>SEARCH("EMESSO",$M87)&gt;0</formula>
    </cfRule>
    <cfRule type="expression" dxfId="2783" priority="2512">
      <formula>SEARCH("RICHIESTO",$M87)&gt;0</formula>
    </cfRule>
    <cfRule type="expression" dxfId="2782" priority="2513">
      <formula>SEARCH("DA CHIUDERE",$M87)&gt;0</formula>
    </cfRule>
    <cfRule type="expression" dxfId="2781" priority="2514">
      <formula>SEARCH("INTERROTTO",$M87)&gt;0</formula>
    </cfRule>
  </conditionalFormatting>
  <conditionalFormatting sqref="M86">
    <cfRule type="expression" dxfId="2780" priority="2503">
      <formula>SEARCH("IN CORSO",$M86)&gt;0</formula>
    </cfRule>
    <cfRule type="expression" dxfId="2779" priority="2504">
      <formula>SEARCH("CHIUSO",$M86)&gt;0</formula>
    </cfRule>
    <cfRule type="expression" dxfId="2778" priority="2505">
      <formula>SEARCH("EMESSO",$M86)&gt;0</formula>
    </cfRule>
    <cfRule type="expression" dxfId="2777" priority="2506">
      <formula>SEARCH("RICHIESTO",$M86)&gt;0</formula>
    </cfRule>
    <cfRule type="expression" dxfId="2776" priority="2507">
      <formula>SEARCH("DA CHIUDERE",$M86)&gt;0</formula>
    </cfRule>
    <cfRule type="expression" dxfId="2775" priority="2508">
      <formula>SEARCH("INTERROTTO",$M86)&gt;0</formula>
    </cfRule>
  </conditionalFormatting>
  <conditionalFormatting sqref="N86:S86">
    <cfRule type="expression" dxfId="2774" priority="2497">
      <formula>SEARCH("IN CORSO",$M86)&gt;0</formula>
    </cfRule>
    <cfRule type="expression" dxfId="2773" priority="2498">
      <formula>SEARCH("CHIUSO",$M86)&gt;0</formula>
    </cfRule>
    <cfRule type="expression" dxfId="2772" priority="2499">
      <formula>SEARCH("EMESSO",$M86)&gt;0</formula>
    </cfRule>
    <cfRule type="expression" dxfId="2771" priority="2500">
      <formula>SEARCH("RICHIESTO",$M86)&gt;0</formula>
    </cfRule>
    <cfRule type="expression" dxfId="2770" priority="2501">
      <formula>SEARCH("DA CHIUDERE",$M86)&gt;0</formula>
    </cfRule>
    <cfRule type="expression" dxfId="2769" priority="2502">
      <formula>SEARCH("INTERROTTO",$M86)&gt;0</formula>
    </cfRule>
  </conditionalFormatting>
  <conditionalFormatting sqref="G86">
    <cfRule type="expression" dxfId="2768" priority="2485">
      <formula>SEARCH("IN CORSO",$M86)&gt;0</formula>
    </cfRule>
    <cfRule type="expression" dxfId="2767" priority="2486">
      <formula>SEARCH("CHIUSO",$M86)&gt;0</formula>
    </cfRule>
    <cfRule type="expression" dxfId="2766" priority="2487">
      <formula>SEARCH("EMESSO",$M86)&gt;0</formula>
    </cfRule>
    <cfRule type="expression" dxfId="2765" priority="2488">
      <formula>SEARCH("RICHIESTO",$M86)&gt;0</formula>
    </cfRule>
    <cfRule type="expression" dxfId="2764" priority="2489">
      <formula>SEARCH("DA CHIUDERE",$M86)&gt;0</formula>
    </cfRule>
    <cfRule type="expression" dxfId="2763" priority="2490">
      <formula>SEARCH("INTERROTTO",$M86)&gt;0</formula>
    </cfRule>
  </conditionalFormatting>
  <conditionalFormatting sqref="E86">
    <cfRule type="expression" dxfId="2762" priority="2491">
      <formula>SEARCH("IN CORSO",$M86)&gt;0</formula>
    </cfRule>
    <cfRule type="expression" dxfId="2761" priority="2492">
      <formula>SEARCH("CHIUSO",$M86)&gt;0</formula>
    </cfRule>
    <cfRule type="expression" dxfId="2760" priority="2493">
      <formula>SEARCH("EMESSO",$M86)&gt;0</formula>
    </cfRule>
    <cfRule type="expression" dxfId="2759" priority="2494">
      <formula>SEARCH("RICHIESTO",$M86)&gt;0</formula>
    </cfRule>
    <cfRule type="expression" dxfId="2758" priority="2495">
      <formula>SEARCH("DA CHIUDERE",$M86)&gt;0</formula>
    </cfRule>
    <cfRule type="expression" dxfId="2757" priority="2496">
      <formula>SEARCH("INTERROTTO",$M86)&gt;0</formula>
    </cfRule>
  </conditionalFormatting>
  <conditionalFormatting sqref="F86">
    <cfRule type="expression" dxfId="2756" priority="2479">
      <formula>SEARCH("IN CORSO",$M86)&gt;0</formula>
    </cfRule>
    <cfRule type="expression" dxfId="2755" priority="2480">
      <formula>SEARCH("CHIUSO",$M86)&gt;0</formula>
    </cfRule>
    <cfRule type="expression" dxfId="2754" priority="2481">
      <formula>SEARCH("EMESSO",$M86)&gt;0</formula>
    </cfRule>
    <cfRule type="expression" dxfId="2753" priority="2482">
      <formula>SEARCH("RICHIESTO",$M86)&gt;0</formula>
    </cfRule>
    <cfRule type="expression" dxfId="2752" priority="2483">
      <formula>SEARCH("DA CHIUDERE",$M86)&gt;0</formula>
    </cfRule>
    <cfRule type="expression" dxfId="2751" priority="2484">
      <formula>SEARCH("INTERROTTO",$M86)&gt;0</formula>
    </cfRule>
  </conditionalFormatting>
  <conditionalFormatting sqref="M85">
    <cfRule type="expression" dxfId="2750" priority="2473">
      <formula>SEARCH("IN CORSO",$M85)&gt;0</formula>
    </cfRule>
    <cfRule type="expression" dxfId="2749" priority="2474">
      <formula>SEARCH("CHIUSO",$M85)&gt;0</formula>
    </cfRule>
    <cfRule type="expression" dxfId="2748" priority="2475">
      <formula>SEARCH("EMESSO",$M85)&gt;0</formula>
    </cfRule>
    <cfRule type="expression" dxfId="2747" priority="2476">
      <formula>SEARCH("RICHIESTO",$M85)&gt;0</formula>
    </cfRule>
    <cfRule type="expression" dxfId="2746" priority="2477">
      <formula>SEARCH("DA CHIUDERE",$M85)&gt;0</formula>
    </cfRule>
    <cfRule type="expression" dxfId="2745" priority="2478">
      <formula>SEARCH("INTERROTTO",$M85)&gt;0</formula>
    </cfRule>
  </conditionalFormatting>
  <conditionalFormatting sqref="N85:S85">
    <cfRule type="expression" dxfId="2744" priority="2467">
      <formula>SEARCH("IN CORSO",$M85)&gt;0</formula>
    </cfRule>
    <cfRule type="expression" dxfId="2743" priority="2468">
      <formula>SEARCH("CHIUSO",$M85)&gt;0</formula>
    </cfRule>
    <cfRule type="expression" dxfId="2742" priority="2469">
      <formula>SEARCH("EMESSO",$M85)&gt;0</formula>
    </cfRule>
    <cfRule type="expression" dxfId="2741" priority="2470">
      <formula>SEARCH("RICHIESTO",$M85)&gt;0</formula>
    </cfRule>
    <cfRule type="expression" dxfId="2740" priority="2471">
      <formula>SEARCH("DA CHIUDERE",$M85)&gt;0</formula>
    </cfRule>
    <cfRule type="expression" dxfId="2739" priority="2472">
      <formula>SEARCH("INTERROTTO",$M85)&gt;0</formula>
    </cfRule>
  </conditionalFormatting>
  <conditionalFormatting sqref="G85">
    <cfRule type="expression" dxfId="2738" priority="2455">
      <formula>SEARCH("IN CORSO",$M85)&gt;0</formula>
    </cfRule>
    <cfRule type="expression" dxfId="2737" priority="2456">
      <formula>SEARCH("CHIUSO",$M85)&gt;0</formula>
    </cfRule>
    <cfRule type="expression" dxfId="2736" priority="2457">
      <formula>SEARCH("EMESSO",$M85)&gt;0</formula>
    </cfRule>
    <cfRule type="expression" dxfId="2735" priority="2458">
      <formula>SEARCH("RICHIESTO",$M85)&gt;0</formula>
    </cfRule>
    <cfRule type="expression" dxfId="2734" priority="2459">
      <formula>SEARCH("DA CHIUDERE",$M85)&gt;0</formula>
    </cfRule>
    <cfRule type="expression" dxfId="2733" priority="2460">
      <formula>SEARCH("INTERROTTO",$M85)&gt;0</formula>
    </cfRule>
  </conditionalFormatting>
  <conditionalFormatting sqref="E85">
    <cfRule type="expression" dxfId="2732" priority="2461">
      <formula>SEARCH("IN CORSO",$M85)&gt;0</formula>
    </cfRule>
    <cfRule type="expression" dxfId="2731" priority="2462">
      <formula>SEARCH("CHIUSO",$M85)&gt;0</formula>
    </cfRule>
    <cfRule type="expression" dxfId="2730" priority="2463">
      <formula>SEARCH("EMESSO",$M85)&gt;0</formula>
    </cfRule>
    <cfRule type="expression" dxfId="2729" priority="2464">
      <formula>SEARCH("RICHIESTO",$M85)&gt;0</formula>
    </cfRule>
    <cfRule type="expression" dxfId="2728" priority="2465">
      <formula>SEARCH("DA CHIUDERE",$M85)&gt;0</formula>
    </cfRule>
    <cfRule type="expression" dxfId="2727" priority="2466">
      <formula>SEARCH("INTERROTTO",$M85)&gt;0</formula>
    </cfRule>
  </conditionalFormatting>
  <conditionalFormatting sqref="F85">
    <cfRule type="expression" dxfId="2726" priority="2449">
      <formula>SEARCH("IN CORSO",$M85)&gt;0</formula>
    </cfRule>
    <cfRule type="expression" dxfId="2725" priority="2450">
      <formula>SEARCH("CHIUSO",$M85)&gt;0</formula>
    </cfRule>
    <cfRule type="expression" dxfId="2724" priority="2451">
      <formula>SEARCH("EMESSO",$M85)&gt;0</formula>
    </cfRule>
    <cfRule type="expression" dxfId="2723" priority="2452">
      <formula>SEARCH("RICHIESTO",$M85)&gt;0</formula>
    </cfRule>
    <cfRule type="expression" dxfId="2722" priority="2453">
      <formula>SEARCH("DA CHIUDERE",$M85)&gt;0</formula>
    </cfRule>
    <cfRule type="expression" dxfId="2721" priority="2454">
      <formula>SEARCH("INTERROTTO",$M85)&gt;0</formula>
    </cfRule>
  </conditionalFormatting>
  <conditionalFormatting sqref="M84">
    <cfRule type="expression" dxfId="2720" priority="2443">
      <formula>SEARCH("IN CORSO",$M84)&gt;0</formula>
    </cfRule>
    <cfRule type="expression" dxfId="2719" priority="2444">
      <formula>SEARCH("CHIUSO",$M84)&gt;0</formula>
    </cfRule>
    <cfRule type="expression" dxfId="2718" priority="2445">
      <formula>SEARCH("EMESSO",$M84)&gt;0</formula>
    </cfRule>
    <cfRule type="expression" dxfId="2717" priority="2446">
      <formula>SEARCH("RICHIESTO",$M84)&gt;0</formula>
    </cfRule>
    <cfRule type="expression" dxfId="2716" priority="2447">
      <formula>SEARCH("DA CHIUDERE",$M84)&gt;0</formula>
    </cfRule>
    <cfRule type="expression" dxfId="2715" priority="2448">
      <formula>SEARCH("INTERROTTO",$M84)&gt;0</formula>
    </cfRule>
  </conditionalFormatting>
  <conditionalFormatting sqref="N84:S84">
    <cfRule type="expression" dxfId="2714" priority="2437">
      <formula>SEARCH("IN CORSO",$M84)&gt;0</formula>
    </cfRule>
    <cfRule type="expression" dxfId="2713" priority="2438">
      <formula>SEARCH("CHIUSO",$M84)&gt;0</formula>
    </cfRule>
    <cfRule type="expression" dxfId="2712" priority="2439">
      <formula>SEARCH("EMESSO",$M84)&gt;0</formula>
    </cfRule>
    <cfRule type="expression" dxfId="2711" priority="2440">
      <formula>SEARCH("RICHIESTO",$M84)&gt;0</formula>
    </cfRule>
    <cfRule type="expression" dxfId="2710" priority="2441">
      <formula>SEARCH("DA CHIUDERE",$M84)&gt;0</formula>
    </cfRule>
    <cfRule type="expression" dxfId="2709" priority="2442">
      <formula>SEARCH("INTERROTTO",$M84)&gt;0</formula>
    </cfRule>
  </conditionalFormatting>
  <conditionalFormatting sqref="G84">
    <cfRule type="expression" dxfId="2708" priority="2425">
      <formula>SEARCH("IN CORSO",$M84)&gt;0</formula>
    </cfRule>
    <cfRule type="expression" dxfId="2707" priority="2426">
      <formula>SEARCH("CHIUSO",$M84)&gt;0</formula>
    </cfRule>
    <cfRule type="expression" dxfId="2706" priority="2427">
      <formula>SEARCH("EMESSO",$M84)&gt;0</formula>
    </cfRule>
    <cfRule type="expression" dxfId="2705" priority="2428">
      <formula>SEARCH("RICHIESTO",$M84)&gt;0</formula>
    </cfRule>
    <cfRule type="expression" dxfId="2704" priority="2429">
      <formula>SEARCH("DA CHIUDERE",$M84)&gt;0</formula>
    </cfRule>
    <cfRule type="expression" dxfId="2703" priority="2430">
      <formula>SEARCH("INTERROTTO",$M84)&gt;0</formula>
    </cfRule>
  </conditionalFormatting>
  <conditionalFormatting sqref="E84">
    <cfRule type="expression" dxfId="2702" priority="2431">
      <formula>SEARCH("IN CORSO",$M84)&gt;0</formula>
    </cfRule>
    <cfRule type="expression" dxfId="2701" priority="2432">
      <formula>SEARCH("CHIUSO",$M84)&gt;0</formula>
    </cfRule>
    <cfRule type="expression" dxfId="2700" priority="2433">
      <formula>SEARCH("EMESSO",$M84)&gt;0</formula>
    </cfRule>
    <cfRule type="expression" dxfId="2699" priority="2434">
      <formula>SEARCH("RICHIESTO",$M84)&gt;0</formula>
    </cfRule>
    <cfRule type="expression" dxfId="2698" priority="2435">
      <formula>SEARCH("DA CHIUDERE",$M84)&gt;0</formula>
    </cfRule>
    <cfRule type="expression" dxfId="2697" priority="2436">
      <formula>SEARCH("INTERROTTO",$M84)&gt;0</formula>
    </cfRule>
  </conditionalFormatting>
  <conditionalFormatting sqref="F84">
    <cfRule type="expression" dxfId="2696" priority="2419">
      <formula>SEARCH("IN CORSO",$M84)&gt;0</formula>
    </cfRule>
    <cfRule type="expression" dxfId="2695" priority="2420">
      <formula>SEARCH("CHIUSO",$M84)&gt;0</formula>
    </cfRule>
    <cfRule type="expression" dxfId="2694" priority="2421">
      <formula>SEARCH("EMESSO",$M84)&gt;0</formula>
    </cfRule>
    <cfRule type="expression" dxfId="2693" priority="2422">
      <formula>SEARCH("RICHIESTO",$M84)&gt;0</formula>
    </cfRule>
    <cfRule type="expression" dxfId="2692" priority="2423">
      <formula>SEARCH("DA CHIUDERE",$M84)&gt;0</formula>
    </cfRule>
    <cfRule type="expression" dxfId="2691" priority="2424">
      <formula>SEARCH("INTERROTTO",$M84)&gt;0</formula>
    </cfRule>
  </conditionalFormatting>
  <conditionalFormatting sqref="M83">
    <cfRule type="expression" dxfId="2690" priority="2413">
      <formula>SEARCH("IN CORSO",$M83)&gt;0</formula>
    </cfRule>
    <cfRule type="expression" dxfId="2689" priority="2414">
      <formula>SEARCH("CHIUSO",$M83)&gt;0</formula>
    </cfRule>
    <cfRule type="expression" dxfId="2688" priority="2415">
      <formula>SEARCH("EMESSO",$M83)&gt;0</formula>
    </cfRule>
    <cfRule type="expression" dxfId="2687" priority="2416">
      <formula>SEARCH("RICHIESTO",$M83)&gt;0</formula>
    </cfRule>
    <cfRule type="expression" dxfId="2686" priority="2417">
      <formula>SEARCH("DA CHIUDERE",$M83)&gt;0</formula>
    </cfRule>
    <cfRule type="expression" dxfId="2685" priority="2418">
      <formula>SEARCH("INTERROTTO",$M83)&gt;0</formula>
    </cfRule>
  </conditionalFormatting>
  <conditionalFormatting sqref="N83:S83">
    <cfRule type="expression" dxfId="2684" priority="2407">
      <formula>SEARCH("IN CORSO",$M83)&gt;0</formula>
    </cfRule>
    <cfRule type="expression" dxfId="2683" priority="2408">
      <formula>SEARCH("CHIUSO",$M83)&gt;0</formula>
    </cfRule>
    <cfRule type="expression" dxfId="2682" priority="2409">
      <formula>SEARCH("EMESSO",$M83)&gt;0</formula>
    </cfRule>
    <cfRule type="expression" dxfId="2681" priority="2410">
      <formula>SEARCH("RICHIESTO",$M83)&gt;0</formula>
    </cfRule>
    <cfRule type="expression" dxfId="2680" priority="2411">
      <formula>SEARCH("DA CHIUDERE",$M83)&gt;0</formula>
    </cfRule>
    <cfRule type="expression" dxfId="2679" priority="2412">
      <formula>SEARCH("INTERROTTO",$M83)&gt;0</formula>
    </cfRule>
  </conditionalFormatting>
  <conditionalFormatting sqref="G83">
    <cfRule type="expression" dxfId="2678" priority="2395">
      <formula>SEARCH("IN CORSO",$M83)&gt;0</formula>
    </cfRule>
    <cfRule type="expression" dxfId="2677" priority="2396">
      <formula>SEARCH("CHIUSO",$M83)&gt;0</formula>
    </cfRule>
    <cfRule type="expression" dxfId="2676" priority="2397">
      <formula>SEARCH("EMESSO",$M83)&gt;0</formula>
    </cfRule>
    <cfRule type="expression" dxfId="2675" priority="2398">
      <formula>SEARCH("RICHIESTO",$M83)&gt;0</formula>
    </cfRule>
    <cfRule type="expression" dxfId="2674" priority="2399">
      <formula>SEARCH("DA CHIUDERE",$M83)&gt;0</formula>
    </cfRule>
    <cfRule type="expression" dxfId="2673" priority="2400">
      <formula>SEARCH("INTERROTTO",$M83)&gt;0</formula>
    </cfRule>
  </conditionalFormatting>
  <conditionalFormatting sqref="E83">
    <cfRule type="expression" dxfId="2672" priority="2401">
      <formula>SEARCH("IN CORSO",$M83)&gt;0</formula>
    </cfRule>
    <cfRule type="expression" dxfId="2671" priority="2402">
      <formula>SEARCH("CHIUSO",$M83)&gt;0</formula>
    </cfRule>
    <cfRule type="expression" dxfId="2670" priority="2403">
      <formula>SEARCH("EMESSO",$M83)&gt;0</formula>
    </cfRule>
    <cfRule type="expression" dxfId="2669" priority="2404">
      <formula>SEARCH("RICHIESTO",$M83)&gt;0</formula>
    </cfRule>
    <cfRule type="expression" dxfId="2668" priority="2405">
      <formula>SEARCH("DA CHIUDERE",$M83)&gt;0</formula>
    </cfRule>
    <cfRule type="expression" dxfId="2667" priority="2406">
      <formula>SEARCH("INTERROTTO",$M83)&gt;0</formula>
    </cfRule>
  </conditionalFormatting>
  <conditionalFormatting sqref="F83">
    <cfRule type="expression" dxfId="2666" priority="2389">
      <formula>SEARCH("IN CORSO",$M83)&gt;0</formula>
    </cfRule>
    <cfRule type="expression" dxfId="2665" priority="2390">
      <formula>SEARCH("CHIUSO",$M83)&gt;0</formula>
    </cfRule>
    <cfRule type="expression" dxfId="2664" priority="2391">
      <formula>SEARCH("EMESSO",$M83)&gt;0</formula>
    </cfRule>
    <cfRule type="expression" dxfId="2663" priority="2392">
      <formula>SEARCH("RICHIESTO",$M83)&gt;0</formula>
    </cfRule>
    <cfRule type="expression" dxfId="2662" priority="2393">
      <formula>SEARCH("DA CHIUDERE",$M83)&gt;0</formula>
    </cfRule>
    <cfRule type="expression" dxfId="2661" priority="2394">
      <formula>SEARCH("INTERROTTO",$M83)&gt;0</formula>
    </cfRule>
  </conditionalFormatting>
  <conditionalFormatting sqref="M82">
    <cfRule type="expression" dxfId="2660" priority="2383">
      <formula>SEARCH("IN CORSO",$M82)&gt;0</formula>
    </cfRule>
    <cfRule type="expression" dxfId="2659" priority="2384">
      <formula>SEARCH("CHIUSO",$M82)&gt;0</formula>
    </cfRule>
    <cfRule type="expression" dxfId="2658" priority="2385">
      <formula>SEARCH("EMESSO",$M82)&gt;0</formula>
    </cfRule>
    <cfRule type="expression" dxfId="2657" priority="2386">
      <formula>SEARCH("RICHIESTO",$M82)&gt;0</formula>
    </cfRule>
    <cfRule type="expression" dxfId="2656" priority="2387">
      <formula>SEARCH("DA CHIUDERE",$M82)&gt;0</formula>
    </cfRule>
    <cfRule type="expression" dxfId="2655" priority="2388">
      <formula>SEARCH("INTERROTTO",$M82)&gt;0</formula>
    </cfRule>
  </conditionalFormatting>
  <conditionalFormatting sqref="N82:S82">
    <cfRule type="expression" dxfId="2654" priority="2377">
      <formula>SEARCH("IN CORSO",$M82)&gt;0</formula>
    </cfRule>
    <cfRule type="expression" dxfId="2653" priority="2378">
      <formula>SEARCH("CHIUSO",$M82)&gt;0</formula>
    </cfRule>
    <cfRule type="expression" dxfId="2652" priority="2379">
      <formula>SEARCH("EMESSO",$M82)&gt;0</formula>
    </cfRule>
    <cfRule type="expression" dxfId="2651" priority="2380">
      <formula>SEARCH("RICHIESTO",$M82)&gt;0</formula>
    </cfRule>
    <cfRule type="expression" dxfId="2650" priority="2381">
      <formula>SEARCH("DA CHIUDERE",$M82)&gt;0</formula>
    </cfRule>
    <cfRule type="expression" dxfId="2649" priority="2382">
      <formula>SEARCH("INTERROTTO",$M82)&gt;0</formula>
    </cfRule>
  </conditionalFormatting>
  <conditionalFormatting sqref="G82">
    <cfRule type="expression" dxfId="2648" priority="2365">
      <formula>SEARCH("IN CORSO",$M82)&gt;0</formula>
    </cfRule>
    <cfRule type="expression" dxfId="2647" priority="2366">
      <formula>SEARCH("CHIUSO",$M82)&gt;0</formula>
    </cfRule>
    <cfRule type="expression" dxfId="2646" priority="2367">
      <formula>SEARCH("EMESSO",$M82)&gt;0</formula>
    </cfRule>
    <cfRule type="expression" dxfId="2645" priority="2368">
      <formula>SEARCH("RICHIESTO",$M82)&gt;0</formula>
    </cfRule>
    <cfRule type="expression" dxfId="2644" priority="2369">
      <formula>SEARCH("DA CHIUDERE",$M82)&gt;0</formula>
    </cfRule>
    <cfRule type="expression" dxfId="2643" priority="2370">
      <formula>SEARCH("INTERROTTO",$M82)&gt;0</formula>
    </cfRule>
  </conditionalFormatting>
  <conditionalFormatting sqref="E82">
    <cfRule type="expression" dxfId="2642" priority="2371">
      <formula>SEARCH("IN CORSO",$M82)&gt;0</formula>
    </cfRule>
    <cfRule type="expression" dxfId="2641" priority="2372">
      <formula>SEARCH("CHIUSO",$M82)&gt;0</formula>
    </cfRule>
    <cfRule type="expression" dxfId="2640" priority="2373">
      <formula>SEARCH("EMESSO",$M82)&gt;0</formula>
    </cfRule>
    <cfRule type="expression" dxfId="2639" priority="2374">
      <formula>SEARCH("RICHIESTO",$M82)&gt;0</formula>
    </cfRule>
    <cfRule type="expression" dxfId="2638" priority="2375">
      <formula>SEARCH("DA CHIUDERE",$M82)&gt;0</formula>
    </cfRule>
    <cfRule type="expression" dxfId="2637" priority="2376">
      <formula>SEARCH("INTERROTTO",$M82)&gt;0</formula>
    </cfRule>
  </conditionalFormatting>
  <conditionalFormatting sqref="F82">
    <cfRule type="expression" dxfId="2636" priority="2359">
      <formula>SEARCH("IN CORSO",$M82)&gt;0</formula>
    </cfRule>
    <cfRule type="expression" dxfId="2635" priority="2360">
      <formula>SEARCH("CHIUSO",$M82)&gt;0</formula>
    </cfRule>
    <cfRule type="expression" dxfId="2634" priority="2361">
      <formula>SEARCH("EMESSO",$M82)&gt;0</formula>
    </cfRule>
    <cfRule type="expression" dxfId="2633" priority="2362">
      <formula>SEARCH("RICHIESTO",$M82)&gt;0</formula>
    </cfRule>
    <cfRule type="expression" dxfId="2632" priority="2363">
      <formula>SEARCH("DA CHIUDERE",$M82)&gt;0</formula>
    </cfRule>
    <cfRule type="expression" dxfId="2631" priority="2364">
      <formula>SEARCH("INTERROTTO",$M82)&gt;0</formula>
    </cfRule>
  </conditionalFormatting>
  <conditionalFormatting sqref="M81">
    <cfRule type="expression" dxfId="2630" priority="2353">
      <formula>SEARCH("IN CORSO",$M81)&gt;0</formula>
    </cfRule>
    <cfRule type="expression" dxfId="2629" priority="2354">
      <formula>SEARCH("CHIUSO",$M81)&gt;0</formula>
    </cfRule>
    <cfRule type="expression" dxfId="2628" priority="2355">
      <formula>SEARCH("EMESSO",$M81)&gt;0</formula>
    </cfRule>
    <cfRule type="expression" dxfId="2627" priority="2356">
      <formula>SEARCH("RICHIESTO",$M81)&gt;0</formula>
    </cfRule>
    <cfRule type="expression" dxfId="2626" priority="2357">
      <formula>SEARCH("DA CHIUDERE",$M81)&gt;0</formula>
    </cfRule>
    <cfRule type="expression" dxfId="2625" priority="2358">
      <formula>SEARCH("INTERROTTO",$M81)&gt;0</formula>
    </cfRule>
  </conditionalFormatting>
  <conditionalFormatting sqref="N81:S81">
    <cfRule type="expression" dxfId="2624" priority="2347">
      <formula>SEARCH("IN CORSO",$M81)&gt;0</formula>
    </cfRule>
    <cfRule type="expression" dxfId="2623" priority="2348">
      <formula>SEARCH("CHIUSO",$M81)&gt;0</formula>
    </cfRule>
    <cfRule type="expression" dxfId="2622" priority="2349">
      <formula>SEARCH("EMESSO",$M81)&gt;0</formula>
    </cfRule>
    <cfRule type="expression" dxfId="2621" priority="2350">
      <formula>SEARCH("RICHIESTO",$M81)&gt;0</formula>
    </cfRule>
    <cfRule type="expression" dxfId="2620" priority="2351">
      <formula>SEARCH("DA CHIUDERE",$M81)&gt;0</formula>
    </cfRule>
    <cfRule type="expression" dxfId="2619" priority="2352">
      <formula>SEARCH("INTERROTTO",$M81)&gt;0</formula>
    </cfRule>
  </conditionalFormatting>
  <conditionalFormatting sqref="G81">
    <cfRule type="expression" dxfId="2618" priority="2335">
      <formula>SEARCH("IN CORSO",$M81)&gt;0</formula>
    </cfRule>
    <cfRule type="expression" dxfId="2617" priority="2336">
      <formula>SEARCH("CHIUSO",$M81)&gt;0</formula>
    </cfRule>
    <cfRule type="expression" dxfId="2616" priority="2337">
      <formula>SEARCH("EMESSO",$M81)&gt;0</formula>
    </cfRule>
    <cfRule type="expression" dxfId="2615" priority="2338">
      <formula>SEARCH("RICHIESTO",$M81)&gt;0</formula>
    </cfRule>
    <cfRule type="expression" dxfId="2614" priority="2339">
      <formula>SEARCH("DA CHIUDERE",$M81)&gt;0</formula>
    </cfRule>
    <cfRule type="expression" dxfId="2613" priority="2340">
      <formula>SEARCH("INTERROTTO",$M81)&gt;0</formula>
    </cfRule>
  </conditionalFormatting>
  <conditionalFormatting sqref="E81">
    <cfRule type="expression" dxfId="2612" priority="2341">
      <formula>SEARCH("IN CORSO",$M81)&gt;0</formula>
    </cfRule>
    <cfRule type="expression" dxfId="2611" priority="2342">
      <formula>SEARCH("CHIUSO",$M81)&gt;0</formula>
    </cfRule>
    <cfRule type="expression" dxfId="2610" priority="2343">
      <formula>SEARCH("EMESSO",$M81)&gt;0</formula>
    </cfRule>
    <cfRule type="expression" dxfId="2609" priority="2344">
      <formula>SEARCH("RICHIESTO",$M81)&gt;0</formula>
    </cfRule>
    <cfRule type="expression" dxfId="2608" priority="2345">
      <formula>SEARCH("DA CHIUDERE",$M81)&gt;0</formula>
    </cfRule>
    <cfRule type="expression" dxfId="2607" priority="2346">
      <formula>SEARCH("INTERROTTO",$M81)&gt;0</formula>
    </cfRule>
  </conditionalFormatting>
  <conditionalFormatting sqref="F81">
    <cfRule type="expression" dxfId="2606" priority="2329">
      <formula>SEARCH("IN CORSO",$M81)&gt;0</formula>
    </cfRule>
    <cfRule type="expression" dxfId="2605" priority="2330">
      <formula>SEARCH("CHIUSO",$M81)&gt;0</formula>
    </cfRule>
    <cfRule type="expression" dxfId="2604" priority="2331">
      <formula>SEARCH("EMESSO",$M81)&gt;0</formula>
    </cfRule>
    <cfRule type="expression" dxfId="2603" priority="2332">
      <formula>SEARCH("RICHIESTO",$M81)&gt;0</formula>
    </cfRule>
    <cfRule type="expression" dxfId="2602" priority="2333">
      <formula>SEARCH("DA CHIUDERE",$M81)&gt;0</formula>
    </cfRule>
    <cfRule type="expression" dxfId="2601" priority="2334">
      <formula>SEARCH("INTERROTTO",$M81)&gt;0</formula>
    </cfRule>
  </conditionalFormatting>
  <conditionalFormatting sqref="M80">
    <cfRule type="expression" dxfId="2600" priority="2323">
      <formula>SEARCH("IN CORSO",$M80)&gt;0</formula>
    </cfRule>
    <cfRule type="expression" dxfId="2599" priority="2324">
      <formula>SEARCH("CHIUSO",$M80)&gt;0</formula>
    </cfRule>
    <cfRule type="expression" dxfId="2598" priority="2325">
      <formula>SEARCH("EMESSO",$M80)&gt;0</formula>
    </cfRule>
    <cfRule type="expression" dxfId="2597" priority="2326">
      <formula>SEARCH("RICHIESTO",$M80)&gt;0</formula>
    </cfRule>
    <cfRule type="expression" dxfId="2596" priority="2327">
      <formula>SEARCH("DA CHIUDERE",$M80)&gt;0</formula>
    </cfRule>
    <cfRule type="expression" dxfId="2595" priority="2328">
      <formula>SEARCH("INTERROTTO",$M80)&gt;0</formula>
    </cfRule>
  </conditionalFormatting>
  <conditionalFormatting sqref="N80:S80">
    <cfRule type="expression" dxfId="2594" priority="2317">
      <formula>SEARCH("IN CORSO",$M80)&gt;0</formula>
    </cfRule>
    <cfRule type="expression" dxfId="2593" priority="2318">
      <formula>SEARCH("CHIUSO",$M80)&gt;0</formula>
    </cfRule>
    <cfRule type="expression" dxfId="2592" priority="2319">
      <formula>SEARCH("EMESSO",$M80)&gt;0</formula>
    </cfRule>
    <cfRule type="expression" dxfId="2591" priority="2320">
      <formula>SEARCH("RICHIESTO",$M80)&gt;0</formula>
    </cfRule>
    <cfRule type="expression" dxfId="2590" priority="2321">
      <formula>SEARCH("DA CHIUDERE",$M80)&gt;0</formula>
    </cfRule>
    <cfRule type="expression" dxfId="2589" priority="2322">
      <formula>SEARCH("INTERROTTO",$M80)&gt;0</formula>
    </cfRule>
  </conditionalFormatting>
  <conditionalFormatting sqref="G80">
    <cfRule type="expression" dxfId="2588" priority="2305">
      <formula>SEARCH("IN CORSO",$M80)&gt;0</formula>
    </cfRule>
    <cfRule type="expression" dxfId="2587" priority="2306">
      <formula>SEARCH("CHIUSO",$M80)&gt;0</formula>
    </cfRule>
    <cfRule type="expression" dxfId="2586" priority="2307">
      <formula>SEARCH("EMESSO",$M80)&gt;0</formula>
    </cfRule>
    <cfRule type="expression" dxfId="2585" priority="2308">
      <formula>SEARCH("RICHIESTO",$M80)&gt;0</formula>
    </cfRule>
    <cfRule type="expression" dxfId="2584" priority="2309">
      <formula>SEARCH("DA CHIUDERE",$M80)&gt;0</formula>
    </cfRule>
    <cfRule type="expression" dxfId="2583" priority="2310">
      <formula>SEARCH("INTERROTTO",$M80)&gt;0</formula>
    </cfRule>
  </conditionalFormatting>
  <conditionalFormatting sqref="E80">
    <cfRule type="expression" dxfId="2582" priority="2311">
      <formula>SEARCH("IN CORSO",$M80)&gt;0</formula>
    </cfRule>
    <cfRule type="expression" dxfId="2581" priority="2312">
      <formula>SEARCH("CHIUSO",$M80)&gt;0</formula>
    </cfRule>
    <cfRule type="expression" dxfId="2580" priority="2313">
      <formula>SEARCH("EMESSO",$M80)&gt;0</formula>
    </cfRule>
    <cfRule type="expression" dxfId="2579" priority="2314">
      <formula>SEARCH("RICHIESTO",$M80)&gt;0</formula>
    </cfRule>
    <cfRule type="expression" dxfId="2578" priority="2315">
      <formula>SEARCH("DA CHIUDERE",$M80)&gt;0</formula>
    </cfRule>
    <cfRule type="expression" dxfId="2577" priority="2316">
      <formula>SEARCH("INTERROTTO",$M80)&gt;0</formula>
    </cfRule>
  </conditionalFormatting>
  <conditionalFormatting sqref="F80">
    <cfRule type="expression" dxfId="2576" priority="2299">
      <formula>SEARCH("IN CORSO",$M80)&gt;0</formula>
    </cfRule>
    <cfRule type="expression" dxfId="2575" priority="2300">
      <formula>SEARCH("CHIUSO",$M80)&gt;0</formula>
    </cfRule>
    <cfRule type="expression" dxfId="2574" priority="2301">
      <formula>SEARCH("EMESSO",$M80)&gt;0</formula>
    </cfRule>
    <cfRule type="expression" dxfId="2573" priority="2302">
      <formula>SEARCH("RICHIESTO",$M80)&gt;0</formula>
    </cfRule>
    <cfRule type="expression" dxfId="2572" priority="2303">
      <formula>SEARCH("DA CHIUDERE",$M80)&gt;0</formula>
    </cfRule>
    <cfRule type="expression" dxfId="2571" priority="2304">
      <formula>SEARCH("INTERROTTO",$M80)&gt;0</formula>
    </cfRule>
  </conditionalFormatting>
  <conditionalFormatting sqref="M79">
    <cfRule type="expression" dxfId="2570" priority="2293">
      <formula>SEARCH("IN CORSO",$M79)&gt;0</formula>
    </cfRule>
    <cfRule type="expression" dxfId="2569" priority="2294">
      <formula>SEARCH("CHIUSO",$M79)&gt;0</formula>
    </cfRule>
    <cfRule type="expression" dxfId="2568" priority="2295">
      <formula>SEARCH("EMESSO",$M79)&gt;0</formula>
    </cfRule>
    <cfRule type="expression" dxfId="2567" priority="2296">
      <formula>SEARCH("RICHIESTO",$M79)&gt;0</formula>
    </cfRule>
    <cfRule type="expression" dxfId="2566" priority="2297">
      <formula>SEARCH("DA CHIUDERE",$M79)&gt;0</formula>
    </cfRule>
    <cfRule type="expression" dxfId="2565" priority="2298">
      <formula>SEARCH("INTERROTTO",$M79)&gt;0</formula>
    </cfRule>
  </conditionalFormatting>
  <conditionalFormatting sqref="N79:S79">
    <cfRule type="expression" dxfId="2564" priority="2287">
      <formula>SEARCH("IN CORSO",$M79)&gt;0</formula>
    </cfRule>
    <cfRule type="expression" dxfId="2563" priority="2288">
      <formula>SEARCH("CHIUSO",$M79)&gt;0</formula>
    </cfRule>
    <cfRule type="expression" dxfId="2562" priority="2289">
      <formula>SEARCH("EMESSO",$M79)&gt;0</formula>
    </cfRule>
    <cfRule type="expression" dxfId="2561" priority="2290">
      <formula>SEARCH("RICHIESTO",$M79)&gt;0</formula>
    </cfRule>
    <cfRule type="expression" dxfId="2560" priority="2291">
      <formula>SEARCH("DA CHIUDERE",$M79)&gt;0</formula>
    </cfRule>
    <cfRule type="expression" dxfId="2559" priority="2292">
      <formula>SEARCH("INTERROTTO",$M79)&gt;0</formula>
    </cfRule>
  </conditionalFormatting>
  <conditionalFormatting sqref="G79">
    <cfRule type="expression" dxfId="2558" priority="2275">
      <formula>SEARCH("IN CORSO",$M79)&gt;0</formula>
    </cfRule>
    <cfRule type="expression" dxfId="2557" priority="2276">
      <formula>SEARCH("CHIUSO",$M79)&gt;0</formula>
    </cfRule>
    <cfRule type="expression" dxfId="2556" priority="2277">
      <formula>SEARCH("EMESSO",$M79)&gt;0</formula>
    </cfRule>
    <cfRule type="expression" dxfId="2555" priority="2278">
      <formula>SEARCH("RICHIESTO",$M79)&gt;0</formula>
    </cfRule>
    <cfRule type="expression" dxfId="2554" priority="2279">
      <formula>SEARCH("DA CHIUDERE",$M79)&gt;0</formula>
    </cfRule>
    <cfRule type="expression" dxfId="2553" priority="2280">
      <formula>SEARCH("INTERROTTO",$M79)&gt;0</formula>
    </cfRule>
  </conditionalFormatting>
  <conditionalFormatting sqref="E79">
    <cfRule type="expression" dxfId="2552" priority="2281">
      <formula>SEARCH("IN CORSO",$M79)&gt;0</formula>
    </cfRule>
    <cfRule type="expression" dxfId="2551" priority="2282">
      <formula>SEARCH("CHIUSO",$M79)&gt;0</formula>
    </cfRule>
    <cfRule type="expression" dxfId="2550" priority="2283">
      <formula>SEARCH("EMESSO",$M79)&gt;0</formula>
    </cfRule>
    <cfRule type="expression" dxfId="2549" priority="2284">
      <formula>SEARCH("RICHIESTO",$M79)&gt;0</formula>
    </cfRule>
    <cfRule type="expression" dxfId="2548" priority="2285">
      <formula>SEARCH("DA CHIUDERE",$M79)&gt;0</formula>
    </cfRule>
    <cfRule type="expression" dxfId="2547" priority="2286">
      <formula>SEARCH("INTERROTTO",$M79)&gt;0</formula>
    </cfRule>
  </conditionalFormatting>
  <conditionalFormatting sqref="F79">
    <cfRule type="expression" dxfId="2546" priority="2269">
      <formula>SEARCH("IN CORSO",$M79)&gt;0</formula>
    </cfRule>
    <cfRule type="expression" dxfId="2545" priority="2270">
      <formula>SEARCH("CHIUSO",$M79)&gt;0</formula>
    </cfRule>
    <cfRule type="expression" dxfId="2544" priority="2271">
      <formula>SEARCH("EMESSO",$M79)&gt;0</formula>
    </cfRule>
    <cfRule type="expression" dxfId="2543" priority="2272">
      <formula>SEARCH("RICHIESTO",$M79)&gt;0</formula>
    </cfRule>
    <cfRule type="expression" dxfId="2542" priority="2273">
      <formula>SEARCH("DA CHIUDERE",$M79)&gt;0</formula>
    </cfRule>
    <cfRule type="expression" dxfId="2541" priority="2274">
      <formula>SEARCH("INTERROTTO",$M79)&gt;0</formula>
    </cfRule>
  </conditionalFormatting>
  <conditionalFormatting sqref="M78">
    <cfRule type="expression" dxfId="2540" priority="2263">
      <formula>SEARCH("IN CORSO",$M78)&gt;0</formula>
    </cfRule>
    <cfRule type="expression" dxfId="2539" priority="2264">
      <formula>SEARCH("CHIUSO",$M78)&gt;0</formula>
    </cfRule>
    <cfRule type="expression" dxfId="2538" priority="2265">
      <formula>SEARCH("EMESSO",$M78)&gt;0</formula>
    </cfRule>
    <cfRule type="expression" dxfId="2537" priority="2266">
      <formula>SEARCH("RICHIESTO",$M78)&gt;0</formula>
    </cfRule>
    <cfRule type="expression" dxfId="2536" priority="2267">
      <formula>SEARCH("DA CHIUDERE",$M78)&gt;0</formula>
    </cfRule>
    <cfRule type="expression" dxfId="2535" priority="2268">
      <formula>SEARCH("INTERROTTO",$M78)&gt;0</formula>
    </cfRule>
  </conditionalFormatting>
  <conditionalFormatting sqref="N78:S78">
    <cfRule type="expression" dxfId="2534" priority="2257">
      <formula>SEARCH("IN CORSO",$M78)&gt;0</formula>
    </cfRule>
    <cfRule type="expression" dxfId="2533" priority="2258">
      <formula>SEARCH("CHIUSO",$M78)&gt;0</formula>
    </cfRule>
    <cfRule type="expression" dxfId="2532" priority="2259">
      <formula>SEARCH("EMESSO",$M78)&gt;0</formula>
    </cfRule>
    <cfRule type="expression" dxfId="2531" priority="2260">
      <formula>SEARCH("RICHIESTO",$M78)&gt;0</formula>
    </cfRule>
    <cfRule type="expression" dxfId="2530" priority="2261">
      <formula>SEARCH("DA CHIUDERE",$M78)&gt;0</formula>
    </cfRule>
    <cfRule type="expression" dxfId="2529" priority="2262">
      <formula>SEARCH("INTERROTTO",$M78)&gt;0</formula>
    </cfRule>
  </conditionalFormatting>
  <conditionalFormatting sqref="G78">
    <cfRule type="expression" dxfId="2528" priority="2245">
      <formula>SEARCH("IN CORSO",$M78)&gt;0</formula>
    </cfRule>
    <cfRule type="expression" dxfId="2527" priority="2246">
      <formula>SEARCH("CHIUSO",$M78)&gt;0</formula>
    </cfRule>
    <cfRule type="expression" dxfId="2526" priority="2247">
      <formula>SEARCH("EMESSO",$M78)&gt;0</formula>
    </cfRule>
    <cfRule type="expression" dxfId="2525" priority="2248">
      <formula>SEARCH("RICHIESTO",$M78)&gt;0</formula>
    </cfRule>
    <cfRule type="expression" dxfId="2524" priority="2249">
      <formula>SEARCH("DA CHIUDERE",$M78)&gt;0</formula>
    </cfRule>
    <cfRule type="expression" dxfId="2523" priority="2250">
      <formula>SEARCH("INTERROTTO",$M78)&gt;0</formula>
    </cfRule>
  </conditionalFormatting>
  <conditionalFormatting sqref="E78">
    <cfRule type="expression" dxfId="2522" priority="2251">
      <formula>SEARCH("IN CORSO",$M78)&gt;0</formula>
    </cfRule>
    <cfRule type="expression" dxfId="2521" priority="2252">
      <formula>SEARCH("CHIUSO",$M78)&gt;0</formula>
    </cfRule>
    <cfRule type="expression" dxfId="2520" priority="2253">
      <formula>SEARCH("EMESSO",$M78)&gt;0</formula>
    </cfRule>
    <cfRule type="expression" dxfId="2519" priority="2254">
      <formula>SEARCH("RICHIESTO",$M78)&gt;0</formula>
    </cfRule>
    <cfRule type="expression" dxfId="2518" priority="2255">
      <formula>SEARCH("DA CHIUDERE",$M78)&gt;0</formula>
    </cfRule>
    <cfRule type="expression" dxfId="2517" priority="2256">
      <formula>SEARCH("INTERROTTO",$M78)&gt;0</formula>
    </cfRule>
  </conditionalFormatting>
  <conditionalFormatting sqref="F78">
    <cfRule type="expression" dxfId="2516" priority="2239">
      <formula>SEARCH("IN CORSO",$M78)&gt;0</formula>
    </cfRule>
    <cfRule type="expression" dxfId="2515" priority="2240">
      <formula>SEARCH("CHIUSO",$M78)&gt;0</formula>
    </cfRule>
    <cfRule type="expression" dxfId="2514" priority="2241">
      <formula>SEARCH("EMESSO",$M78)&gt;0</formula>
    </cfRule>
    <cfRule type="expression" dxfId="2513" priority="2242">
      <formula>SEARCH("RICHIESTO",$M78)&gt;0</formula>
    </cfRule>
    <cfRule type="expression" dxfId="2512" priority="2243">
      <formula>SEARCH("DA CHIUDERE",$M78)&gt;0</formula>
    </cfRule>
    <cfRule type="expression" dxfId="2511" priority="2244">
      <formula>SEARCH("INTERROTTO",$M78)&gt;0</formula>
    </cfRule>
  </conditionalFormatting>
  <conditionalFormatting sqref="M77">
    <cfRule type="expression" dxfId="2510" priority="2233">
      <formula>SEARCH("IN CORSO",$M77)&gt;0</formula>
    </cfRule>
    <cfRule type="expression" dxfId="2509" priority="2234">
      <formula>SEARCH("CHIUSO",$M77)&gt;0</formula>
    </cfRule>
    <cfRule type="expression" dxfId="2508" priority="2235">
      <formula>SEARCH("EMESSO",$M77)&gt;0</formula>
    </cfRule>
    <cfRule type="expression" dxfId="2507" priority="2236">
      <formula>SEARCH("RICHIESTO",$M77)&gt;0</formula>
    </cfRule>
    <cfRule type="expression" dxfId="2506" priority="2237">
      <formula>SEARCH("DA CHIUDERE",$M77)&gt;0</formula>
    </cfRule>
    <cfRule type="expression" dxfId="2505" priority="2238">
      <formula>SEARCH("INTERROTTO",$M77)&gt;0</formula>
    </cfRule>
  </conditionalFormatting>
  <conditionalFormatting sqref="N77:S77">
    <cfRule type="expression" dxfId="2504" priority="2227">
      <formula>SEARCH("IN CORSO",$M77)&gt;0</formula>
    </cfRule>
    <cfRule type="expression" dxfId="2503" priority="2228">
      <formula>SEARCH("CHIUSO",$M77)&gt;0</formula>
    </cfRule>
    <cfRule type="expression" dxfId="2502" priority="2229">
      <formula>SEARCH("EMESSO",$M77)&gt;0</formula>
    </cfRule>
    <cfRule type="expression" dxfId="2501" priority="2230">
      <formula>SEARCH("RICHIESTO",$M77)&gt;0</formula>
    </cfRule>
    <cfRule type="expression" dxfId="2500" priority="2231">
      <formula>SEARCH("DA CHIUDERE",$M77)&gt;0</formula>
    </cfRule>
    <cfRule type="expression" dxfId="2499" priority="2232">
      <formula>SEARCH("INTERROTTO",$M77)&gt;0</formula>
    </cfRule>
  </conditionalFormatting>
  <conditionalFormatting sqref="G77">
    <cfRule type="expression" dxfId="2498" priority="2215">
      <formula>SEARCH("IN CORSO",$M77)&gt;0</formula>
    </cfRule>
    <cfRule type="expression" dxfId="2497" priority="2216">
      <formula>SEARCH("CHIUSO",$M77)&gt;0</formula>
    </cfRule>
    <cfRule type="expression" dxfId="2496" priority="2217">
      <formula>SEARCH("EMESSO",$M77)&gt;0</formula>
    </cfRule>
    <cfRule type="expression" dxfId="2495" priority="2218">
      <formula>SEARCH("RICHIESTO",$M77)&gt;0</formula>
    </cfRule>
    <cfRule type="expression" dxfId="2494" priority="2219">
      <formula>SEARCH("DA CHIUDERE",$M77)&gt;0</formula>
    </cfRule>
    <cfRule type="expression" dxfId="2493" priority="2220">
      <formula>SEARCH("INTERROTTO",$M77)&gt;0</formula>
    </cfRule>
  </conditionalFormatting>
  <conditionalFormatting sqref="E77">
    <cfRule type="expression" dxfId="2492" priority="2221">
      <formula>SEARCH("IN CORSO",$M77)&gt;0</formula>
    </cfRule>
    <cfRule type="expression" dxfId="2491" priority="2222">
      <formula>SEARCH("CHIUSO",$M77)&gt;0</formula>
    </cfRule>
    <cfRule type="expression" dxfId="2490" priority="2223">
      <formula>SEARCH("EMESSO",$M77)&gt;0</formula>
    </cfRule>
    <cfRule type="expression" dxfId="2489" priority="2224">
      <formula>SEARCH("RICHIESTO",$M77)&gt;0</formula>
    </cfRule>
    <cfRule type="expression" dxfId="2488" priority="2225">
      <formula>SEARCH("DA CHIUDERE",$M77)&gt;0</formula>
    </cfRule>
    <cfRule type="expression" dxfId="2487" priority="2226">
      <formula>SEARCH("INTERROTTO",$M77)&gt;0</formula>
    </cfRule>
  </conditionalFormatting>
  <conditionalFormatting sqref="F77">
    <cfRule type="expression" dxfId="2486" priority="2209">
      <formula>SEARCH("IN CORSO",$M77)&gt;0</formula>
    </cfRule>
    <cfRule type="expression" dxfId="2485" priority="2210">
      <formula>SEARCH("CHIUSO",$M77)&gt;0</formula>
    </cfRule>
    <cfRule type="expression" dxfId="2484" priority="2211">
      <formula>SEARCH("EMESSO",$M77)&gt;0</formula>
    </cfRule>
    <cfRule type="expression" dxfId="2483" priority="2212">
      <formula>SEARCH("RICHIESTO",$M77)&gt;0</formula>
    </cfRule>
    <cfRule type="expression" dxfId="2482" priority="2213">
      <formula>SEARCH("DA CHIUDERE",$M77)&gt;0</formula>
    </cfRule>
    <cfRule type="expression" dxfId="2481" priority="2214">
      <formula>SEARCH("INTERROTTO",$M77)&gt;0</formula>
    </cfRule>
  </conditionalFormatting>
  <conditionalFormatting sqref="M76">
    <cfRule type="expression" dxfId="2480" priority="2203">
      <formula>SEARCH("IN CORSO",$M76)&gt;0</formula>
    </cfRule>
    <cfRule type="expression" dxfId="2479" priority="2204">
      <formula>SEARCH("CHIUSO",$M76)&gt;0</formula>
    </cfRule>
    <cfRule type="expression" dxfId="2478" priority="2205">
      <formula>SEARCH("EMESSO",$M76)&gt;0</formula>
    </cfRule>
    <cfRule type="expression" dxfId="2477" priority="2206">
      <formula>SEARCH("RICHIESTO",$M76)&gt;0</formula>
    </cfRule>
    <cfRule type="expression" dxfId="2476" priority="2207">
      <formula>SEARCH("DA CHIUDERE",$M76)&gt;0</formula>
    </cfRule>
    <cfRule type="expression" dxfId="2475" priority="2208">
      <formula>SEARCH("INTERROTTO",$M76)&gt;0</formula>
    </cfRule>
  </conditionalFormatting>
  <conditionalFormatting sqref="N76:S76">
    <cfRule type="expression" dxfId="2474" priority="2197">
      <formula>SEARCH("IN CORSO",$M76)&gt;0</formula>
    </cfRule>
    <cfRule type="expression" dxfId="2473" priority="2198">
      <formula>SEARCH("CHIUSO",$M76)&gt;0</formula>
    </cfRule>
    <cfRule type="expression" dxfId="2472" priority="2199">
      <formula>SEARCH("EMESSO",$M76)&gt;0</formula>
    </cfRule>
    <cfRule type="expression" dxfId="2471" priority="2200">
      <formula>SEARCH("RICHIESTO",$M76)&gt;0</formula>
    </cfRule>
    <cfRule type="expression" dxfId="2470" priority="2201">
      <formula>SEARCH("DA CHIUDERE",$M76)&gt;0</formula>
    </cfRule>
    <cfRule type="expression" dxfId="2469" priority="2202">
      <formula>SEARCH("INTERROTTO",$M76)&gt;0</formula>
    </cfRule>
  </conditionalFormatting>
  <conditionalFormatting sqref="G76">
    <cfRule type="expression" dxfId="2468" priority="2185">
      <formula>SEARCH("IN CORSO",$M76)&gt;0</formula>
    </cfRule>
    <cfRule type="expression" dxfId="2467" priority="2186">
      <formula>SEARCH("CHIUSO",$M76)&gt;0</formula>
    </cfRule>
    <cfRule type="expression" dxfId="2466" priority="2187">
      <formula>SEARCH("EMESSO",$M76)&gt;0</formula>
    </cfRule>
    <cfRule type="expression" dxfId="2465" priority="2188">
      <formula>SEARCH("RICHIESTO",$M76)&gt;0</formula>
    </cfRule>
    <cfRule type="expression" dxfId="2464" priority="2189">
      <formula>SEARCH("DA CHIUDERE",$M76)&gt;0</formula>
    </cfRule>
    <cfRule type="expression" dxfId="2463" priority="2190">
      <formula>SEARCH("INTERROTTO",$M76)&gt;0</formula>
    </cfRule>
  </conditionalFormatting>
  <conditionalFormatting sqref="E76">
    <cfRule type="expression" dxfId="2462" priority="2191">
      <formula>SEARCH("IN CORSO",$M76)&gt;0</formula>
    </cfRule>
    <cfRule type="expression" dxfId="2461" priority="2192">
      <formula>SEARCH("CHIUSO",$M76)&gt;0</formula>
    </cfRule>
    <cfRule type="expression" dxfId="2460" priority="2193">
      <formula>SEARCH("EMESSO",$M76)&gt;0</formula>
    </cfRule>
    <cfRule type="expression" dxfId="2459" priority="2194">
      <formula>SEARCH("RICHIESTO",$M76)&gt;0</formula>
    </cfRule>
    <cfRule type="expression" dxfId="2458" priority="2195">
      <formula>SEARCH("DA CHIUDERE",$M76)&gt;0</formula>
    </cfRule>
    <cfRule type="expression" dxfId="2457" priority="2196">
      <formula>SEARCH("INTERROTTO",$M76)&gt;0</formula>
    </cfRule>
  </conditionalFormatting>
  <conditionalFormatting sqref="F76">
    <cfRule type="expression" dxfId="2456" priority="2179">
      <formula>SEARCH("IN CORSO",$M76)&gt;0</formula>
    </cfRule>
    <cfRule type="expression" dxfId="2455" priority="2180">
      <formula>SEARCH("CHIUSO",$M76)&gt;0</formula>
    </cfRule>
    <cfRule type="expression" dxfId="2454" priority="2181">
      <formula>SEARCH("EMESSO",$M76)&gt;0</formula>
    </cfRule>
    <cfRule type="expression" dxfId="2453" priority="2182">
      <formula>SEARCH("RICHIESTO",$M76)&gt;0</formula>
    </cfRule>
    <cfRule type="expression" dxfId="2452" priority="2183">
      <formula>SEARCH("DA CHIUDERE",$M76)&gt;0</formula>
    </cfRule>
    <cfRule type="expression" dxfId="2451" priority="2184">
      <formula>SEARCH("INTERROTTO",$M76)&gt;0</formula>
    </cfRule>
  </conditionalFormatting>
  <conditionalFormatting sqref="M75">
    <cfRule type="expression" dxfId="2450" priority="2173">
      <formula>SEARCH("IN CORSO",$M75)&gt;0</formula>
    </cfRule>
    <cfRule type="expression" dxfId="2449" priority="2174">
      <formula>SEARCH("CHIUSO",$M75)&gt;0</formula>
    </cfRule>
    <cfRule type="expression" dxfId="2448" priority="2175">
      <formula>SEARCH("EMESSO",$M75)&gt;0</formula>
    </cfRule>
    <cfRule type="expression" dxfId="2447" priority="2176">
      <formula>SEARCH("RICHIESTO",$M75)&gt;0</formula>
    </cfRule>
    <cfRule type="expression" dxfId="2446" priority="2177">
      <formula>SEARCH("DA CHIUDERE",$M75)&gt;0</formula>
    </cfRule>
    <cfRule type="expression" dxfId="2445" priority="2178">
      <formula>SEARCH("INTERROTTO",$M75)&gt;0</formula>
    </cfRule>
  </conditionalFormatting>
  <conditionalFormatting sqref="N75:S75">
    <cfRule type="expression" dxfId="2444" priority="2167">
      <formula>SEARCH("IN CORSO",$M75)&gt;0</formula>
    </cfRule>
    <cfRule type="expression" dxfId="2443" priority="2168">
      <formula>SEARCH("CHIUSO",$M75)&gt;0</formula>
    </cfRule>
    <cfRule type="expression" dxfId="2442" priority="2169">
      <formula>SEARCH("EMESSO",$M75)&gt;0</formula>
    </cfRule>
    <cfRule type="expression" dxfId="2441" priority="2170">
      <formula>SEARCH("RICHIESTO",$M75)&gt;0</formula>
    </cfRule>
    <cfRule type="expression" dxfId="2440" priority="2171">
      <formula>SEARCH("DA CHIUDERE",$M75)&gt;0</formula>
    </cfRule>
    <cfRule type="expression" dxfId="2439" priority="2172">
      <formula>SEARCH("INTERROTTO",$M75)&gt;0</formula>
    </cfRule>
  </conditionalFormatting>
  <conditionalFormatting sqref="G75">
    <cfRule type="expression" dxfId="2438" priority="2155">
      <formula>SEARCH("IN CORSO",$M75)&gt;0</formula>
    </cfRule>
    <cfRule type="expression" dxfId="2437" priority="2156">
      <formula>SEARCH("CHIUSO",$M75)&gt;0</formula>
    </cfRule>
    <cfRule type="expression" dxfId="2436" priority="2157">
      <formula>SEARCH("EMESSO",$M75)&gt;0</formula>
    </cfRule>
    <cfRule type="expression" dxfId="2435" priority="2158">
      <formula>SEARCH("RICHIESTO",$M75)&gt;0</formula>
    </cfRule>
    <cfRule type="expression" dxfId="2434" priority="2159">
      <formula>SEARCH("DA CHIUDERE",$M75)&gt;0</formula>
    </cfRule>
    <cfRule type="expression" dxfId="2433" priority="2160">
      <formula>SEARCH("INTERROTTO",$M75)&gt;0</formula>
    </cfRule>
  </conditionalFormatting>
  <conditionalFormatting sqref="E75">
    <cfRule type="expression" dxfId="2432" priority="2161">
      <formula>SEARCH("IN CORSO",$M75)&gt;0</formula>
    </cfRule>
    <cfRule type="expression" dxfId="2431" priority="2162">
      <formula>SEARCH("CHIUSO",$M75)&gt;0</formula>
    </cfRule>
    <cfRule type="expression" dxfId="2430" priority="2163">
      <formula>SEARCH("EMESSO",$M75)&gt;0</formula>
    </cfRule>
    <cfRule type="expression" dxfId="2429" priority="2164">
      <formula>SEARCH("RICHIESTO",$M75)&gt;0</formula>
    </cfRule>
    <cfRule type="expression" dxfId="2428" priority="2165">
      <formula>SEARCH("DA CHIUDERE",$M75)&gt;0</formula>
    </cfRule>
    <cfRule type="expression" dxfId="2427" priority="2166">
      <formula>SEARCH("INTERROTTO",$M75)&gt;0</formula>
    </cfRule>
  </conditionalFormatting>
  <conditionalFormatting sqref="F75">
    <cfRule type="expression" dxfId="2426" priority="2149">
      <formula>SEARCH("IN CORSO",$M75)&gt;0</formula>
    </cfRule>
    <cfRule type="expression" dxfId="2425" priority="2150">
      <formula>SEARCH("CHIUSO",$M75)&gt;0</formula>
    </cfRule>
    <cfRule type="expression" dxfId="2424" priority="2151">
      <formula>SEARCH("EMESSO",$M75)&gt;0</formula>
    </cfRule>
    <cfRule type="expression" dxfId="2423" priority="2152">
      <formula>SEARCH("RICHIESTO",$M75)&gt;0</formula>
    </cfRule>
    <cfRule type="expression" dxfId="2422" priority="2153">
      <formula>SEARCH("DA CHIUDERE",$M75)&gt;0</formula>
    </cfRule>
    <cfRule type="expression" dxfId="2421" priority="2154">
      <formula>SEARCH("INTERROTTO",$M75)&gt;0</formula>
    </cfRule>
  </conditionalFormatting>
  <conditionalFormatting sqref="M74">
    <cfRule type="expression" dxfId="2420" priority="2143">
      <formula>SEARCH("IN CORSO",$M74)&gt;0</formula>
    </cfRule>
    <cfRule type="expression" dxfId="2419" priority="2144">
      <formula>SEARCH("CHIUSO",$M74)&gt;0</formula>
    </cfRule>
    <cfRule type="expression" dxfId="2418" priority="2145">
      <formula>SEARCH("EMESSO",$M74)&gt;0</formula>
    </cfRule>
    <cfRule type="expression" dxfId="2417" priority="2146">
      <formula>SEARCH("RICHIESTO",$M74)&gt;0</formula>
    </cfRule>
    <cfRule type="expression" dxfId="2416" priority="2147">
      <formula>SEARCH("DA CHIUDERE",$M74)&gt;0</formula>
    </cfRule>
    <cfRule type="expression" dxfId="2415" priority="2148">
      <formula>SEARCH("INTERROTTO",$M74)&gt;0</formula>
    </cfRule>
  </conditionalFormatting>
  <conditionalFormatting sqref="N74:S74">
    <cfRule type="expression" dxfId="2414" priority="2137">
      <formula>SEARCH("IN CORSO",$M74)&gt;0</formula>
    </cfRule>
    <cfRule type="expression" dxfId="2413" priority="2138">
      <formula>SEARCH("CHIUSO",$M74)&gt;0</formula>
    </cfRule>
    <cfRule type="expression" dxfId="2412" priority="2139">
      <formula>SEARCH("EMESSO",$M74)&gt;0</formula>
    </cfRule>
    <cfRule type="expression" dxfId="2411" priority="2140">
      <formula>SEARCH("RICHIESTO",$M74)&gt;0</formula>
    </cfRule>
    <cfRule type="expression" dxfId="2410" priority="2141">
      <formula>SEARCH("DA CHIUDERE",$M74)&gt;0</formula>
    </cfRule>
    <cfRule type="expression" dxfId="2409" priority="2142">
      <formula>SEARCH("INTERROTTO",$M74)&gt;0</formula>
    </cfRule>
  </conditionalFormatting>
  <conditionalFormatting sqref="G74">
    <cfRule type="expression" dxfId="2408" priority="2125">
      <formula>SEARCH("IN CORSO",$M74)&gt;0</formula>
    </cfRule>
    <cfRule type="expression" dxfId="2407" priority="2126">
      <formula>SEARCH("CHIUSO",$M74)&gt;0</formula>
    </cfRule>
    <cfRule type="expression" dxfId="2406" priority="2127">
      <formula>SEARCH("EMESSO",$M74)&gt;0</formula>
    </cfRule>
    <cfRule type="expression" dxfId="2405" priority="2128">
      <formula>SEARCH("RICHIESTO",$M74)&gt;0</formula>
    </cfRule>
    <cfRule type="expression" dxfId="2404" priority="2129">
      <formula>SEARCH("DA CHIUDERE",$M74)&gt;0</formula>
    </cfRule>
    <cfRule type="expression" dxfId="2403" priority="2130">
      <formula>SEARCH("INTERROTTO",$M74)&gt;0</formula>
    </cfRule>
  </conditionalFormatting>
  <conditionalFormatting sqref="E74">
    <cfRule type="expression" dxfId="2402" priority="2131">
      <formula>SEARCH("IN CORSO",$M74)&gt;0</formula>
    </cfRule>
    <cfRule type="expression" dxfId="2401" priority="2132">
      <formula>SEARCH("CHIUSO",$M74)&gt;0</formula>
    </cfRule>
    <cfRule type="expression" dxfId="2400" priority="2133">
      <formula>SEARCH("EMESSO",$M74)&gt;0</formula>
    </cfRule>
    <cfRule type="expression" dxfId="2399" priority="2134">
      <formula>SEARCH("RICHIESTO",$M74)&gt;0</formula>
    </cfRule>
    <cfRule type="expression" dxfId="2398" priority="2135">
      <formula>SEARCH("DA CHIUDERE",$M74)&gt;0</formula>
    </cfRule>
    <cfRule type="expression" dxfId="2397" priority="2136">
      <formula>SEARCH("INTERROTTO",$M74)&gt;0</formula>
    </cfRule>
  </conditionalFormatting>
  <conditionalFormatting sqref="F74">
    <cfRule type="expression" dxfId="2396" priority="2119">
      <formula>SEARCH("IN CORSO",$M74)&gt;0</formula>
    </cfRule>
    <cfRule type="expression" dxfId="2395" priority="2120">
      <formula>SEARCH("CHIUSO",$M74)&gt;0</formula>
    </cfRule>
    <cfRule type="expression" dxfId="2394" priority="2121">
      <formula>SEARCH("EMESSO",$M74)&gt;0</formula>
    </cfRule>
    <cfRule type="expression" dxfId="2393" priority="2122">
      <formula>SEARCH("RICHIESTO",$M74)&gt;0</formula>
    </cfRule>
    <cfRule type="expression" dxfId="2392" priority="2123">
      <formula>SEARCH("DA CHIUDERE",$M74)&gt;0</formula>
    </cfRule>
    <cfRule type="expression" dxfId="2391" priority="2124">
      <formula>SEARCH("INTERROTTO",$M74)&gt;0</formula>
    </cfRule>
  </conditionalFormatting>
  <conditionalFormatting sqref="M73">
    <cfRule type="expression" dxfId="2390" priority="2113">
      <formula>SEARCH("IN CORSO",$M73)&gt;0</formula>
    </cfRule>
    <cfRule type="expression" dxfId="2389" priority="2114">
      <formula>SEARCH("CHIUSO",$M73)&gt;0</formula>
    </cfRule>
    <cfRule type="expression" dxfId="2388" priority="2115">
      <formula>SEARCH("EMESSO",$M73)&gt;0</formula>
    </cfRule>
    <cfRule type="expression" dxfId="2387" priority="2116">
      <formula>SEARCH("RICHIESTO",$M73)&gt;0</formula>
    </cfRule>
    <cfRule type="expression" dxfId="2386" priority="2117">
      <formula>SEARCH("DA CHIUDERE",$M73)&gt;0</formula>
    </cfRule>
    <cfRule type="expression" dxfId="2385" priority="2118">
      <formula>SEARCH("INTERROTTO",$M73)&gt;0</formula>
    </cfRule>
  </conditionalFormatting>
  <conditionalFormatting sqref="N73:S73">
    <cfRule type="expression" dxfId="2384" priority="2107">
      <formula>SEARCH("IN CORSO",$M73)&gt;0</formula>
    </cfRule>
    <cfRule type="expression" dxfId="2383" priority="2108">
      <formula>SEARCH("CHIUSO",$M73)&gt;0</formula>
    </cfRule>
    <cfRule type="expression" dxfId="2382" priority="2109">
      <formula>SEARCH("EMESSO",$M73)&gt;0</formula>
    </cfRule>
    <cfRule type="expression" dxfId="2381" priority="2110">
      <formula>SEARCH("RICHIESTO",$M73)&gt;0</formula>
    </cfRule>
    <cfRule type="expression" dxfId="2380" priority="2111">
      <formula>SEARCH("DA CHIUDERE",$M73)&gt;0</formula>
    </cfRule>
    <cfRule type="expression" dxfId="2379" priority="2112">
      <formula>SEARCH("INTERROTTO",$M73)&gt;0</formula>
    </cfRule>
  </conditionalFormatting>
  <conditionalFormatting sqref="G73">
    <cfRule type="expression" dxfId="2378" priority="2095">
      <formula>SEARCH("IN CORSO",$M73)&gt;0</formula>
    </cfRule>
    <cfRule type="expression" dxfId="2377" priority="2096">
      <formula>SEARCH("CHIUSO",$M73)&gt;0</formula>
    </cfRule>
    <cfRule type="expression" dxfId="2376" priority="2097">
      <formula>SEARCH("EMESSO",$M73)&gt;0</formula>
    </cfRule>
    <cfRule type="expression" dxfId="2375" priority="2098">
      <formula>SEARCH("RICHIESTO",$M73)&gt;0</formula>
    </cfRule>
    <cfRule type="expression" dxfId="2374" priority="2099">
      <formula>SEARCH("DA CHIUDERE",$M73)&gt;0</formula>
    </cfRule>
    <cfRule type="expression" dxfId="2373" priority="2100">
      <formula>SEARCH("INTERROTTO",$M73)&gt;0</formula>
    </cfRule>
  </conditionalFormatting>
  <conditionalFormatting sqref="E73">
    <cfRule type="expression" dxfId="2372" priority="2101">
      <formula>SEARCH("IN CORSO",$M73)&gt;0</formula>
    </cfRule>
    <cfRule type="expression" dxfId="2371" priority="2102">
      <formula>SEARCH("CHIUSO",$M73)&gt;0</formula>
    </cfRule>
    <cfRule type="expression" dxfId="2370" priority="2103">
      <formula>SEARCH("EMESSO",$M73)&gt;0</formula>
    </cfRule>
    <cfRule type="expression" dxfId="2369" priority="2104">
      <formula>SEARCH("RICHIESTO",$M73)&gt;0</formula>
    </cfRule>
    <cfRule type="expression" dxfId="2368" priority="2105">
      <formula>SEARCH("DA CHIUDERE",$M73)&gt;0</formula>
    </cfRule>
    <cfRule type="expression" dxfId="2367" priority="2106">
      <formula>SEARCH("INTERROTTO",$M73)&gt;0</formula>
    </cfRule>
  </conditionalFormatting>
  <conditionalFormatting sqref="F73">
    <cfRule type="expression" dxfId="2366" priority="2089">
      <formula>SEARCH("IN CORSO",$M73)&gt;0</formula>
    </cfRule>
    <cfRule type="expression" dxfId="2365" priority="2090">
      <formula>SEARCH("CHIUSO",$M73)&gt;0</formula>
    </cfRule>
    <cfRule type="expression" dxfId="2364" priority="2091">
      <formula>SEARCH("EMESSO",$M73)&gt;0</formula>
    </cfRule>
    <cfRule type="expression" dxfId="2363" priority="2092">
      <formula>SEARCH("RICHIESTO",$M73)&gt;0</formula>
    </cfRule>
    <cfRule type="expression" dxfId="2362" priority="2093">
      <formula>SEARCH("DA CHIUDERE",$M73)&gt;0</formula>
    </cfRule>
    <cfRule type="expression" dxfId="2361" priority="2094">
      <formula>SEARCH("INTERROTTO",$M73)&gt;0</formula>
    </cfRule>
  </conditionalFormatting>
  <conditionalFormatting sqref="M72">
    <cfRule type="expression" dxfId="2360" priority="2083">
      <formula>SEARCH("IN CORSO",$M72)&gt;0</formula>
    </cfRule>
    <cfRule type="expression" dxfId="2359" priority="2084">
      <formula>SEARCH("CHIUSO",$M72)&gt;0</formula>
    </cfRule>
    <cfRule type="expression" dxfId="2358" priority="2085">
      <formula>SEARCH("EMESSO",$M72)&gt;0</formula>
    </cfRule>
    <cfRule type="expression" dxfId="2357" priority="2086">
      <formula>SEARCH("RICHIESTO",$M72)&gt;0</formula>
    </cfRule>
    <cfRule type="expression" dxfId="2356" priority="2087">
      <formula>SEARCH("DA CHIUDERE",$M72)&gt;0</formula>
    </cfRule>
    <cfRule type="expression" dxfId="2355" priority="2088">
      <formula>SEARCH("INTERROTTO",$M72)&gt;0</formula>
    </cfRule>
  </conditionalFormatting>
  <conditionalFormatting sqref="N72:S72">
    <cfRule type="expression" dxfId="2354" priority="2077">
      <formula>SEARCH("IN CORSO",$M72)&gt;0</formula>
    </cfRule>
    <cfRule type="expression" dxfId="2353" priority="2078">
      <formula>SEARCH("CHIUSO",$M72)&gt;0</formula>
    </cfRule>
    <cfRule type="expression" dxfId="2352" priority="2079">
      <formula>SEARCH("EMESSO",$M72)&gt;0</formula>
    </cfRule>
    <cfRule type="expression" dxfId="2351" priority="2080">
      <formula>SEARCH("RICHIESTO",$M72)&gt;0</formula>
    </cfRule>
    <cfRule type="expression" dxfId="2350" priority="2081">
      <formula>SEARCH("DA CHIUDERE",$M72)&gt;0</formula>
    </cfRule>
    <cfRule type="expression" dxfId="2349" priority="2082">
      <formula>SEARCH("INTERROTTO",$M72)&gt;0</formula>
    </cfRule>
  </conditionalFormatting>
  <conditionalFormatting sqref="G72">
    <cfRule type="expression" dxfId="2348" priority="2065">
      <formula>SEARCH("IN CORSO",$M72)&gt;0</formula>
    </cfRule>
    <cfRule type="expression" dxfId="2347" priority="2066">
      <formula>SEARCH("CHIUSO",$M72)&gt;0</formula>
    </cfRule>
    <cfRule type="expression" dxfId="2346" priority="2067">
      <formula>SEARCH("EMESSO",$M72)&gt;0</formula>
    </cfRule>
    <cfRule type="expression" dxfId="2345" priority="2068">
      <formula>SEARCH("RICHIESTO",$M72)&gt;0</formula>
    </cfRule>
    <cfRule type="expression" dxfId="2344" priority="2069">
      <formula>SEARCH("DA CHIUDERE",$M72)&gt;0</formula>
    </cfRule>
    <cfRule type="expression" dxfId="2343" priority="2070">
      <formula>SEARCH("INTERROTTO",$M72)&gt;0</formula>
    </cfRule>
  </conditionalFormatting>
  <conditionalFormatting sqref="E72">
    <cfRule type="expression" dxfId="2342" priority="2071">
      <formula>SEARCH("IN CORSO",$M72)&gt;0</formula>
    </cfRule>
    <cfRule type="expression" dxfId="2341" priority="2072">
      <formula>SEARCH("CHIUSO",$M72)&gt;0</formula>
    </cfRule>
    <cfRule type="expression" dxfId="2340" priority="2073">
      <formula>SEARCH("EMESSO",$M72)&gt;0</formula>
    </cfRule>
    <cfRule type="expression" dxfId="2339" priority="2074">
      <formula>SEARCH("RICHIESTO",$M72)&gt;0</formula>
    </cfRule>
    <cfRule type="expression" dxfId="2338" priority="2075">
      <formula>SEARCH("DA CHIUDERE",$M72)&gt;0</formula>
    </cfRule>
    <cfRule type="expression" dxfId="2337" priority="2076">
      <formula>SEARCH("INTERROTTO",$M72)&gt;0</formula>
    </cfRule>
  </conditionalFormatting>
  <conditionalFormatting sqref="F72">
    <cfRule type="expression" dxfId="2336" priority="2059">
      <formula>SEARCH("IN CORSO",$M72)&gt;0</formula>
    </cfRule>
    <cfRule type="expression" dxfId="2335" priority="2060">
      <formula>SEARCH("CHIUSO",$M72)&gt;0</formula>
    </cfRule>
    <cfRule type="expression" dxfId="2334" priority="2061">
      <formula>SEARCH("EMESSO",$M72)&gt;0</formula>
    </cfRule>
    <cfRule type="expression" dxfId="2333" priority="2062">
      <formula>SEARCH("RICHIESTO",$M72)&gt;0</formula>
    </cfRule>
    <cfRule type="expression" dxfId="2332" priority="2063">
      <formula>SEARCH("DA CHIUDERE",$M72)&gt;0</formula>
    </cfRule>
    <cfRule type="expression" dxfId="2331" priority="2064">
      <formula>SEARCH("INTERROTTO",$M72)&gt;0</formula>
    </cfRule>
  </conditionalFormatting>
  <conditionalFormatting sqref="M71">
    <cfRule type="expression" dxfId="2330" priority="2053">
      <formula>SEARCH("IN CORSO",$M71)&gt;0</formula>
    </cfRule>
    <cfRule type="expression" dxfId="2329" priority="2054">
      <formula>SEARCH("CHIUSO",$M71)&gt;0</formula>
    </cfRule>
    <cfRule type="expression" dxfId="2328" priority="2055">
      <formula>SEARCH("EMESSO",$M71)&gt;0</formula>
    </cfRule>
    <cfRule type="expression" dxfId="2327" priority="2056">
      <formula>SEARCH("RICHIESTO",$M71)&gt;0</formula>
    </cfRule>
    <cfRule type="expression" dxfId="2326" priority="2057">
      <formula>SEARCH("DA CHIUDERE",$M71)&gt;0</formula>
    </cfRule>
    <cfRule type="expression" dxfId="2325" priority="2058">
      <formula>SEARCH("INTERROTTO",$M71)&gt;0</formula>
    </cfRule>
  </conditionalFormatting>
  <conditionalFormatting sqref="N71:S71">
    <cfRule type="expression" dxfId="2324" priority="2047">
      <formula>SEARCH("IN CORSO",$M71)&gt;0</formula>
    </cfRule>
    <cfRule type="expression" dxfId="2323" priority="2048">
      <formula>SEARCH("CHIUSO",$M71)&gt;0</formula>
    </cfRule>
    <cfRule type="expression" dxfId="2322" priority="2049">
      <formula>SEARCH("EMESSO",$M71)&gt;0</formula>
    </cfRule>
    <cfRule type="expression" dxfId="2321" priority="2050">
      <formula>SEARCH("RICHIESTO",$M71)&gt;0</formula>
    </cfRule>
    <cfRule type="expression" dxfId="2320" priority="2051">
      <formula>SEARCH("DA CHIUDERE",$M71)&gt;0</formula>
    </cfRule>
    <cfRule type="expression" dxfId="2319" priority="2052">
      <formula>SEARCH("INTERROTTO",$M71)&gt;0</formula>
    </cfRule>
  </conditionalFormatting>
  <conditionalFormatting sqref="G71">
    <cfRule type="expression" dxfId="2318" priority="2035">
      <formula>SEARCH("IN CORSO",$M71)&gt;0</formula>
    </cfRule>
    <cfRule type="expression" dxfId="2317" priority="2036">
      <formula>SEARCH("CHIUSO",$M71)&gt;0</formula>
    </cfRule>
    <cfRule type="expression" dxfId="2316" priority="2037">
      <formula>SEARCH("EMESSO",$M71)&gt;0</formula>
    </cfRule>
    <cfRule type="expression" dxfId="2315" priority="2038">
      <formula>SEARCH("RICHIESTO",$M71)&gt;0</formula>
    </cfRule>
    <cfRule type="expression" dxfId="2314" priority="2039">
      <formula>SEARCH("DA CHIUDERE",$M71)&gt;0</formula>
    </cfRule>
    <cfRule type="expression" dxfId="2313" priority="2040">
      <formula>SEARCH("INTERROTTO",$M71)&gt;0</formula>
    </cfRule>
  </conditionalFormatting>
  <conditionalFormatting sqref="E71">
    <cfRule type="expression" dxfId="2312" priority="2041">
      <formula>SEARCH("IN CORSO",$M71)&gt;0</formula>
    </cfRule>
    <cfRule type="expression" dxfId="2311" priority="2042">
      <formula>SEARCH("CHIUSO",$M71)&gt;0</formula>
    </cfRule>
    <cfRule type="expression" dxfId="2310" priority="2043">
      <formula>SEARCH("EMESSO",$M71)&gt;0</formula>
    </cfRule>
    <cfRule type="expression" dxfId="2309" priority="2044">
      <formula>SEARCH("RICHIESTO",$M71)&gt;0</formula>
    </cfRule>
    <cfRule type="expression" dxfId="2308" priority="2045">
      <formula>SEARCH("DA CHIUDERE",$M71)&gt;0</formula>
    </cfRule>
    <cfRule type="expression" dxfId="2307" priority="2046">
      <formula>SEARCH("INTERROTTO",$M71)&gt;0</formula>
    </cfRule>
  </conditionalFormatting>
  <conditionalFormatting sqref="F71">
    <cfRule type="expression" dxfId="2306" priority="2029">
      <formula>SEARCH("IN CORSO",$M71)&gt;0</formula>
    </cfRule>
    <cfRule type="expression" dxfId="2305" priority="2030">
      <formula>SEARCH("CHIUSO",$M71)&gt;0</formula>
    </cfRule>
    <cfRule type="expression" dxfId="2304" priority="2031">
      <formula>SEARCH("EMESSO",$M71)&gt;0</formula>
    </cfRule>
    <cfRule type="expression" dxfId="2303" priority="2032">
      <formula>SEARCH("RICHIESTO",$M71)&gt;0</formula>
    </cfRule>
    <cfRule type="expression" dxfId="2302" priority="2033">
      <formula>SEARCH("DA CHIUDERE",$M71)&gt;0</formula>
    </cfRule>
    <cfRule type="expression" dxfId="2301" priority="2034">
      <formula>SEARCH("INTERROTTO",$M71)&gt;0</formula>
    </cfRule>
  </conditionalFormatting>
  <conditionalFormatting sqref="M70">
    <cfRule type="expression" dxfId="2300" priority="2023">
      <formula>SEARCH("IN CORSO",$M70)&gt;0</formula>
    </cfRule>
    <cfRule type="expression" dxfId="2299" priority="2024">
      <formula>SEARCH("CHIUSO",$M70)&gt;0</formula>
    </cfRule>
    <cfRule type="expression" dxfId="2298" priority="2025">
      <formula>SEARCH("EMESSO",$M70)&gt;0</formula>
    </cfRule>
    <cfRule type="expression" dxfId="2297" priority="2026">
      <formula>SEARCH("RICHIESTO",$M70)&gt;0</formula>
    </cfRule>
    <cfRule type="expression" dxfId="2296" priority="2027">
      <formula>SEARCH("DA CHIUDERE",$M70)&gt;0</formula>
    </cfRule>
    <cfRule type="expression" dxfId="2295" priority="2028">
      <formula>SEARCH("INTERROTTO",$M70)&gt;0</formula>
    </cfRule>
  </conditionalFormatting>
  <conditionalFormatting sqref="N70:S70">
    <cfRule type="expression" dxfId="2294" priority="2017">
      <formula>SEARCH("IN CORSO",$M70)&gt;0</formula>
    </cfRule>
    <cfRule type="expression" dxfId="2293" priority="2018">
      <formula>SEARCH("CHIUSO",$M70)&gt;0</formula>
    </cfRule>
    <cfRule type="expression" dxfId="2292" priority="2019">
      <formula>SEARCH("EMESSO",$M70)&gt;0</formula>
    </cfRule>
    <cfRule type="expression" dxfId="2291" priority="2020">
      <formula>SEARCH("RICHIESTO",$M70)&gt;0</formula>
    </cfRule>
    <cfRule type="expression" dxfId="2290" priority="2021">
      <formula>SEARCH("DA CHIUDERE",$M70)&gt;0</formula>
    </cfRule>
    <cfRule type="expression" dxfId="2289" priority="2022">
      <formula>SEARCH("INTERROTTO",$M70)&gt;0</formula>
    </cfRule>
  </conditionalFormatting>
  <conditionalFormatting sqref="G70">
    <cfRule type="expression" dxfId="2288" priority="2005">
      <formula>SEARCH("IN CORSO",$M70)&gt;0</formula>
    </cfRule>
    <cfRule type="expression" dxfId="2287" priority="2006">
      <formula>SEARCH("CHIUSO",$M70)&gt;0</formula>
    </cfRule>
    <cfRule type="expression" dxfId="2286" priority="2007">
      <formula>SEARCH("EMESSO",$M70)&gt;0</formula>
    </cfRule>
    <cfRule type="expression" dxfId="2285" priority="2008">
      <formula>SEARCH("RICHIESTO",$M70)&gt;0</formula>
    </cfRule>
    <cfRule type="expression" dxfId="2284" priority="2009">
      <formula>SEARCH("DA CHIUDERE",$M70)&gt;0</formula>
    </cfRule>
    <cfRule type="expression" dxfId="2283" priority="2010">
      <formula>SEARCH("INTERROTTO",$M70)&gt;0</formula>
    </cfRule>
  </conditionalFormatting>
  <conditionalFormatting sqref="E70">
    <cfRule type="expression" dxfId="2282" priority="2011">
      <formula>SEARCH("IN CORSO",$M70)&gt;0</formula>
    </cfRule>
    <cfRule type="expression" dxfId="2281" priority="2012">
      <formula>SEARCH("CHIUSO",$M70)&gt;0</formula>
    </cfRule>
    <cfRule type="expression" dxfId="2280" priority="2013">
      <formula>SEARCH("EMESSO",$M70)&gt;0</formula>
    </cfRule>
    <cfRule type="expression" dxfId="2279" priority="2014">
      <formula>SEARCH("RICHIESTO",$M70)&gt;0</formula>
    </cfRule>
    <cfRule type="expression" dxfId="2278" priority="2015">
      <formula>SEARCH("DA CHIUDERE",$M70)&gt;0</formula>
    </cfRule>
    <cfRule type="expression" dxfId="2277" priority="2016">
      <formula>SEARCH("INTERROTTO",$M70)&gt;0</formula>
    </cfRule>
  </conditionalFormatting>
  <conditionalFormatting sqref="F70">
    <cfRule type="expression" dxfId="2276" priority="1999">
      <formula>SEARCH("IN CORSO",$M70)&gt;0</formula>
    </cfRule>
    <cfRule type="expression" dxfId="2275" priority="2000">
      <formula>SEARCH("CHIUSO",$M70)&gt;0</formula>
    </cfRule>
    <cfRule type="expression" dxfId="2274" priority="2001">
      <formula>SEARCH("EMESSO",$M70)&gt;0</formula>
    </cfRule>
    <cfRule type="expression" dxfId="2273" priority="2002">
      <formula>SEARCH("RICHIESTO",$M70)&gt;0</formula>
    </cfRule>
    <cfRule type="expression" dxfId="2272" priority="2003">
      <formula>SEARCH("DA CHIUDERE",$M70)&gt;0</formula>
    </cfRule>
    <cfRule type="expression" dxfId="2271" priority="2004">
      <formula>SEARCH("INTERROTTO",$M70)&gt;0</formula>
    </cfRule>
  </conditionalFormatting>
  <conditionalFormatting sqref="M69">
    <cfRule type="expression" dxfId="2270" priority="1993">
      <formula>SEARCH("IN CORSO",$M69)&gt;0</formula>
    </cfRule>
    <cfRule type="expression" dxfId="2269" priority="1994">
      <formula>SEARCH("CHIUSO",$M69)&gt;0</formula>
    </cfRule>
    <cfRule type="expression" dxfId="2268" priority="1995">
      <formula>SEARCH("EMESSO",$M69)&gt;0</formula>
    </cfRule>
    <cfRule type="expression" dxfId="2267" priority="1996">
      <formula>SEARCH("RICHIESTO",$M69)&gt;0</formula>
    </cfRule>
    <cfRule type="expression" dxfId="2266" priority="1997">
      <formula>SEARCH("DA CHIUDERE",$M69)&gt;0</formula>
    </cfRule>
    <cfRule type="expression" dxfId="2265" priority="1998">
      <formula>SEARCH("INTERROTTO",$M69)&gt;0</formula>
    </cfRule>
  </conditionalFormatting>
  <conditionalFormatting sqref="N69:S69">
    <cfRule type="expression" dxfId="2264" priority="1987">
      <formula>SEARCH("IN CORSO",$M69)&gt;0</formula>
    </cfRule>
    <cfRule type="expression" dxfId="2263" priority="1988">
      <formula>SEARCH("CHIUSO",$M69)&gt;0</formula>
    </cfRule>
    <cfRule type="expression" dxfId="2262" priority="1989">
      <formula>SEARCH("EMESSO",$M69)&gt;0</formula>
    </cfRule>
    <cfRule type="expression" dxfId="2261" priority="1990">
      <formula>SEARCH("RICHIESTO",$M69)&gt;0</formula>
    </cfRule>
    <cfRule type="expression" dxfId="2260" priority="1991">
      <formula>SEARCH("DA CHIUDERE",$M69)&gt;0</formula>
    </cfRule>
    <cfRule type="expression" dxfId="2259" priority="1992">
      <formula>SEARCH("INTERROTTO",$M69)&gt;0</formula>
    </cfRule>
  </conditionalFormatting>
  <conditionalFormatting sqref="G69">
    <cfRule type="expression" dxfId="2258" priority="1975">
      <formula>SEARCH("IN CORSO",$M69)&gt;0</formula>
    </cfRule>
    <cfRule type="expression" dxfId="2257" priority="1976">
      <formula>SEARCH("CHIUSO",$M69)&gt;0</formula>
    </cfRule>
    <cfRule type="expression" dxfId="2256" priority="1977">
      <formula>SEARCH("EMESSO",$M69)&gt;0</formula>
    </cfRule>
    <cfRule type="expression" dxfId="2255" priority="1978">
      <formula>SEARCH("RICHIESTO",$M69)&gt;0</formula>
    </cfRule>
    <cfRule type="expression" dxfId="2254" priority="1979">
      <formula>SEARCH("DA CHIUDERE",$M69)&gt;0</formula>
    </cfRule>
    <cfRule type="expression" dxfId="2253" priority="1980">
      <formula>SEARCH("INTERROTTO",$M69)&gt;0</formula>
    </cfRule>
  </conditionalFormatting>
  <conditionalFormatting sqref="E69">
    <cfRule type="expression" dxfId="2252" priority="1981">
      <formula>SEARCH("IN CORSO",$M69)&gt;0</formula>
    </cfRule>
    <cfRule type="expression" dxfId="2251" priority="1982">
      <formula>SEARCH("CHIUSO",$M69)&gt;0</formula>
    </cfRule>
    <cfRule type="expression" dxfId="2250" priority="1983">
      <formula>SEARCH("EMESSO",$M69)&gt;0</formula>
    </cfRule>
    <cfRule type="expression" dxfId="2249" priority="1984">
      <formula>SEARCH("RICHIESTO",$M69)&gt;0</formula>
    </cfRule>
    <cfRule type="expression" dxfId="2248" priority="1985">
      <formula>SEARCH("DA CHIUDERE",$M69)&gt;0</formula>
    </cfRule>
    <cfRule type="expression" dxfId="2247" priority="1986">
      <formula>SEARCH("INTERROTTO",$M69)&gt;0</formula>
    </cfRule>
  </conditionalFormatting>
  <conditionalFormatting sqref="F69">
    <cfRule type="expression" dxfId="2246" priority="1969">
      <formula>SEARCH("IN CORSO",$M69)&gt;0</formula>
    </cfRule>
    <cfRule type="expression" dxfId="2245" priority="1970">
      <formula>SEARCH("CHIUSO",$M69)&gt;0</formula>
    </cfRule>
    <cfRule type="expression" dxfId="2244" priority="1971">
      <formula>SEARCH("EMESSO",$M69)&gt;0</formula>
    </cfRule>
    <cfRule type="expression" dxfId="2243" priority="1972">
      <formula>SEARCH("RICHIESTO",$M69)&gt;0</formula>
    </cfRule>
    <cfRule type="expression" dxfId="2242" priority="1973">
      <formula>SEARCH("DA CHIUDERE",$M69)&gt;0</formula>
    </cfRule>
    <cfRule type="expression" dxfId="2241" priority="1974">
      <formula>SEARCH("INTERROTTO",$M69)&gt;0</formula>
    </cfRule>
  </conditionalFormatting>
  <conditionalFormatting sqref="N68:S68">
    <cfRule type="expression" dxfId="2240" priority="1963">
      <formula>SEARCH("IN CORSO",$M68)&gt;0</formula>
    </cfRule>
    <cfRule type="expression" dxfId="2239" priority="1964">
      <formula>SEARCH("CHIUSO",$M68)&gt;0</formula>
    </cfRule>
    <cfRule type="expression" dxfId="2238" priority="1965">
      <formula>SEARCH("EMESSO",$M68)&gt;0</formula>
    </cfRule>
    <cfRule type="expression" dxfId="2237" priority="1966">
      <formula>SEARCH("RICHIESTO",$M68)&gt;0</formula>
    </cfRule>
    <cfRule type="expression" dxfId="2236" priority="1967">
      <formula>SEARCH("DA CHIUDERE",$M68)&gt;0</formula>
    </cfRule>
    <cfRule type="expression" dxfId="2235" priority="1968">
      <formula>SEARCH("INTERROTTO",$M68)&gt;0</formula>
    </cfRule>
  </conditionalFormatting>
  <conditionalFormatting sqref="G68">
    <cfRule type="expression" dxfId="2234" priority="1951">
      <formula>SEARCH("IN CORSO",$M68)&gt;0</formula>
    </cfRule>
    <cfRule type="expression" dxfId="2233" priority="1952">
      <formula>SEARCH("CHIUSO",$M68)&gt;0</formula>
    </cfRule>
    <cfRule type="expression" dxfId="2232" priority="1953">
      <formula>SEARCH("EMESSO",$M68)&gt;0</formula>
    </cfRule>
    <cfRule type="expression" dxfId="2231" priority="1954">
      <formula>SEARCH("RICHIESTO",$M68)&gt;0</formula>
    </cfRule>
    <cfRule type="expression" dxfId="2230" priority="1955">
      <formula>SEARCH("DA CHIUDERE",$M68)&gt;0</formula>
    </cfRule>
    <cfRule type="expression" dxfId="2229" priority="1956">
      <formula>SEARCH("INTERROTTO",$M68)&gt;0</formula>
    </cfRule>
  </conditionalFormatting>
  <conditionalFormatting sqref="E68">
    <cfRule type="expression" dxfId="2228" priority="1957">
      <formula>SEARCH("IN CORSO",$M68)&gt;0</formula>
    </cfRule>
    <cfRule type="expression" dxfId="2227" priority="1958">
      <formula>SEARCH("CHIUSO",$M68)&gt;0</formula>
    </cfRule>
    <cfRule type="expression" dxfId="2226" priority="1959">
      <formula>SEARCH("EMESSO",$M68)&gt;0</formula>
    </cfRule>
    <cfRule type="expression" dxfId="2225" priority="1960">
      <formula>SEARCH("RICHIESTO",$M68)&gt;0</formula>
    </cfRule>
    <cfRule type="expression" dxfId="2224" priority="1961">
      <formula>SEARCH("DA CHIUDERE",$M68)&gt;0</formula>
    </cfRule>
    <cfRule type="expression" dxfId="2223" priority="1962">
      <formula>SEARCH("INTERROTTO",$M68)&gt;0</formula>
    </cfRule>
  </conditionalFormatting>
  <conditionalFormatting sqref="F68">
    <cfRule type="expression" dxfId="2222" priority="1945">
      <formula>SEARCH("IN CORSO",$M68)&gt;0</formula>
    </cfRule>
    <cfRule type="expression" dxfId="2221" priority="1946">
      <formula>SEARCH("CHIUSO",$M68)&gt;0</formula>
    </cfRule>
    <cfRule type="expression" dxfId="2220" priority="1947">
      <formula>SEARCH("EMESSO",$M68)&gt;0</formula>
    </cfRule>
    <cfRule type="expression" dxfId="2219" priority="1948">
      <formula>SEARCH("RICHIESTO",$M68)&gt;0</formula>
    </cfRule>
    <cfRule type="expression" dxfId="2218" priority="1949">
      <formula>SEARCH("DA CHIUDERE",$M68)&gt;0</formula>
    </cfRule>
    <cfRule type="expression" dxfId="2217" priority="1950">
      <formula>SEARCH("INTERROTTO",$M68)&gt;0</formula>
    </cfRule>
  </conditionalFormatting>
  <conditionalFormatting sqref="M68">
    <cfRule type="expression" dxfId="2216" priority="1939">
      <formula>SEARCH("IN CORSO",$M68)&gt;0</formula>
    </cfRule>
    <cfRule type="expression" dxfId="2215" priority="1940">
      <formula>SEARCH("CHIUSO",$M68)&gt;0</formula>
    </cfRule>
    <cfRule type="expression" dxfId="2214" priority="1941">
      <formula>SEARCH("EMESSO",$M68)&gt;0</formula>
    </cfRule>
    <cfRule type="expression" dxfId="2213" priority="1942">
      <formula>SEARCH("RICHIESTO",$M68)&gt;0</formula>
    </cfRule>
    <cfRule type="expression" dxfId="2212" priority="1943">
      <formula>SEARCH("DA CHIUDERE",$M68)&gt;0</formula>
    </cfRule>
    <cfRule type="expression" dxfId="2211" priority="1944">
      <formula>SEARCH("INTERROTTO",$M68)&gt;0</formula>
    </cfRule>
  </conditionalFormatting>
  <conditionalFormatting sqref="N67:S67">
    <cfRule type="expression" dxfId="2210" priority="1933">
      <formula>SEARCH("IN CORSO",$M67)&gt;0</formula>
    </cfRule>
    <cfRule type="expression" dxfId="2209" priority="1934">
      <formula>SEARCH("CHIUSO",$M67)&gt;0</formula>
    </cfRule>
    <cfRule type="expression" dxfId="2208" priority="1935">
      <formula>SEARCH("EMESSO",$M67)&gt;0</formula>
    </cfRule>
    <cfRule type="expression" dxfId="2207" priority="1936">
      <formula>SEARCH("RICHIESTO",$M67)&gt;0</formula>
    </cfRule>
    <cfRule type="expression" dxfId="2206" priority="1937">
      <formula>SEARCH("DA CHIUDERE",$M67)&gt;0</formula>
    </cfRule>
    <cfRule type="expression" dxfId="2205" priority="1938">
      <formula>SEARCH("INTERROTTO",$M67)&gt;0</formula>
    </cfRule>
  </conditionalFormatting>
  <conditionalFormatting sqref="G67">
    <cfRule type="expression" dxfId="2204" priority="1921">
      <formula>SEARCH("IN CORSO",$M67)&gt;0</formula>
    </cfRule>
    <cfRule type="expression" dxfId="2203" priority="1922">
      <formula>SEARCH("CHIUSO",$M67)&gt;0</formula>
    </cfRule>
    <cfRule type="expression" dxfId="2202" priority="1923">
      <formula>SEARCH("EMESSO",$M67)&gt;0</formula>
    </cfRule>
    <cfRule type="expression" dxfId="2201" priority="1924">
      <formula>SEARCH("RICHIESTO",$M67)&gt;0</formula>
    </cfRule>
    <cfRule type="expression" dxfId="2200" priority="1925">
      <formula>SEARCH("DA CHIUDERE",$M67)&gt;0</formula>
    </cfRule>
    <cfRule type="expression" dxfId="2199" priority="1926">
      <formula>SEARCH("INTERROTTO",$M67)&gt;0</formula>
    </cfRule>
  </conditionalFormatting>
  <conditionalFormatting sqref="E67">
    <cfRule type="expression" dxfId="2198" priority="1927">
      <formula>SEARCH("IN CORSO",$M67)&gt;0</formula>
    </cfRule>
    <cfRule type="expression" dxfId="2197" priority="1928">
      <formula>SEARCH("CHIUSO",$M67)&gt;0</formula>
    </cfRule>
    <cfRule type="expression" dxfId="2196" priority="1929">
      <formula>SEARCH("EMESSO",$M67)&gt;0</formula>
    </cfRule>
    <cfRule type="expression" dxfId="2195" priority="1930">
      <formula>SEARCH("RICHIESTO",$M67)&gt;0</formula>
    </cfRule>
    <cfRule type="expression" dxfId="2194" priority="1931">
      <formula>SEARCH("DA CHIUDERE",$M67)&gt;0</formula>
    </cfRule>
    <cfRule type="expression" dxfId="2193" priority="1932">
      <formula>SEARCH("INTERROTTO",$M67)&gt;0</formula>
    </cfRule>
  </conditionalFormatting>
  <conditionalFormatting sqref="F67">
    <cfRule type="expression" dxfId="2192" priority="1915">
      <formula>SEARCH("IN CORSO",$M67)&gt;0</formula>
    </cfRule>
    <cfRule type="expression" dxfId="2191" priority="1916">
      <formula>SEARCH("CHIUSO",$M67)&gt;0</formula>
    </cfRule>
    <cfRule type="expression" dxfId="2190" priority="1917">
      <formula>SEARCH("EMESSO",$M67)&gt;0</formula>
    </cfRule>
    <cfRule type="expression" dxfId="2189" priority="1918">
      <formula>SEARCH("RICHIESTO",$M67)&gt;0</formula>
    </cfRule>
    <cfRule type="expression" dxfId="2188" priority="1919">
      <formula>SEARCH("DA CHIUDERE",$M67)&gt;0</formula>
    </cfRule>
    <cfRule type="expression" dxfId="2187" priority="1920">
      <formula>SEARCH("INTERROTTO",$M67)&gt;0</formula>
    </cfRule>
  </conditionalFormatting>
  <conditionalFormatting sqref="M67">
    <cfRule type="expression" dxfId="2186" priority="1909">
      <formula>SEARCH("IN CORSO",$M67)&gt;0</formula>
    </cfRule>
    <cfRule type="expression" dxfId="2185" priority="1910">
      <formula>SEARCH("CHIUSO",$M67)&gt;0</formula>
    </cfRule>
    <cfRule type="expression" dxfId="2184" priority="1911">
      <formula>SEARCH("EMESSO",$M67)&gt;0</formula>
    </cfRule>
    <cfRule type="expression" dxfId="2183" priority="1912">
      <formula>SEARCH("RICHIESTO",$M67)&gt;0</formula>
    </cfRule>
    <cfRule type="expression" dxfId="2182" priority="1913">
      <formula>SEARCH("DA CHIUDERE",$M67)&gt;0</formula>
    </cfRule>
    <cfRule type="expression" dxfId="2181" priority="1914">
      <formula>SEARCH("INTERROTTO",$M67)&gt;0</formula>
    </cfRule>
  </conditionalFormatting>
  <conditionalFormatting sqref="N66:S66">
    <cfRule type="expression" dxfId="2180" priority="1903">
      <formula>SEARCH("IN CORSO",$M66)&gt;0</formula>
    </cfRule>
    <cfRule type="expression" dxfId="2179" priority="1904">
      <formula>SEARCH("CHIUSO",$M66)&gt;0</formula>
    </cfRule>
    <cfRule type="expression" dxfId="2178" priority="1905">
      <formula>SEARCH("EMESSO",$M66)&gt;0</formula>
    </cfRule>
    <cfRule type="expression" dxfId="2177" priority="1906">
      <formula>SEARCH("RICHIESTO",$M66)&gt;0</formula>
    </cfRule>
    <cfRule type="expression" dxfId="2176" priority="1907">
      <formula>SEARCH("DA CHIUDERE",$M66)&gt;0</formula>
    </cfRule>
    <cfRule type="expression" dxfId="2175" priority="1908">
      <formula>SEARCH("INTERROTTO",$M66)&gt;0</formula>
    </cfRule>
  </conditionalFormatting>
  <conditionalFormatting sqref="G66">
    <cfRule type="expression" dxfId="2174" priority="1891">
      <formula>SEARCH("IN CORSO",$M66)&gt;0</formula>
    </cfRule>
    <cfRule type="expression" dxfId="2173" priority="1892">
      <formula>SEARCH("CHIUSO",$M66)&gt;0</formula>
    </cfRule>
    <cfRule type="expression" dxfId="2172" priority="1893">
      <formula>SEARCH("EMESSO",$M66)&gt;0</formula>
    </cfRule>
    <cfRule type="expression" dxfId="2171" priority="1894">
      <formula>SEARCH("RICHIESTO",$M66)&gt;0</formula>
    </cfRule>
    <cfRule type="expression" dxfId="2170" priority="1895">
      <formula>SEARCH("DA CHIUDERE",$M66)&gt;0</formula>
    </cfRule>
    <cfRule type="expression" dxfId="2169" priority="1896">
      <formula>SEARCH("INTERROTTO",$M66)&gt;0</formula>
    </cfRule>
  </conditionalFormatting>
  <conditionalFormatting sqref="E66">
    <cfRule type="expression" dxfId="2168" priority="1897">
      <formula>SEARCH("IN CORSO",$M66)&gt;0</formula>
    </cfRule>
    <cfRule type="expression" dxfId="2167" priority="1898">
      <formula>SEARCH("CHIUSO",$M66)&gt;0</formula>
    </cfRule>
    <cfRule type="expression" dxfId="2166" priority="1899">
      <formula>SEARCH("EMESSO",$M66)&gt;0</formula>
    </cfRule>
    <cfRule type="expression" dxfId="2165" priority="1900">
      <formula>SEARCH("RICHIESTO",$M66)&gt;0</formula>
    </cfRule>
    <cfRule type="expression" dxfId="2164" priority="1901">
      <formula>SEARCH("DA CHIUDERE",$M66)&gt;0</formula>
    </cfRule>
    <cfRule type="expression" dxfId="2163" priority="1902">
      <formula>SEARCH("INTERROTTO",$M66)&gt;0</formula>
    </cfRule>
  </conditionalFormatting>
  <conditionalFormatting sqref="F66">
    <cfRule type="expression" dxfId="2162" priority="1885">
      <formula>SEARCH("IN CORSO",$M66)&gt;0</formula>
    </cfRule>
    <cfRule type="expression" dxfId="2161" priority="1886">
      <formula>SEARCH("CHIUSO",$M66)&gt;0</formula>
    </cfRule>
    <cfRule type="expression" dxfId="2160" priority="1887">
      <formula>SEARCH("EMESSO",$M66)&gt;0</formula>
    </cfRule>
    <cfRule type="expression" dxfId="2159" priority="1888">
      <formula>SEARCH("RICHIESTO",$M66)&gt;0</formula>
    </cfRule>
    <cfRule type="expression" dxfId="2158" priority="1889">
      <formula>SEARCH("DA CHIUDERE",$M66)&gt;0</formula>
    </cfRule>
    <cfRule type="expression" dxfId="2157" priority="1890">
      <formula>SEARCH("INTERROTTO",$M66)&gt;0</formula>
    </cfRule>
  </conditionalFormatting>
  <conditionalFormatting sqref="M66">
    <cfRule type="expression" dxfId="2156" priority="1879">
      <formula>SEARCH("IN CORSO",$M66)&gt;0</formula>
    </cfRule>
    <cfRule type="expression" dxfId="2155" priority="1880">
      <formula>SEARCH("CHIUSO",$M66)&gt;0</formula>
    </cfRule>
    <cfRule type="expression" dxfId="2154" priority="1881">
      <formula>SEARCH("EMESSO",$M66)&gt;0</formula>
    </cfRule>
    <cfRule type="expression" dxfId="2153" priority="1882">
      <formula>SEARCH("RICHIESTO",$M66)&gt;0</formula>
    </cfRule>
    <cfRule type="expression" dxfId="2152" priority="1883">
      <formula>SEARCH("DA CHIUDERE",$M66)&gt;0</formula>
    </cfRule>
    <cfRule type="expression" dxfId="2151" priority="1884">
      <formula>SEARCH("INTERROTTO",$M66)&gt;0</formula>
    </cfRule>
  </conditionalFormatting>
  <conditionalFormatting sqref="N65:S65">
    <cfRule type="expression" dxfId="2150" priority="1873">
      <formula>SEARCH("IN CORSO",$M65)&gt;0</formula>
    </cfRule>
    <cfRule type="expression" dxfId="2149" priority="1874">
      <formula>SEARCH("CHIUSO",$M65)&gt;0</formula>
    </cfRule>
    <cfRule type="expression" dxfId="2148" priority="1875">
      <formula>SEARCH("EMESSO",$M65)&gt;0</formula>
    </cfRule>
    <cfRule type="expression" dxfId="2147" priority="1876">
      <formula>SEARCH("RICHIESTO",$M65)&gt;0</formula>
    </cfRule>
    <cfRule type="expression" dxfId="2146" priority="1877">
      <formula>SEARCH("DA CHIUDERE",$M65)&gt;0</formula>
    </cfRule>
    <cfRule type="expression" dxfId="2145" priority="1878">
      <formula>SEARCH("INTERROTTO",$M65)&gt;0</formula>
    </cfRule>
  </conditionalFormatting>
  <conditionalFormatting sqref="G65">
    <cfRule type="expression" dxfId="2144" priority="1861">
      <formula>SEARCH("IN CORSO",$M65)&gt;0</formula>
    </cfRule>
    <cfRule type="expression" dxfId="2143" priority="1862">
      <formula>SEARCH("CHIUSO",$M65)&gt;0</formula>
    </cfRule>
    <cfRule type="expression" dxfId="2142" priority="1863">
      <formula>SEARCH("EMESSO",$M65)&gt;0</formula>
    </cfRule>
    <cfRule type="expression" dxfId="2141" priority="1864">
      <formula>SEARCH("RICHIESTO",$M65)&gt;0</formula>
    </cfRule>
    <cfRule type="expression" dxfId="2140" priority="1865">
      <formula>SEARCH("DA CHIUDERE",$M65)&gt;0</formula>
    </cfRule>
    <cfRule type="expression" dxfId="2139" priority="1866">
      <formula>SEARCH("INTERROTTO",$M65)&gt;0</formula>
    </cfRule>
  </conditionalFormatting>
  <conditionalFormatting sqref="E65">
    <cfRule type="expression" dxfId="2138" priority="1867">
      <formula>SEARCH("IN CORSO",$M65)&gt;0</formula>
    </cfRule>
    <cfRule type="expression" dxfId="2137" priority="1868">
      <formula>SEARCH("CHIUSO",$M65)&gt;0</formula>
    </cfRule>
    <cfRule type="expression" dxfId="2136" priority="1869">
      <formula>SEARCH("EMESSO",$M65)&gt;0</formula>
    </cfRule>
    <cfRule type="expression" dxfId="2135" priority="1870">
      <formula>SEARCH("RICHIESTO",$M65)&gt;0</formula>
    </cfRule>
    <cfRule type="expression" dxfId="2134" priority="1871">
      <formula>SEARCH("DA CHIUDERE",$M65)&gt;0</formula>
    </cfRule>
    <cfRule type="expression" dxfId="2133" priority="1872">
      <formula>SEARCH("INTERROTTO",$M65)&gt;0</formula>
    </cfRule>
  </conditionalFormatting>
  <conditionalFormatting sqref="F65">
    <cfRule type="expression" dxfId="2132" priority="1855">
      <formula>SEARCH("IN CORSO",$M65)&gt;0</formula>
    </cfRule>
    <cfRule type="expression" dxfId="2131" priority="1856">
      <formula>SEARCH("CHIUSO",$M65)&gt;0</formula>
    </cfRule>
    <cfRule type="expression" dxfId="2130" priority="1857">
      <formula>SEARCH("EMESSO",$M65)&gt;0</formula>
    </cfRule>
    <cfRule type="expression" dxfId="2129" priority="1858">
      <formula>SEARCH("RICHIESTO",$M65)&gt;0</formula>
    </cfRule>
    <cfRule type="expression" dxfId="2128" priority="1859">
      <formula>SEARCH("DA CHIUDERE",$M65)&gt;0</formula>
    </cfRule>
    <cfRule type="expression" dxfId="2127" priority="1860">
      <formula>SEARCH("INTERROTTO",$M65)&gt;0</formula>
    </cfRule>
  </conditionalFormatting>
  <conditionalFormatting sqref="M65">
    <cfRule type="expression" dxfId="2126" priority="1849">
      <formula>SEARCH("IN CORSO",$M65)&gt;0</formula>
    </cfRule>
    <cfRule type="expression" dxfId="2125" priority="1850">
      <formula>SEARCH("CHIUSO",$M65)&gt;0</formula>
    </cfRule>
    <cfRule type="expression" dxfId="2124" priority="1851">
      <formula>SEARCH("EMESSO",$M65)&gt;0</formula>
    </cfRule>
    <cfRule type="expression" dxfId="2123" priority="1852">
      <formula>SEARCH("RICHIESTO",$M65)&gt;0</formula>
    </cfRule>
    <cfRule type="expression" dxfId="2122" priority="1853">
      <formula>SEARCH("DA CHIUDERE",$M65)&gt;0</formula>
    </cfRule>
    <cfRule type="expression" dxfId="2121" priority="1854">
      <formula>SEARCH("INTERROTTO",$M65)&gt;0</formula>
    </cfRule>
  </conditionalFormatting>
  <conditionalFormatting sqref="N64:S64">
    <cfRule type="expression" dxfId="2120" priority="1843">
      <formula>SEARCH("IN CORSO",$M64)&gt;0</formula>
    </cfRule>
    <cfRule type="expression" dxfId="2119" priority="1844">
      <formula>SEARCH("CHIUSO",$M64)&gt;0</formula>
    </cfRule>
    <cfRule type="expression" dxfId="2118" priority="1845">
      <formula>SEARCH("EMESSO",$M64)&gt;0</formula>
    </cfRule>
    <cfRule type="expression" dxfId="2117" priority="1846">
      <formula>SEARCH("RICHIESTO",$M64)&gt;0</formula>
    </cfRule>
    <cfRule type="expression" dxfId="2116" priority="1847">
      <formula>SEARCH("DA CHIUDERE",$M64)&gt;0</formula>
    </cfRule>
    <cfRule type="expression" dxfId="2115" priority="1848">
      <formula>SEARCH("INTERROTTO",$M64)&gt;0</formula>
    </cfRule>
  </conditionalFormatting>
  <conditionalFormatting sqref="G64">
    <cfRule type="expression" dxfId="2114" priority="1831">
      <formula>SEARCH("IN CORSO",$M64)&gt;0</formula>
    </cfRule>
    <cfRule type="expression" dxfId="2113" priority="1832">
      <formula>SEARCH("CHIUSO",$M64)&gt;0</formula>
    </cfRule>
    <cfRule type="expression" dxfId="2112" priority="1833">
      <formula>SEARCH("EMESSO",$M64)&gt;0</formula>
    </cfRule>
    <cfRule type="expression" dxfId="2111" priority="1834">
      <formula>SEARCH("RICHIESTO",$M64)&gt;0</formula>
    </cfRule>
    <cfRule type="expression" dxfId="2110" priority="1835">
      <formula>SEARCH("DA CHIUDERE",$M64)&gt;0</formula>
    </cfRule>
    <cfRule type="expression" dxfId="2109" priority="1836">
      <formula>SEARCH("INTERROTTO",$M64)&gt;0</formula>
    </cfRule>
  </conditionalFormatting>
  <conditionalFormatting sqref="E64">
    <cfRule type="expression" dxfId="2108" priority="1837">
      <formula>SEARCH("IN CORSO",$M64)&gt;0</formula>
    </cfRule>
    <cfRule type="expression" dxfId="2107" priority="1838">
      <formula>SEARCH("CHIUSO",$M64)&gt;0</formula>
    </cfRule>
    <cfRule type="expression" dxfId="2106" priority="1839">
      <formula>SEARCH("EMESSO",$M64)&gt;0</formula>
    </cfRule>
    <cfRule type="expression" dxfId="2105" priority="1840">
      <formula>SEARCH("RICHIESTO",$M64)&gt;0</formula>
    </cfRule>
    <cfRule type="expression" dxfId="2104" priority="1841">
      <formula>SEARCH("DA CHIUDERE",$M64)&gt;0</formula>
    </cfRule>
    <cfRule type="expression" dxfId="2103" priority="1842">
      <formula>SEARCH("INTERROTTO",$M64)&gt;0</formula>
    </cfRule>
  </conditionalFormatting>
  <conditionalFormatting sqref="F64">
    <cfRule type="expression" dxfId="2102" priority="1825">
      <formula>SEARCH("IN CORSO",$M64)&gt;0</formula>
    </cfRule>
    <cfRule type="expression" dxfId="2101" priority="1826">
      <formula>SEARCH("CHIUSO",$M64)&gt;0</formula>
    </cfRule>
    <cfRule type="expression" dxfId="2100" priority="1827">
      <formula>SEARCH("EMESSO",$M64)&gt;0</formula>
    </cfRule>
    <cfRule type="expression" dxfId="2099" priority="1828">
      <formula>SEARCH("RICHIESTO",$M64)&gt;0</formula>
    </cfRule>
    <cfRule type="expression" dxfId="2098" priority="1829">
      <formula>SEARCH("DA CHIUDERE",$M64)&gt;0</formula>
    </cfRule>
    <cfRule type="expression" dxfId="2097" priority="1830">
      <formula>SEARCH("INTERROTTO",$M64)&gt;0</formula>
    </cfRule>
  </conditionalFormatting>
  <conditionalFormatting sqref="M64">
    <cfRule type="expression" dxfId="2096" priority="1819">
      <formula>SEARCH("IN CORSO",$M64)&gt;0</formula>
    </cfRule>
    <cfRule type="expression" dxfId="2095" priority="1820">
      <formula>SEARCH("CHIUSO",$M64)&gt;0</formula>
    </cfRule>
    <cfRule type="expression" dxfId="2094" priority="1821">
      <formula>SEARCH("EMESSO",$M64)&gt;0</formula>
    </cfRule>
    <cfRule type="expression" dxfId="2093" priority="1822">
      <formula>SEARCH("RICHIESTO",$M64)&gt;0</formula>
    </cfRule>
    <cfRule type="expression" dxfId="2092" priority="1823">
      <formula>SEARCH("DA CHIUDERE",$M64)&gt;0</formula>
    </cfRule>
    <cfRule type="expression" dxfId="2091" priority="1824">
      <formula>SEARCH("INTERROTTO",$M64)&gt;0</formula>
    </cfRule>
  </conditionalFormatting>
  <conditionalFormatting sqref="N63:S63">
    <cfRule type="expression" dxfId="2090" priority="1813">
      <formula>SEARCH("IN CORSO",$M63)&gt;0</formula>
    </cfRule>
    <cfRule type="expression" dxfId="2089" priority="1814">
      <formula>SEARCH("CHIUSO",$M63)&gt;0</formula>
    </cfRule>
    <cfRule type="expression" dxfId="2088" priority="1815">
      <formula>SEARCH("EMESSO",$M63)&gt;0</formula>
    </cfRule>
    <cfRule type="expression" dxfId="2087" priority="1816">
      <formula>SEARCH("RICHIESTO",$M63)&gt;0</formula>
    </cfRule>
    <cfRule type="expression" dxfId="2086" priority="1817">
      <formula>SEARCH("DA CHIUDERE",$M63)&gt;0</formula>
    </cfRule>
    <cfRule type="expression" dxfId="2085" priority="1818">
      <formula>SEARCH("INTERROTTO",$M63)&gt;0</formula>
    </cfRule>
  </conditionalFormatting>
  <conditionalFormatting sqref="G63">
    <cfRule type="expression" dxfId="2084" priority="1801">
      <formula>SEARCH("IN CORSO",$M63)&gt;0</formula>
    </cfRule>
    <cfRule type="expression" dxfId="2083" priority="1802">
      <formula>SEARCH("CHIUSO",$M63)&gt;0</formula>
    </cfRule>
    <cfRule type="expression" dxfId="2082" priority="1803">
      <formula>SEARCH("EMESSO",$M63)&gt;0</formula>
    </cfRule>
    <cfRule type="expression" dxfId="2081" priority="1804">
      <formula>SEARCH("RICHIESTO",$M63)&gt;0</formula>
    </cfRule>
    <cfRule type="expression" dxfId="2080" priority="1805">
      <formula>SEARCH("DA CHIUDERE",$M63)&gt;0</formula>
    </cfRule>
    <cfRule type="expression" dxfId="2079" priority="1806">
      <formula>SEARCH("INTERROTTO",$M63)&gt;0</formula>
    </cfRule>
  </conditionalFormatting>
  <conditionalFormatting sqref="E63">
    <cfRule type="expression" dxfId="2078" priority="1807">
      <formula>SEARCH("IN CORSO",$M63)&gt;0</formula>
    </cfRule>
    <cfRule type="expression" dxfId="2077" priority="1808">
      <formula>SEARCH("CHIUSO",$M63)&gt;0</formula>
    </cfRule>
    <cfRule type="expression" dxfId="2076" priority="1809">
      <formula>SEARCH("EMESSO",$M63)&gt;0</formula>
    </cfRule>
    <cfRule type="expression" dxfId="2075" priority="1810">
      <formula>SEARCH("RICHIESTO",$M63)&gt;0</formula>
    </cfRule>
    <cfRule type="expression" dxfId="2074" priority="1811">
      <formula>SEARCH("DA CHIUDERE",$M63)&gt;0</formula>
    </cfRule>
    <cfRule type="expression" dxfId="2073" priority="1812">
      <formula>SEARCH("INTERROTTO",$M63)&gt;0</formula>
    </cfRule>
  </conditionalFormatting>
  <conditionalFormatting sqref="F63">
    <cfRule type="expression" dxfId="2072" priority="1795">
      <formula>SEARCH("IN CORSO",$M63)&gt;0</formula>
    </cfRule>
    <cfRule type="expression" dxfId="2071" priority="1796">
      <formula>SEARCH("CHIUSO",$M63)&gt;0</formula>
    </cfRule>
    <cfRule type="expression" dxfId="2070" priority="1797">
      <formula>SEARCH("EMESSO",$M63)&gt;0</formula>
    </cfRule>
    <cfRule type="expression" dxfId="2069" priority="1798">
      <formula>SEARCH("RICHIESTO",$M63)&gt;0</formula>
    </cfRule>
    <cfRule type="expression" dxfId="2068" priority="1799">
      <formula>SEARCH("DA CHIUDERE",$M63)&gt;0</formula>
    </cfRule>
    <cfRule type="expression" dxfId="2067" priority="1800">
      <formula>SEARCH("INTERROTTO",$M63)&gt;0</formula>
    </cfRule>
  </conditionalFormatting>
  <conditionalFormatting sqref="M63">
    <cfRule type="expression" dxfId="2066" priority="1789">
      <formula>SEARCH("IN CORSO",$M63)&gt;0</formula>
    </cfRule>
    <cfRule type="expression" dxfId="2065" priority="1790">
      <formula>SEARCH("CHIUSO",$M63)&gt;0</formula>
    </cfRule>
    <cfRule type="expression" dxfId="2064" priority="1791">
      <formula>SEARCH("EMESSO",$M63)&gt;0</formula>
    </cfRule>
    <cfRule type="expression" dxfId="2063" priority="1792">
      <formula>SEARCH("RICHIESTO",$M63)&gt;0</formula>
    </cfRule>
    <cfRule type="expression" dxfId="2062" priority="1793">
      <formula>SEARCH("DA CHIUDERE",$M63)&gt;0</formula>
    </cfRule>
    <cfRule type="expression" dxfId="2061" priority="1794">
      <formula>SEARCH("INTERROTTO",$M63)&gt;0</formula>
    </cfRule>
  </conditionalFormatting>
  <conditionalFormatting sqref="N62:S62">
    <cfRule type="expression" dxfId="2060" priority="1783">
      <formula>SEARCH("IN CORSO",$M62)&gt;0</formula>
    </cfRule>
    <cfRule type="expression" dxfId="2059" priority="1784">
      <formula>SEARCH("CHIUSO",$M62)&gt;0</formula>
    </cfRule>
    <cfRule type="expression" dxfId="2058" priority="1785">
      <formula>SEARCH("EMESSO",$M62)&gt;0</formula>
    </cfRule>
    <cfRule type="expression" dxfId="2057" priority="1786">
      <formula>SEARCH("RICHIESTO",$M62)&gt;0</formula>
    </cfRule>
    <cfRule type="expression" dxfId="2056" priority="1787">
      <formula>SEARCH("DA CHIUDERE",$M62)&gt;0</formula>
    </cfRule>
    <cfRule type="expression" dxfId="2055" priority="1788">
      <formula>SEARCH("INTERROTTO",$M62)&gt;0</formula>
    </cfRule>
  </conditionalFormatting>
  <conditionalFormatting sqref="G62">
    <cfRule type="expression" dxfId="2054" priority="1771">
      <formula>SEARCH("IN CORSO",$M62)&gt;0</formula>
    </cfRule>
    <cfRule type="expression" dxfId="2053" priority="1772">
      <formula>SEARCH("CHIUSO",$M62)&gt;0</formula>
    </cfRule>
    <cfRule type="expression" dxfId="2052" priority="1773">
      <formula>SEARCH("EMESSO",$M62)&gt;0</formula>
    </cfRule>
    <cfRule type="expression" dxfId="2051" priority="1774">
      <formula>SEARCH("RICHIESTO",$M62)&gt;0</formula>
    </cfRule>
    <cfRule type="expression" dxfId="2050" priority="1775">
      <formula>SEARCH("DA CHIUDERE",$M62)&gt;0</formula>
    </cfRule>
    <cfRule type="expression" dxfId="2049" priority="1776">
      <formula>SEARCH("INTERROTTO",$M62)&gt;0</formula>
    </cfRule>
  </conditionalFormatting>
  <conditionalFormatting sqref="E62">
    <cfRule type="expression" dxfId="2048" priority="1777">
      <formula>SEARCH("IN CORSO",$M62)&gt;0</formula>
    </cfRule>
    <cfRule type="expression" dxfId="2047" priority="1778">
      <formula>SEARCH("CHIUSO",$M62)&gt;0</formula>
    </cfRule>
    <cfRule type="expression" dxfId="2046" priority="1779">
      <formula>SEARCH("EMESSO",$M62)&gt;0</formula>
    </cfRule>
    <cfRule type="expression" dxfId="2045" priority="1780">
      <formula>SEARCH("RICHIESTO",$M62)&gt;0</formula>
    </cfRule>
    <cfRule type="expression" dxfId="2044" priority="1781">
      <formula>SEARCH("DA CHIUDERE",$M62)&gt;0</formula>
    </cfRule>
    <cfRule type="expression" dxfId="2043" priority="1782">
      <formula>SEARCH("INTERROTTO",$M62)&gt;0</formula>
    </cfRule>
  </conditionalFormatting>
  <conditionalFormatting sqref="F62">
    <cfRule type="expression" dxfId="2042" priority="1765">
      <formula>SEARCH("IN CORSO",$M62)&gt;0</formula>
    </cfRule>
    <cfRule type="expression" dxfId="2041" priority="1766">
      <formula>SEARCH("CHIUSO",$M62)&gt;0</formula>
    </cfRule>
    <cfRule type="expression" dxfId="2040" priority="1767">
      <formula>SEARCH("EMESSO",$M62)&gt;0</formula>
    </cfRule>
    <cfRule type="expression" dxfId="2039" priority="1768">
      <formula>SEARCH("RICHIESTO",$M62)&gt;0</formula>
    </cfRule>
    <cfRule type="expression" dxfId="2038" priority="1769">
      <formula>SEARCH("DA CHIUDERE",$M62)&gt;0</formula>
    </cfRule>
    <cfRule type="expression" dxfId="2037" priority="1770">
      <formula>SEARCH("INTERROTTO",$M62)&gt;0</formula>
    </cfRule>
  </conditionalFormatting>
  <conditionalFormatting sqref="M62">
    <cfRule type="expression" dxfId="2036" priority="1759">
      <formula>SEARCH("IN CORSO",$M62)&gt;0</formula>
    </cfRule>
    <cfRule type="expression" dxfId="2035" priority="1760">
      <formula>SEARCH("CHIUSO",$M62)&gt;0</formula>
    </cfRule>
    <cfRule type="expression" dxfId="2034" priority="1761">
      <formula>SEARCH("EMESSO",$M62)&gt;0</formula>
    </cfRule>
    <cfRule type="expression" dxfId="2033" priority="1762">
      <formula>SEARCH("RICHIESTO",$M62)&gt;0</formula>
    </cfRule>
    <cfRule type="expression" dxfId="2032" priority="1763">
      <formula>SEARCH("DA CHIUDERE",$M62)&gt;0</formula>
    </cfRule>
    <cfRule type="expression" dxfId="2031" priority="1764">
      <formula>SEARCH("INTERROTTO",$M62)&gt;0</formula>
    </cfRule>
  </conditionalFormatting>
  <conditionalFormatting sqref="N61:S61">
    <cfRule type="expression" dxfId="2030" priority="1753">
      <formula>SEARCH("IN CORSO",$M61)&gt;0</formula>
    </cfRule>
    <cfRule type="expression" dxfId="2029" priority="1754">
      <formula>SEARCH("CHIUSO",$M61)&gt;0</formula>
    </cfRule>
    <cfRule type="expression" dxfId="2028" priority="1755">
      <formula>SEARCH("EMESSO",$M61)&gt;0</formula>
    </cfRule>
    <cfRule type="expression" dxfId="2027" priority="1756">
      <formula>SEARCH("RICHIESTO",$M61)&gt;0</formula>
    </cfRule>
    <cfRule type="expression" dxfId="2026" priority="1757">
      <formula>SEARCH("DA CHIUDERE",$M61)&gt;0</formula>
    </cfRule>
    <cfRule type="expression" dxfId="2025" priority="1758">
      <formula>SEARCH("INTERROTTO",$M61)&gt;0</formula>
    </cfRule>
  </conditionalFormatting>
  <conditionalFormatting sqref="G61">
    <cfRule type="expression" dxfId="2024" priority="1741">
      <formula>SEARCH("IN CORSO",$M61)&gt;0</formula>
    </cfRule>
    <cfRule type="expression" dxfId="2023" priority="1742">
      <formula>SEARCH("CHIUSO",$M61)&gt;0</formula>
    </cfRule>
    <cfRule type="expression" dxfId="2022" priority="1743">
      <formula>SEARCH("EMESSO",$M61)&gt;0</formula>
    </cfRule>
    <cfRule type="expression" dxfId="2021" priority="1744">
      <formula>SEARCH("RICHIESTO",$M61)&gt;0</formula>
    </cfRule>
    <cfRule type="expression" dxfId="2020" priority="1745">
      <formula>SEARCH("DA CHIUDERE",$M61)&gt;0</formula>
    </cfRule>
    <cfRule type="expression" dxfId="2019" priority="1746">
      <formula>SEARCH("INTERROTTO",$M61)&gt;0</formula>
    </cfRule>
  </conditionalFormatting>
  <conditionalFormatting sqref="E61">
    <cfRule type="expression" dxfId="2018" priority="1747">
      <formula>SEARCH("IN CORSO",$M61)&gt;0</formula>
    </cfRule>
    <cfRule type="expression" dxfId="2017" priority="1748">
      <formula>SEARCH("CHIUSO",$M61)&gt;0</formula>
    </cfRule>
    <cfRule type="expression" dxfId="2016" priority="1749">
      <formula>SEARCH("EMESSO",$M61)&gt;0</formula>
    </cfRule>
    <cfRule type="expression" dxfId="2015" priority="1750">
      <formula>SEARCH("RICHIESTO",$M61)&gt;0</formula>
    </cfRule>
    <cfRule type="expression" dxfId="2014" priority="1751">
      <formula>SEARCH("DA CHIUDERE",$M61)&gt;0</formula>
    </cfRule>
    <cfRule type="expression" dxfId="2013" priority="1752">
      <formula>SEARCH("INTERROTTO",$M61)&gt;0</formula>
    </cfRule>
  </conditionalFormatting>
  <conditionalFormatting sqref="F61">
    <cfRule type="expression" dxfId="2012" priority="1735">
      <formula>SEARCH("IN CORSO",$M61)&gt;0</formula>
    </cfRule>
    <cfRule type="expression" dxfId="2011" priority="1736">
      <formula>SEARCH("CHIUSO",$M61)&gt;0</formula>
    </cfRule>
    <cfRule type="expression" dxfId="2010" priority="1737">
      <formula>SEARCH("EMESSO",$M61)&gt;0</formula>
    </cfRule>
    <cfRule type="expression" dxfId="2009" priority="1738">
      <formula>SEARCH("RICHIESTO",$M61)&gt;0</formula>
    </cfRule>
    <cfRule type="expression" dxfId="2008" priority="1739">
      <formula>SEARCH("DA CHIUDERE",$M61)&gt;0</formula>
    </cfRule>
    <cfRule type="expression" dxfId="2007" priority="1740">
      <formula>SEARCH("INTERROTTO",$M61)&gt;0</formula>
    </cfRule>
  </conditionalFormatting>
  <conditionalFormatting sqref="M61">
    <cfRule type="expression" dxfId="2006" priority="1729">
      <formula>SEARCH("IN CORSO",$M61)&gt;0</formula>
    </cfRule>
    <cfRule type="expression" dxfId="2005" priority="1730">
      <formula>SEARCH("CHIUSO",$M61)&gt;0</formula>
    </cfRule>
    <cfRule type="expression" dxfId="2004" priority="1731">
      <formula>SEARCH("EMESSO",$M61)&gt;0</formula>
    </cfRule>
    <cfRule type="expression" dxfId="2003" priority="1732">
      <formula>SEARCH("RICHIESTO",$M61)&gt;0</formula>
    </cfRule>
    <cfRule type="expression" dxfId="2002" priority="1733">
      <formula>SEARCH("DA CHIUDERE",$M61)&gt;0</formula>
    </cfRule>
    <cfRule type="expression" dxfId="2001" priority="1734">
      <formula>SEARCH("INTERROTTO",$M61)&gt;0</formula>
    </cfRule>
  </conditionalFormatting>
  <conditionalFormatting sqref="N60:S60">
    <cfRule type="expression" dxfId="2000" priority="1723">
      <formula>SEARCH("IN CORSO",$M60)&gt;0</formula>
    </cfRule>
    <cfRule type="expression" dxfId="1999" priority="1724">
      <formula>SEARCH("CHIUSO",$M60)&gt;0</formula>
    </cfRule>
    <cfRule type="expression" dxfId="1998" priority="1725">
      <formula>SEARCH("EMESSO",$M60)&gt;0</formula>
    </cfRule>
    <cfRule type="expression" dxfId="1997" priority="1726">
      <formula>SEARCH("RICHIESTO",$M60)&gt;0</formula>
    </cfRule>
    <cfRule type="expression" dxfId="1996" priority="1727">
      <formula>SEARCH("DA CHIUDERE",$M60)&gt;0</formula>
    </cfRule>
    <cfRule type="expression" dxfId="1995" priority="1728">
      <formula>SEARCH("INTERROTTO",$M60)&gt;0</formula>
    </cfRule>
  </conditionalFormatting>
  <conditionalFormatting sqref="G60">
    <cfRule type="expression" dxfId="1994" priority="1711">
      <formula>SEARCH("IN CORSO",$M60)&gt;0</formula>
    </cfRule>
    <cfRule type="expression" dxfId="1993" priority="1712">
      <formula>SEARCH("CHIUSO",$M60)&gt;0</formula>
    </cfRule>
    <cfRule type="expression" dxfId="1992" priority="1713">
      <formula>SEARCH("EMESSO",$M60)&gt;0</formula>
    </cfRule>
    <cfRule type="expression" dxfId="1991" priority="1714">
      <formula>SEARCH("RICHIESTO",$M60)&gt;0</formula>
    </cfRule>
    <cfRule type="expression" dxfId="1990" priority="1715">
      <formula>SEARCH("DA CHIUDERE",$M60)&gt;0</formula>
    </cfRule>
    <cfRule type="expression" dxfId="1989" priority="1716">
      <formula>SEARCH("INTERROTTO",$M60)&gt;0</formula>
    </cfRule>
  </conditionalFormatting>
  <conditionalFormatting sqref="E60">
    <cfRule type="expression" dxfId="1988" priority="1717">
      <formula>SEARCH("IN CORSO",$M60)&gt;0</formula>
    </cfRule>
    <cfRule type="expression" dxfId="1987" priority="1718">
      <formula>SEARCH("CHIUSO",$M60)&gt;0</formula>
    </cfRule>
    <cfRule type="expression" dxfId="1986" priority="1719">
      <formula>SEARCH("EMESSO",$M60)&gt;0</formula>
    </cfRule>
    <cfRule type="expression" dxfId="1985" priority="1720">
      <formula>SEARCH("RICHIESTO",$M60)&gt;0</formula>
    </cfRule>
    <cfRule type="expression" dxfId="1984" priority="1721">
      <formula>SEARCH("DA CHIUDERE",$M60)&gt;0</formula>
    </cfRule>
    <cfRule type="expression" dxfId="1983" priority="1722">
      <formula>SEARCH("INTERROTTO",$M60)&gt;0</formula>
    </cfRule>
  </conditionalFormatting>
  <conditionalFormatting sqref="F60">
    <cfRule type="expression" dxfId="1982" priority="1705">
      <formula>SEARCH("IN CORSO",$M60)&gt;0</formula>
    </cfRule>
    <cfRule type="expression" dxfId="1981" priority="1706">
      <formula>SEARCH("CHIUSO",$M60)&gt;0</formula>
    </cfRule>
    <cfRule type="expression" dxfId="1980" priority="1707">
      <formula>SEARCH("EMESSO",$M60)&gt;0</formula>
    </cfRule>
    <cfRule type="expression" dxfId="1979" priority="1708">
      <formula>SEARCH("RICHIESTO",$M60)&gt;0</formula>
    </cfRule>
    <cfRule type="expression" dxfId="1978" priority="1709">
      <formula>SEARCH("DA CHIUDERE",$M60)&gt;0</formula>
    </cfRule>
    <cfRule type="expression" dxfId="1977" priority="1710">
      <formula>SEARCH("INTERROTTO",$M60)&gt;0</formula>
    </cfRule>
  </conditionalFormatting>
  <conditionalFormatting sqref="M60">
    <cfRule type="expression" dxfId="1976" priority="1699">
      <formula>SEARCH("IN CORSO",$M60)&gt;0</formula>
    </cfRule>
    <cfRule type="expression" dxfId="1975" priority="1700">
      <formula>SEARCH("CHIUSO",$M60)&gt;0</formula>
    </cfRule>
    <cfRule type="expression" dxfId="1974" priority="1701">
      <formula>SEARCH("EMESSO",$M60)&gt;0</formula>
    </cfRule>
    <cfRule type="expression" dxfId="1973" priority="1702">
      <formula>SEARCH("RICHIESTO",$M60)&gt;0</formula>
    </cfRule>
    <cfRule type="expression" dxfId="1972" priority="1703">
      <formula>SEARCH("DA CHIUDERE",$M60)&gt;0</formula>
    </cfRule>
    <cfRule type="expression" dxfId="1971" priority="1704">
      <formula>SEARCH("INTERROTTO",$M60)&gt;0</formula>
    </cfRule>
  </conditionalFormatting>
  <conditionalFormatting sqref="N59:S59">
    <cfRule type="expression" dxfId="1970" priority="1693">
      <formula>SEARCH("IN CORSO",$M59)&gt;0</formula>
    </cfRule>
    <cfRule type="expression" dxfId="1969" priority="1694">
      <formula>SEARCH("CHIUSO",$M59)&gt;0</formula>
    </cfRule>
    <cfRule type="expression" dxfId="1968" priority="1695">
      <formula>SEARCH("EMESSO",$M59)&gt;0</formula>
    </cfRule>
    <cfRule type="expression" dxfId="1967" priority="1696">
      <formula>SEARCH("RICHIESTO",$M59)&gt;0</formula>
    </cfRule>
    <cfRule type="expression" dxfId="1966" priority="1697">
      <formula>SEARCH("DA CHIUDERE",$M59)&gt;0</formula>
    </cfRule>
    <cfRule type="expression" dxfId="1965" priority="1698">
      <formula>SEARCH("INTERROTTO",$M59)&gt;0</formula>
    </cfRule>
  </conditionalFormatting>
  <conditionalFormatting sqref="G59">
    <cfRule type="expression" dxfId="1964" priority="1681">
      <formula>SEARCH("IN CORSO",$M59)&gt;0</formula>
    </cfRule>
    <cfRule type="expression" dxfId="1963" priority="1682">
      <formula>SEARCH("CHIUSO",$M59)&gt;0</formula>
    </cfRule>
    <cfRule type="expression" dxfId="1962" priority="1683">
      <formula>SEARCH("EMESSO",$M59)&gt;0</formula>
    </cfRule>
    <cfRule type="expression" dxfId="1961" priority="1684">
      <formula>SEARCH("RICHIESTO",$M59)&gt;0</formula>
    </cfRule>
    <cfRule type="expression" dxfId="1960" priority="1685">
      <formula>SEARCH("DA CHIUDERE",$M59)&gt;0</formula>
    </cfRule>
    <cfRule type="expression" dxfId="1959" priority="1686">
      <formula>SEARCH("INTERROTTO",$M59)&gt;0</formula>
    </cfRule>
  </conditionalFormatting>
  <conditionalFormatting sqref="E59">
    <cfRule type="expression" dxfId="1958" priority="1687">
      <formula>SEARCH("IN CORSO",$M59)&gt;0</formula>
    </cfRule>
    <cfRule type="expression" dxfId="1957" priority="1688">
      <formula>SEARCH("CHIUSO",$M59)&gt;0</formula>
    </cfRule>
    <cfRule type="expression" dxfId="1956" priority="1689">
      <formula>SEARCH("EMESSO",$M59)&gt;0</formula>
    </cfRule>
    <cfRule type="expression" dxfId="1955" priority="1690">
      <formula>SEARCH("RICHIESTO",$M59)&gt;0</formula>
    </cfRule>
    <cfRule type="expression" dxfId="1954" priority="1691">
      <formula>SEARCH("DA CHIUDERE",$M59)&gt;0</formula>
    </cfRule>
    <cfRule type="expression" dxfId="1953" priority="1692">
      <formula>SEARCH("INTERROTTO",$M59)&gt;0</formula>
    </cfRule>
  </conditionalFormatting>
  <conditionalFormatting sqref="F59">
    <cfRule type="expression" dxfId="1952" priority="1675">
      <formula>SEARCH("IN CORSO",$M59)&gt;0</formula>
    </cfRule>
    <cfRule type="expression" dxfId="1951" priority="1676">
      <formula>SEARCH("CHIUSO",$M59)&gt;0</formula>
    </cfRule>
    <cfRule type="expression" dxfId="1950" priority="1677">
      <formula>SEARCH("EMESSO",$M59)&gt;0</formula>
    </cfRule>
    <cfRule type="expression" dxfId="1949" priority="1678">
      <formula>SEARCH("RICHIESTO",$M59)&gt;0</formula>
    </cfRule>
    <cfRule type="expression" dxfId="1948" priority="1679">
      <formula>SEARCH("DA CHIUDERE",$M59)&gt;0</formula>
    </cfRule>
    <cfRule type="expression" dxfId="1947" priority="1680">
      <formula>SEARCH("INTERROTTO",$M59)&gt;0</formula>
    </cfRule>
  </conditionalFormatting>
  <conditionalFormatting sqref="M59">
    <cfRule type="expression" dxfId="1946" priority="1669">
      <formula>SEARCH("IN CORSO",$M59)&gt;0</formula>
    </cfRule>
    <cfRule type="expression" dxfId="1945" priority="1670">
      <formula>SEARCH("CHIUSO",$M59)&gt;0</formula>
    </cfRule>
    <cfRule type="expression" dxfId="1944" priority="1671">
      <formula>SEARCH("EMESSO",$M59)&gt;0</formula>
    </cfRule>
    <cfRule type="expression" dxfId="1943" priority="1672">
      <formula>SEARCH("RICHIESTO",$M59)&gt;0</formula>
    </cfRule>
    <cfRule type="expression" dxfId="1942" priority="1673">
      <formula>SEARCH("DA CHIUDERE",$M59)&gt;0</formula>
    </cfRule>
    <cfRule type="expression" dxfId="1941" priority="1674">
      <formula>SEARCH("INTERROTTO",$M59)&gt;0</formula>
    </cfRule>
  </conditionalFormatting>
  <conditionalFormatting sqref="N58:S58">
    <cfRule type="expression" dxfId="1940" priority="1663">
      <formula>SEARCH("IN CORSO",$M58)&gt;0</formula>
    </cfRule>
    <cfRule type="expression" dxfId="1939" priority="1664">
      <formula>SEARCH("CHIUSO",$M58)&gt;0</formula>
    </cfRule>
    <cfRule type="expression" dxfId="1938" priority="1665">
      <formula>SEARCH("EMESSO",$M58)&gt;0</formula>
    </cfRule>
    <cfRule type="expression" dxfId="1937" priority="1666">
      <formula>SEARCH("RICHIESTO",$M58)&gt;0</formula>
    </cfRule>
    <cfRule type="expression" dxfId="1936" priority="1667">
      <formula>SEARCH("DA CHIUDERE",$M58)&gt;0</formula>
    </cfRule>
    <cfRule type="expression" dxfId="1935" priority="1668">
      <formula>SEARCH("INTERROTTO",$M58)&gt;0</formula>
    </cfRule>
  </conditionalFormatting>
  <conditionalFormatting sqref="G58">
    <cfRule type="expression" dxfId="1934" priority="1651">
      <formula>SEARCH("IN CORSO",$M58)&gt;0</formula>
    </cfRule>
    <cfRule type="expression" dxfId="1933" priority="1652">
      <formula>SEARCH("CHIUSO",$M58)&gt;0</formula>
    </cfRule>
    <cfRule type="expression" dxfId="1932" priority="1653">
      <formula>SEARCH("EMESSO",$M58)&gt;0</formula>
    </cfRule>
    <cfRule type="expression" dxfId="1931" priority="1654">
      <formula>SEARCH("RICHIESTO",$M58)&gt;0</formula>
    </cfRule>
    <cfRule type="expression" dxfId="1930" priority="1655">
      <formula>SEARCH("DA CHIUDERE",$M58)&gt;0</formula>
    </cfRule>
    <cfRule type="expression" dxfId="1929" priority="1656">
      <formula>SEARCH("INTERROTTO",$M58)&gt;0</formula>
    </cfRule>
  </conditionalFormatting>
  <conditionalFormatting sqref="E58">
    <cfRule type="expression" dxfId="1928" priority="1657">
      <formula>SEARCH("IN CORSO",$M58)&gt;0</formula>
    </cfRule>
    <cfRule type="expression" dxfId="1927" priority="1658">
      <formula>SEARCH("CHIUSO",$M58)&gt;0</formula>
    </cfRule>
    <cfRule type="expression" dxfId="1926" priority="1659">
      <formula>SEARCH("EMESSO",$M58)&gt;0</formula>
    </cfRule>
    <cfRule type="expression" dxfId="1925" priority="1660">
      <formula>SEARCH("RICHIESTO",$M58)&gt;0</formula>
    </cfRule>
    <cfRule type="expression" dxfId="1924" priority="1661">
      <formula>SEARCH("DA CHIUDERE",$M58)&gt;0</formula>
    </cfRule>
    <cfRule type="expression" dxfId="1923" priority="1662">
      <formula>SEARCH("INTERROTTO",$M58)&gt;0</formula>
    </cfRule>
  </conditionalFormatting>
  <conditionalFormatting sqref="F58">
    <cfRule type="expression" dxfId="1922" priority="1645">
      <formula>SEARCH("IN CORSO",$M58)&gt;0</formula>
    </cfRule>
    <cfRule type="expression" dxfId="1921" priority="1646">
      <formula>SEARCH("CHIUSO",$M58)&gt;0</formula>
    </cfRule>
    <cfRule type="expression" dxfId="1920" priority="1647">
      <formula>SEARCH("EMESSO",$M58)&gt;0</formula>
    </cfRule>
    <cfRule type="expression" dxfId="1919" priority="1648">
      <formula>SEARCH("RICHIESTO",$M58)&gt;0</formula>
    </cfRule>
    <cfRule type="expression" dxfId="1918" priority="1649">
      <formula>SEARCH("DA CHIUDERE",$M58)&gt;0</formula>
    </cfRule>
    <cfRule type="expression" dxfId="1917" priority="1650">
      <formula>SEARCH("INTERROTTO",$M58)&gt;0</formula>
    </cfRule>
  </conditionalFormatting>
  <conditionalFormatting sqref="M58">
    <cfRule type="expression" dxfId="1916" priority="1639">
      <formula>SEARCH("IN CORSO",$M58)&gt;0</formula>
    </cfRule>
    <cfRule type="expression" dxfId="1915" priority="1640">
      <formula>SEARCH("CHIUSO",$M58)&gt;0</formula>
    </cfRule>
    <cfRule type="expression" dxfId="1914" priority="1641">
      <formula>SEARCH("EMESSO",$M58)&gt;0</formula>
    </cfRule>
    <cfRule type="expression" dxfId="1913" priority="1642">
      <formula>SEARCH("RICHIESTO",$M58)&gt;0</formula>
    </cfRule>
    <cfRule type="expression" dxfId="1912" priority="1643">
      <formula>SEARCH("DA CHIUDERE",$M58)&gt;0</formula>
    </cfRule>
    <cfRule type="expression" dxfId="1911" priority="1644">
      <formula>SEARCH("INTERROTTO",$M58)&gt;0</formula>
    </cfRule>
  </conditionalFormatting>
  <conditionalFormatting sqref="N57:S57">
    <cfRule type="expression" dxfId="1910" priority="1633">
      <formula>SEARCH("IN CORSO",$M57)&gt;0</formula>
    </cfRule>
    <cfRule type="expression" dxfId="1909" priority="1634">
      <formula>SEARCH("CHIUSO",$M57)&gt;0</formula>
    </cfRule>
    <cfRule type="expression" dxfId="1908" priority="1635">
      <formula>SEARCH("EMESSO",$M57)&gt;0</formula>
    </cfRule>
    <cfRule type="expression" dxfId="1907" priority="1636">
      <formula>SEARCH("RICHIESTO",$M57)&gt;0</formula>
    </cfRule>
    <cfRule type="expression" dxfId="1906" priority="1637">
      <formula>SEARCH("DA CHIUDERE",$M57)&gt;0</formula>
    </cfRule>
    <cfRule type="expression" dxfId="1905" priority="1638">
      <formula>SEARCH("INTERROTTO",$M57)&gt;0</formula>
    </cfRule>
  </conditionalFormatting>
  <conditionalFormatting sqref="G57">
    <cfRule type="expression" dxfId="1904" priority="1621">
      <formula>SEARCH("IN CORSO",$M57)&gt;0</formula>
    </cfRule>
    <cfRule type="expression" dxfId="1903" priority="1622">
      <formula>SEARCH("CHIUSO",$M57)&gt;0</formula>
    </cfRule>
    <cfRule type="expression" dxfId="1902" priority="1623">
      <formula>SEARCH("EMESSO",$M57)&gt;0</formula>
    </cfRule>
    <cfRule type="expression" dxfId="1901" priority="1624">
      <formula>SEARCH("RICHIESTO",$M57)&gt;0</formula>
    </cfRule>
    <cfRule type="expression" dxfId="1900" priority="1625">
      <formula>SEARCH("DA CHIUDERE",$M57)&gt;0</formula>
    </cfRule>
    <cfRule type="expression" dxfId="1899" priority="1626">
      <formula>SEARCH("INTERROTTO",$M57)&gt;0</formula>
    </cfRule>
  </conditionalFormatting>
  <conditionalFormatting sqref="E57">
    <cfRule type="expression" dxfId="1898" priority="1627">
      <formula>SEARCH("IN CORSO",$M57)&gt;0</formula>
    </cfRule>
    <cfRule type="expression" dxfId="1897" priority="1628">
      <formula>SEARCH("CHIUSO",$M57)&gt;0</formula>
    </cfRule>
    <cfRule type="expression" dxfId="1896" priority="1629">
      <formula>SEARCH("EMESSO",$M57)&gt;0</formula>
    </cfRule>
    <cfRule type="expression" dxfId="1895" priority="1630">
      <formula>SEARCH("RICHIESTO",$M57)&gt;0</formula>
    </cfRule>
    <cfRule type="expression" dxfId="1894" priority="1631">
      <formula>SEARCH("DA CHIUDERE",$M57)&gt;0</formula>
    </cfRule>
    <cfRule type="expression" dxfId="1893" priority="1632">
      <formula>SEARCH("INTERROTTO",$M57)&gt;0</formula>
    </cfRule>
  </conditionalFormatting>
  <conditionalFormatting sqref="F57">
    <cfRule type="expression" dxfId="1892" priority="1615">
      <formula>SEARCH("IN CORSO",$M57)&gt;0</formula>
    </cfRule>
    <cfRule type="expression" dxfId="1891" priority="1616">
      <formula>SEARCH("CHIUSO",$M57)&gt;0</formula>
    </cfRule>
    <cfRule type="expression" dxfId="1890" priority="1617">
      <formula>SEARCH("EMESSO",$M57)&gt;0</formula>
    </cfRule>
    <cfRule type="expression" dxfId="1889" priority="1618">
      <formula>SEARCH("RICHIESTO",$M57)&gt;0</formula>
    </cfRule>
    <cfRule type="expression" dxfId="1888" priority="1619">
      <formula>SEARCH("DA CHIUDERE",$M57)&gt;0</formula>
    </cfRule>
    <cfRule type="expression" dxfId="1887" priority="1620">
      <formula>SEARCH("INTERROTTO",$M57)&gt;0</formula>
    </cfRule>
  </conditionalFormatting>
  <conditionalFormatting sqref="M57">
    <cfRule type="expression" dxfId="1886" priority="1609">
      <formula>SEARCH("IN CORSO",$M57)&gt;0</formula>
    </cfRule>
    <cfRule type="expression" dxfId="1885" priority="1610">
      <formula>SEARCH("CHIUSO",$M57)&gt;0</formula>
    </cfRule>
    <cfRule type="expression" dxfId="1884" priority="1611">
      <formula>SEARCH("EMESSO",$M57)&gt;0</formula>
    </cfRule>
    <cfRule type="expression" dxfId="1883" priority="1612">
      <formula>SEARCH("RICHIESTO",$M57)&gt;0</formula>
    </cfRule>
    <cfRule type="expression" dxfId="1882" priority="1613">
      <formula>SEARCH("DA CHIUDERE",$M57)&gt;0</formula>
    </cfRule>
    <cfRule type="expression" dxfId="1881" priority="1614">
      <formula>SEARCH("INTERROTTO",$M57)&gt;0</formula>
    </cfRule>
  </conditionalFormatting>
  <conditionalFormatting sqref="N56:S56">
    <cfRule type="expression" dxfId="1880" priority="1603">
      <formula>SEARCH("IN CORSO",$M56)&gt;0</formula>
    </cfRule>
    <cfRule type="expression" dxfId="1879" priority="1604">
      <formula>SEARCH("CHIUSO",$M56)&gt;0</formula>
    </cfRule>
    <cfRule type="expression" dxfId="1878" priority="1605">
      <formula>SEARCH("EMESSO",$M56)&gt;0</formula>
    </cfRule>
    <cfRule type="expression" dxfId="1877" priority="1606">
      <formula>SEARCH("RICHIESTO",$M56)&gt;0</formula>
    </cfRule>
    <cfRule type="expression" dxfId="1876" priority="1607">
      <formula>SEARCH("DA CHIUDERE",$M56)&gt;0</formula>
    </cfRule>
    <cfRule type="expression" dxfId="1875" priority="1608">
      <formula>SEARCH("INTERROTTO",$M56)&gt;0</formula>
    </cfRule>
  </conditionalFormatting>
  <conditionalFormatting sqref="G56">
    <cfRule type="expression" dxfId="1874" priority="1591">
      <formula>SEARCH("IN CORSO",$M56)&gt;0</formula>
    </cfRule>
    <cfRule type="expression" dxfId="1873" priority="1592">
      <formula>SEARCH("CHIUSO",$M56)&gt;0</formula>
    </cfRule>
    <cfRule type="expression" dxfId="1872" priority="1593">
      <formula>SEARCH("EMESSO",$M56)&gt;0</formula>
    </cfRule>
    <cfRule type="expression" dxfId="1871" priority="1594">
      <formula>SEARCH("RICHIESTO",$M56)&gt;0</formula>
    </cfRule>
    <cfRule type="expression" dxfId="1870" priority="1595">
      <formula>SEARCH("DA CHIUDERE",$M56)&gt;0</formula>
    </cfRule>
    <cfRule type="expression" dxfId="1869" priority="1596">
      <formula>SEARCH("INTERROTTO",$M56)&gt;0</formula>
    </cfRule>
  </conditionalFormatting>
  <conditionalFormatting sqref="E56">
    <cfRule type="expression" dxfId="1868" priority="1597">
      <formula>SEARCH("IN CORSO",$M56)&gt;0</formula>
    </cfRule>
    <cfRule type="expression" dxfId="1867" priority="1598">
      <formula>SEARCH("CHIUSO",$M56)&gt;0</formula>
    </cfRule>
    <cfRule type="expression" dxfId="1866" priority="1599">
      <formula>SEARCH("EMESSO",$M56)&gt;0</formula>
    </cfRule>
    <cfRule type="expression" dxfId="1865" priority="1600">
      <formula>SEARCH("RICHIESTO",$M56)&gt;0</formula>
    </cfRule>
    <cfRule type="expression" dxfId="1864" priority="1601">
      <formula>SEARCH("DA CHIUDERE",$M56)&gt;0</formula>
    </cfRule>
    <cfRule type="expression" dxfId="1863" priority="1602">
      <formula>SEARCH("INTERROTTO",$M56)&gt;0</formula>
    </cfRule>
  </conditionalFormatting>
  <conditionalFormatting sqref="F56">
    <cfRule type="expression" dxfId="1862" priority="1585">
      <formula>SEARCH("IN CORSO",$M56)&gt;0</formula>
    </cfRule>
    <cfRule type="expression" dxfId="1861" priority="1586">
      <formula>SEARCH("CHIUSO",$M56)&gt;0</formula>
    </cfRule>
    <cfRule type="expression" dxfId="1860" priority="1587">
      <formula>SEARCH("EMESSO",$M56)&gt;0</formula>
    </cfRule>
    <cfRule type="expression" dxfId="1859" priority="1588">
      <formula>SEARCH("RICHIESTO",$M56)&gt;0</formula>
    </cfRule>
    <cfRule type="expression" dxfId="1858" priority="1589">
      <formula>SEARCH("DA CHIUDERE",$M56)&gt;0</formula>
    </cfRule>
    <cfRule type="expression" dxfId="1857" priority="1590">
      <formula>SEARCH("INTERROTTO",$M56)&gt;0</formula>
    </cfRule>
  </conditionalFormatting>
  <conditionalFormatting sqref="M56">
    <cfRule type="expression" dxfId="1856" priority="1579">
      <formula>SEARCH("IN CORSO",$M56)&gt;0</formula>
    </cfRule>
    <cfRule type="expression" dxfId="1855" priority="1580">
      <formula>SEARCH("CHIUSO",$M56)&gt;0</formula>
    </cfRule>
    <cfRule type="expression" dxfId="1854" priority="1581">
      <formula>SEARCH("EMESSO",$M56)&gt;0</formula>
    </cfRule>
    <cfRule type="expression" dxfId="1853" priority="1582">
      <formula>SEARCH("RICHIESTO",$M56)&gt;0</formula>
    </cfRule>
    <cfRule type="expression" dxfId="1852" priority="1583">
      <formula>SEARCH("DA CHIUDERE",$M56)&gt;0</formula>
    </cfRule>
    <cfRule type="expression" dxfId="1851" priority="1584">
      <formula>SEARCH("INTERROTTO",$M56)&gt;0</formula>
    </cfRule>
  </conditionalFormatting>
  <conditionalFormatting sqref="N55:S55">
    <cfRule type="expression" dxfId="1850" priority="1573">
      <formula>SEARCH("IN CORSO",$M55)&gt;0</formula>
    </cfRule>
    <cfRule type="expression" dxfId="1849" priority="1574">
      <formula>SEARCH("CHIUSO",$M55)&gt;0</formula>
    </cfRule>
    <cfRule type="expression" dxfId="1848" priority="1575">
      <formula>SEARCH("EMESSO",$M55)&gt;0</formula>
    </cfRule>
    <cfRule type="expression" dxfId="1847" priority="1576">
      <formula>SEARCH("RICHIESTO",$M55)&gt;0</formula>
    </cfRule>
    <cfRule type="expression" dxfId="1846" priority="1577">
      <formula>SEARCH("DA CHIUDERE",$M55)&gt;0</formula>
    </cfRule>
    <cfRule type="expression" dxfId="1845" priority="1578">
      <formula>SEARCH("INTERROTTO",$M55)&gt;0</formula>
    </cfRule>
  </conditionalFormatting>
  <conditionalFormatting sqref="G55">
    <cfRule type="expression" dxfId="1844" priority="1561">
      <formula>SEARCH("IN CORSO",$M55)&gt;0</formula>
    </cfRule>
    <cfRule type="expression" dxfId="1843" priority="1562">
      <formula>SEARCH("CHIUSO",$M55)&gt;0</formula>
    </cfRule>
    <cfRule type="expression" dxfId="1842" priority="1563">
      <formula>SEARCH("EMESSO",$M55)&gt;0</formula>
    </cfRule>
    <cfRule type="expression" dxfId="1841" priority="1564">
      <formula>SEARCH("RICHIESTO",$M55)&gt;0</formula>
    </cfRule>
    <cfRule type="expression" dxfId="1840" priority="1565">
      <formula>SEARCH("DA CHIUDERE",$M55)&gt;0</formula>
    </cfRule>
    <cfRule type="expression" dxfId="1839" priority="1566">
      <formula>SEARCH("INTERROTTO",$M55)&gt;0</formula>
    </cfRule>
  </conditionalFormatting>
  <conditionalFormatting sqref="E55">
    <cfRule type="expression" dxfId="1838" priority="1567">
      <formula>SEARCH("IN CORSO",$M55)&gt;0</formula>
    </cfRule>
    <cfRule type="expression" dxfId="1837" priority="1568">
      <formula>SEARCH("CHIUSO",$M55)&gt;0</formula>
    </cfRule>
    <cfRule type="expression" dxfId="1836" priority="1569">
      <formula>SEARCH("EMESSO",$M55)&gt;0</formula>
    </cfRule>
    <cfRule type="expression" dxfId="1835" priority="1570">
      <formula>SEARCH("RICHIESTO",$M55)&gt;0</formula>
    </cfRule>
    <cfRule type="expression" dxfId="1834" priority="1571">
      <formula>SEARCH("DA CHIUDERE",$M55)&gt;0</formula>
    </cfRule>
    <cfRule type="expression" dxfId="1833" priority="1572">
      <formula>SEARCH("INTERROTTO",$M55)&gt;0</formula>
    </cfRule>
  </conditionalFormatting>
  <conditionalFormatting sqref="F55">
    <cfRule type="expression" dxfId="1832" priority="1555">
      <formula>SEARCH("IN CORSO",$M55)&gt;0</formula>
    </cfRule>
    <cfRule type="expression" dxfId="1831" priority="1556">
      <formula>SEARCH("CHIUSO",$M55)&gt;0</formula>
    </cfRule>
    <cfRule type="expression" dxfId="1830" priority="1557">
      <formula>SEARCH("EMESSO",$M55)&gt;0</formula>
    </cfRule>
    <cfRule type="expression" dxfId="1829" priority="1558">
      <formula>SEARCH("RICHIESTO",$M55)&gt;0</formula>
    </cfRule>
    <cfRule type="expression" dxfId="1828" priority="1559">
      <formula>SEARCH("DA CHIUDERE",$M55)&gt;0</formula>
    </cfRule>
    <cfRule type="expression" dxfId="1827" priority="1560">
      <formula>SEARCH("INTERROTTO",$M55)&gt;0</formula>
    </cfRule>
  </conditionalFormatting>
  <conditionalFormatting sqref="M55">
    <cfRule type="expression" dxfId="1826" priority="1549">
      <formula>SEARCH("IN CORSO",$M55)&gt;0</formula>
    </cfRule>
    <cfRule type="expression" dxfId="1825" priority="1550">
      <formula>SEARCH("CHIUSO",$M55)&gt;0</formula>
    </cfRule>
    <cfRule type="expression" dxfId="1824" priority="1551">
      <formula>SEARCH("EMESSO",$M55)&gt;0</formula>
    </cfRule>
    <cfRule type="expression" dxfId="1823" priority="1552">
      <formula>SEARCH("RICHIESTO",$M55)&gt;0</formula>
    </cfRule>
    <cfRule type="expression" dxfId="1822" priority="1553">
      <formula>SEARCH("DA CHIUDERE",$M55)&gt;0</formula>
    </cfRule>
    <cfRule type="expression" dxfId="1821" priority="1554">
      <formula>SEARCH("INTERROTTO",$M55)&gt;0</formula>
    </cfRule>
  </conditionalFormatting>
  <conditionalFormatting sqref="N54:S54">
    <cfRule type="expression" dxfId="1820" priority="1543">
      <formula>SEARCH("IN CORSO",$M54)&gt;0</formula>
    </cfRule>
    <cfRule type="expression" dxfId="1819" priority="1544">
      <formula>SEARCH("CHIUSO",$M54)&gt;0</formula>
    </cfRule>
    <cfRule type="expression" dxfId="1818" priority="1545">
      <formula>SEARCH("EMESSO",$M54)&gt;0</formula>
    </cfRule>
    <cfRule type="expression" dxfId="1817" priority="1546">
      <formula>SEARCH("RICHIESTO",$M54)&gt;0</formula>
    </cfRule>
    <cfRule type="expression" dxfId="1816" priority="1547">
      <formula>SEARCH("DA CHIUDERE",$M54)&gt;0</formula>
    </cfRule>
    <cfRule type="expression" dxfId="1815" priority="1548">
      <formula>SEARCH("INTERROTTO",$M54)&gt;0</formula>
    </cfRule>
  </conditionalFormatting>
  <conditionalFormatting sqref="G54">
    <cfRule type="expression" dxfId="1814" priority="1531">
      <formula>SEARCH("IN CORSO",$M54)&gt;0</formula>
    </cfRule>
    <cfRule type="expression" dxfId="1813" priority="1532">
      <formula>SEARCH("CHIUSO",$M54)&gt;0</formula>
    </cfRule>
    <cfRule type="expression" dxfId="1812" priority="1533">
      <formula>SEARCH("EMESSO",$M54)&gt;0</formula>
    </cfRule>
    <cfRule type="expression" dxfId="1811" priority="1534">
      <formula>SEARCH("RICHIESTO",$M54)&gt;0</formula>
    </cfRule>
    <cfRule type="expression" dxfId="1810" priority="1535">
      <formula>SEARCH("DA CHIUDERE",$M54)&gt;0</formula>
    </cfRule>
    <cfRule type="expression" dxfId="1809" priority="1536">
      <formula>SEARCH("INTERROTTO",$M54)&gt;0</formula>
    </cfRule>
  </conditionalFormatting>
  <conditionalFormatting sqref="E54">
    <cfRule type="expression" dxfId="1808" priority="1537">
      <formula>SEARCH("IN CORSO",$M54)&gt;0</formula>
    </cfRule>
    <cfRule type="expression" dxfId="1807" priority="1538">
      <formula>SEARCH("CHIUSO",$M54)&gt;0</formula>
    </cfRule>
    <cfRule type="expression" dxfId="1806" priority="1539">
      <formula>SEARCH("EMESSO",$M54)&gt;0</formula>
    </cfRule>
    <cfRule type="expression" dxfId="1805" priority="1540">
      <formula>SEARCH("RICHIESTO",$M54)&gt;0</formula>
    </cfRule>
    <cfRule type="expression" dxfId="1804" priority="1541">
      <formula>SEARCH("DA CHIUDERE",$M54)&gt;0</formula>
    </cfRule>
    <cfRule type="expression" dxfId="1803" priority="1542">
      <formula>SEARCH("INTERROTTO",$M54)&gt;0</formula>
    </cfRule>
  </conditionalFormatting>
  <conditionalFormatting sqref="F54">
    <cfRule type="expression" dxfId="1802" priority="1525">
      <formula>SEARCH("IN CORSO",$M54)&gt;0</formula>
    </cfRule>
    <cfRule type="expression" dxfId="1801" priority="1526">
      <formula>SEARCH("CHIUSO",$M54)&gt;0</formula>
    </cfRule>
    <cfRule type="expression" dxfId="1800" priority="1527">
      <formula>SEARCH("EMESSO",$M54)&gt;0</formula>
    </cfRule>
    <cfRule type="expression" dxfId="1799" priority="1528">
      <formula>SEARCH("RICHIESTO",$M54)&gt;0</formula>
    </cfRule>
    <cfRule type="expression" dxfId="1798" priority="1529">
      <formula>SEARCH("DA CHIUDERE",$M54)&gt;0</formula>
    </cfRule>
    <cfRule type="expression" dxfId="1797" priority="1530">
      <formula>SEARCH("INTERROTTO",$M54)&gt;0</formula>
    </cfRule>
  </conditionalFormatting>
  <conditionalFormatting sqref="M54">
    <cfRule type="expression" dxfId="1796" priority="1519">
      <formula>SEARCH("IN CORSO",$M54)&gt;0</formula>
    </cfRule>
    <cfRule type="expression" dxfId="1795" priority="1520">
      <formula>SEARCH("CHIUSO",$M54)&gt;0</formula>
    </cfRule>
    <cfRule type="expression" dxfId="1794" priority="1521">
      <formula>SEARCH("EMESSO",$M54)&gt;0</formula>
    </cfRule>
    <cfRule type="expression" dxfId="1793" priority="1522">
      <formula>SEARCH("RICHIESTO",$M54)&gt;0</formula>
    </cfRule>
    <cfRule type="expression" dxfId="1792" priority="1523">
      <formula>SEARCH("DA CHIUDERE",$M54)&gt;0</formula>
    </cfRule>
    <cfRule type="expression" dxfId="1791" priority="1524">
      <formula>SEARCH("INTERROTTO",$M54)&gt;0</formula>
    </cfRule>
  </conditionalFormatting>
  <conditionalFormatting sqref="N53:S53">
    <cfRule type="expression" dxfId="1790" priority="1513">
      <formula>SEARCH("IN CORSO",$M53)&gt;0</formula>
    </cfRule>
    <cfRule type="expression" dxfId="1789" priority="1514">
      <formula>SEARCH("CHIUSO",$M53)&gt;0</formula>
    </cfRule>
    <cfRule type="expression" dxfId="1788" priority="1515">
      <formula>SEARCH("EMESSO",$M53)&gt;0</formula>
    </cfRule>
    <cfRule type="expression" dxfId="1787" priority="1516">
      <formula>SEARCH("RICHIESTO",$M53)&gt;0</formula>
    </cfRule>
    <cfRule type="expression" dxfId="1786" priority="1517">
      <formula>SEARCH("DA CHIUDERE",$M53)&gt;0</formula>
    </cfRule>
    <cfRule type="expression" dxfId="1785" priority="1518">
      <formula>SEARCH("INTERROTTO",$M53)&gt;0</formula>
    </cfRule>
  </conditionalFormatting>
  <conditionalFormatting sqref="G53">
    <cfRule type="expression" dxfId="1784" priority="1501">
      <formula>SEARCH("IN CORSO",$M53)&gt;0</formula>
    </cfRule>
    <cfRule type="expression" dxfId="1783" priority="1502">
      <formula>SEARCH("CHIUSO",$M53)&gt;0</formula>
    </cfRule>
    <cfRule type="expression" dxfId="1782" priority="1503">
      <formula>SEARCH("EMESSO",$M53)&gt;0</formula>
    </cfRule>
    <cfRule type="expression" dxfId="1781" priority="1504">
      <formula>SEARCH("RICHIESTO",$M53)&gt;0</formula>
    </cfRule>
    <cfRule type="expression" dxfId="1780" priority="1505">
      <formula>SEARCH("DA CHIUDERE",$M53)&gt;0</formula>
    </cfRule>
    <cfRule type="expression" dxfId="1779" priority="1506">
      <formula>SEARCH("INTERROTTO",$M53)&gt;0</formula>
    </cfRule>
  </conditionalFormatting>
  <conditionalFormatting sqref="E53">
    <cfRule type="expression" dxfId="1778" priority="1507">
      <formula>SEARCH("IN CORSO",$M53)&gt;0</formula>
    </cfRule>
    <cfRule type="expression" dxfId="1777" priority="1508">
      <formula>SEARCH("CHIUSO",$M53)&gt;0</formula>
    </cfRule>
    <cfRule type="expression" dxfId="1776" priority="1509">
      <formula>SEARCH("EMESSO",$M53)&gt;0</formula>
    </cfRule>
    <cfRule type="expression" dxfId="1775" priority="1510">
      <formula>SEARCH("RICHIESTO",$M53)&gt;0</formula>
    </cfRule>
    <cfRule type="expression" dxfId="1774" priority="1511">
      <formula>SEARCH("DA CHIUDERE",$M53)&gt;0</formula>
    </cfRule>
    <cfRule type="expression" dxfId="1773" priority="1512">
      <formula>SEARCH("INTERROTTO",$M53)&gt;0</formula>
    </cfRule>
  </conditionalFormatting>
  <conditionalFormatting sqref="F53">
    <cfRule type="expression" dxfId="1772" priority="1495">
      <formula>SEARCH("IN CORSO",$M53)&gt;0</formula>
    </cfRule>
    <cfRule type="expression" dxfId="1771" priority="1496">
      <formula>SEARCH("CHIUSO",$M53)&gt;0</formula>
    </cfRule>
    <cfRule type="expression" dxfId="1770" priority="1497">
      <formula>SEARCH("EMESSO",$M53)&gt;0</formula>
    </cfRule>
    <cfRule type="expression" dxfId="1769" priority="1498">
      <formula>SEARCH("RICHIESTO",$M53)&gt;0</formula>
    </cfRule>
    <cfRule type="expression" dxfId="1768" priority="1499">
      <formula>SEARCH("DA CHIUDERE",$M53)&gt;0</formula>
    </cfRule>
    <cfRule type="expression" dxfId="1767" priority="1500">
      <formula>SEARCH("INTERROTTO",$M53)&gt;0</formula>
    </cfRule>
  </conditionalFormatting>
  <conditionalFormatting sqref="M53">
    <cfRule type="expression" dxfId="1766" priority="1489">
      <formula>SEARCH("IN CORSO",$M53)&gt;0</formula>
    </cfRule>
    <cfRule type="expression" dxfId="1765" priority="1490">
      <formula>SEARCH("CHIUSO",$M53)&gt;0</formula>
    </cfRule>
    <cfRule type="expression" dxfId="1764" priority="1491">
      <formula>SEARCH("EMESSO",$M53)&gt;0</formula>
    </cfRule>
    <cfRule type="expression" dxfId="1763" priority="1492">
      <formula>SEARCH("RICHIESTO",$M53)&gt;0</formula>
    </cfRule>
    <cfRule type="expression" dxfId="1762" priority="1493">
      <formula>SEARCH("DA CHIUDERE",$M53)&gt;0</formula>
    </cfRule>
    <cfRule type="expression" dxfId="1761" priority="1494">
      <formula>SEARCH("INTERROTTO",$M53)&gt;0</formula>
    </cfRule>
  </conditionalFormatting>
  <conditionalFormatting sqref="N52:S52">
    <cfRule type="expression" dxfId="1760" priority="1483">
      <formula>SEARCH("IN CORSO",$M52)&gt;0</formula>
    </cfRule>
    <cfRule type="expression" dxfId="1759" priority="1484">
      <formula>SEARCH("CHIUSO",$M52)&gt;0</formula>
    </cfRule>
    <cfRule type="expression" dxfId="1758" priority="1485">
      <formula>SEARCH("EMESSO",$M52)&gt;0</formula>
    </cfRule>
    <cfRule type="expression" dxfId="1757" priority="1486">
      <formula>SEARCH("RICHIESTO",$M52)&gt;0</formula>
    </cfRule>
    <cfRule type="expression" dxfId="1756" priority="1487">
      <formula>SEARCH("DA CHIUDERE",$M52)&gt;0</formula>
    </cfRule>
    <cfRule type="expression" dxfId="1755" priority="1488">
      <formula>SEARCH("INTERROTTO",$M52)&gt;0</formula>
    </cfRule>
  </conditionalFormatting>
  <conditionalFormatting sqref="G52">
    <cfRule type="expression" dxfId="1754" priority="1471">
      <formula>SEARCH("IN CORSO",$M52)&gt;0</formula>
    </cfRule>
    <cfRule type="expression" dxfId="1753" priority="1472">
      <formula>SEARCH("CHIUSO",$M52)&gt;0</formula>
    </cfRule>
    <cfRule type="expression" dxfId="1752" priority="1473">
      <formula>SEARCH("EMESSO",$M52)&gt;0</formula>
    </cfRule>
    <cfRule type="expression" dxfId="1751" priority="1474">
      <formula>SEARCH("RICHIESTO",$M52)&gt;0</formula>
    </cfRule>
    <cfRule type="expression" dxfId="1750" priority="1475">
      <formula>SEARCH("DA CHIUDERE",$M52)&gt;0</formula>
    </cfRule>
    <cfRule type="expression" dxfId="1749" priority="1476">
      <formula>SEARCH("INTERROTTO",$M52)&gt;0</formula>
    </cfRule>
  </conditionalFormatting>
  <conditionalFormatting sqref="E52">
    <cfRule type="expression" dxfId="1748" priority="1477">
      <formula>SEARCH("IN CORSO",$M52)&gt;0</formula>
    </cfRule>
    <cfRule type="expression" dxfId="1747" priority="1478">
      <formula>SEARCH("CHIUSO",$M52)&gt;0</formula>
    </cfRule>
    <cfRule type="expression" dxfId="1746" priority="1479">
      <formula>SEARCH("EMESSO",$M52)&gt;0</formula>
    </cfRule>
    <cfRule type="expression" dxfId="1745" priority="1480">
      <formula>SEARCH("RICHIESTO",$M52)&gt;0</formula>
    </cfRule>
    <cfRule type="expression" dxfId="1744" priority="1481">
      <formula>SEARCH("DA CHIUDERE",$M52)&gt;0</formula>
    </cfRule>
    <cfRule type="expression" dxfId="1743" priority="1482">
      <formula>SEARCH("INTERROTTO",$M52)&gt;0</formula>
    </cfRule>
  </conditionalFormatting>
  <conditionalFormatting sqref="F52">
    <cfRule type="expression" dxfId="1742" priority="1465">
      <formula>SEARCH("IN CORSO",$M52)&gt;0</formula>
    </cfRule>
    <cfRule type="expression" dxfId="1741" priority="1466">
      <formula>SEARCH("CHIUSO",$M52)&gt;0</formula>
    </cfRule>
    <cfRule type="expression" dxfId="1740" priority="1467">
      <formula>SEARCH("EMESSO",$M52)&gt;0</formula>
    </cfRule>
    <cfRule type="expression" dxfId="1739" priority="1468">
      <formula>SEARCH("RICHIESTO",$M52)&gt;0</formula>
    </cfRule>
    <cfRule type="expression" dxfId="1738" priority="1469">
      <formula>SEARCH("DA CHIUDERE",$M52)&gt;0</formula>
    </cfRule>
    <cfRule type="expression" dxfId="1737" priority="1470">
      <formula>SEARCH("INTERROTTO",$M52)&gt;0</formula>
    </cfRule>
  </conditionalFormatting>
  <conditionalFormatting sqref="M52">
    <cfRule type="expression" dxfId="1736" priority="1459">
      <formula>SEARCH("IN CORSO",$M52)&gt;0</formula>
    </cfRule>
    <cfRule type="expression" dxfId="1735" priority="1460">
      <formula>SEARCH("CHIUSO",$M52)&gt;0</formula>
    </cfRule>
    <cfRule type="expression" dxfId="1734" priority="1461">
      <formula>SEARCH("EMESSO",$M52)&gt;0</formula>
    </cfRule>
    <cfRule type="expression" dxfId="1733" priority="1462">
      <formula>SEARCH("RICHIESTO",$M52)&gt;0</formula>
    </cfRule>
    <cfRule type="expression" dxfId="1732" priority="1463">
      <formula>SEARCH("DA CHIUDERE",$M52)&gt;0</formula>
    </cfRule>
    <cfRule type="expression" dxfId="1731" priority="1464">
      <formula>SEARCH("INTERROTTO",$M52)&gt;0</formula>
    </cfRule>
  </conditionalFormatting>
  <conditionalFormatting sqref="N51:S51">
    <cfRule type="expression" dxfId="1730" priority="1453">
      <formula>SEARCH("IN CORSO",$M51)&gt;0</formula>
    </cfRule>
    <cfRule type="expression" dxfId="1729" priority="1454">
      <formula>SEARCH("CHIUSO",$M51)&gt;0</formula>
    </cfRule>
    <cfRule type="expression" dxfId="1728" priority="1455">
      <formula>SEARCH("EMESSO",$M51)&gt;0</formula>
    </cfRule>
    <cfRule type="expression" dxfId="1727" priority="1456">
      <formula>SEARCH("RICHIESTO",$M51)&gt;0</formula>
    </cfRule>
    <cfRule type="expression" dxfId="1726" priority="1457">
      <formula>SEARCH("DA CHIUDERE",$M51)&gt;0</formula>
    </cfRule>
    <cfRule type="expression" dxfId="1725" priority="1458">
      <formula>SEARCH("INTERROTTO",$M51)&gt;0</formula>
    </cfRule>
  </conditionalFormatting>
  <conditionalFormatting sqref="G51">
    <cfRule type="expression" dxfId="1724" priority="1441">
      <formula>SEARCH("IN CORSO",$M51)&gt;0</formula>
    </cfRule>
    <cfRule type="expression" dxfId="1723" priority="1442">
      <formula>SEARCH("CHIUSO",$M51)&gt;0</formula>
    </cfRule>
    <cfRule type="expression" dxfId="1722" priority="1443">
      <formula>SEARCH("EMESSO",$M51)&gt;0</formula>
    </cfRule>
    <cfRule type="expression" dxfId="1721" priority="1444">
      <formula>SEARCH("RICHIESTO",$M51)&gt;0</formula>
    </cfRule>
    <cfRule type="expression" dxfId="1720" priority="1445">
      <formula>SEARCH("DA CHIUDERE",$M51)&gt;0</formula>
    </cfRule>
    <cfRule type="expression" dxfId="1719" priority="1446">
      <formula>SEARCH("INTERROTTO",$M51)&gt;0</formula>
    </cfRule>
  </conditionalFormatting>
  <conditionalFormatting sqref="E51">
    <cfRule type="expression" dxfId="1718" priority="1447">
      <formula>SEARCH("IN CORSO",$M51)&gt;0</formula>
    </cfRule>
    <cfRule type="expression" dxfId="1717" priority="1448">
      <formula>SEARCH("CHIUSO",$M51)&gt;0</formula>
    </cfRule>
    <cfRule type="expression" dxfId="1716" priority="1449">
      <formula>SEARCH("EMESSO",$M51)&gt;0</formula>
    </cfRule>
    <cfRule type="expression" dxfId="1715" priority="1450">
      <formula>SEARCH("RICHIESTO",$M51)&gt;0</formula>
    </cfRule>
    <cfRule type="expression" dxfId="1714" priority="1451">
      <formula>SEARCH("DA CHIUDERE",$M51)&gt;0</formula>
    </cfRule>
    <cfRule type="expression" dxfId="1713" priority="1452">
      <formula>SEARCH("INTERROTTO",$M51)&gt;0</formula>
    </cfRule>
  </conditionalFormatting>
  <conditionalFormatting sqref="F51">
    <cfRule type="expression" dxfId="1712" priority="1435">
      <formula>SEARCH("IN CORSO",$M51)&gt;0</formula>
    </cfRule>
    <cfRule type="expression" dxfId="1711" priority="1436">
      <formula>SEARCH("CHIUSO",$M51)&gt;0</formula>
    </cfRule>
    <cfRule type="expression" dxfId="1710" priority="1437">
      <formula>SEARCH("EMESSO",$M51)&gt;0</formula>
    </cfRule>
    <cfRule type="expression" dxfId="1709" priority="1438">
      <formula>SEARCH("RICHIESTO",$M51)&gt;0</formula>
    </cfRule>
    <cfRule type="expression" dxfId="1708" priority="1439">
      <formula>SEARCH("DA CHIUDERE",$M51)&gt;0</formula>
    </cfRule>
    <cfRule type="expression" dxfId="1707" priority="1440">
      <formula>SEARCH("INTERROTTO",$M51)&gt;0</formula>
    </cfRule>
  </conditionalFormatting>
  <conditionalFormatting sqref="M51">
    <cfRule type="expression" dxfId="1706" priority="1429">
      <formula>SEARCH("IN CORSO",$M51)&gt;0</formula>
    </cfRule>
    <cfRule type="expression" dxfId="1705" priority="1430">
      <formula>SEARCH("CHIUSO",$M51)&gt;0</formula>
    </cfRule>
    <cfRule type="expression" dxfId="1704" priority="1431">
      <formula>SEARCH("EMESSO",$M51)&gt;0</formula>
    </cfRule>
    <cfRule type="expression" dxfId="1703" priority="1432">
      <formula>SEARCH("RICHIESTO",$M51)&gt;0</formula>
    </cfRule>
    <cfRule type="expression" dxfId="1702" priority="1433">
      <formula>SEARCH("DA CHIUDERE",$M51)&gt;0</formula>
    </cfRule>
    <cfRule type="expression" dxfId="1701" priority="1434">
      <formula>SEARCH("INTERROTTO",$M51)&gt;0</formula>
    </cfRule>
  </conditionalFormatting>
  <conditionalFormatting sqref="N50:S50">
    <cfRule type="expression" dxfId="1700" priority="1423">
      <formula>SEARCH("IN CORSO",$M50)&gt;0</formula>
    </cfRule>
    <cfRule type="expression" dxfId="1699" priority="1424">
      <formula>SEARCH("CHIUSO",$M50)&gt;0</formula>
    </cfRule>
    <cfRule type="expression" dxfId="1698" priority="1425">
      <formula>SEARCH("EMESSO",$M50)&gt;0</formula>
    </cfRule>
    <cfRule type="expression" dxfId="1697" priority="1426">
      <formula>SEARCH("RICHIESTO",$M50)&gt;0</formula>
    </cfRule>
    <cfRule type="expression" dxfId="1696" priority="1427">
      <formula>SEARCH("DA CHIUDERE",$M50)&gt;0</formula>
    </cfRule>
    <cfRule type="expression" dxfId="1695" priority="1428">
      <formula>SEARCH("INTERROTTO",$M50)&gt;0</formula>
    </cfRule>
  </conditionalFormatting>
  <conditionalFormatting sqref="G50">
    <cfRule type="expression" dxfId="1694" priority="1411">
      <formula>SEARCH("IN CORSO",$M50)&gt;0</formula>
    </cfRule>
    <cfRule type="expression" dxfId="1693" priority="1412">
      <formula>SEARCH("CHIUSO",$M50)&gt;0</formula>
    </cfRule>
    <cfRule type="expression" dxfId="1692" priority="1413">
      <formula>SEARCH("EMESSO",$M50)&gt;0</formula>
    </cfRule>
    <cfRule type="expression" dxfId="1691" priority="1414">
      <formula>SEARCH("RICHIESTO",$M50)&gt;0</formula>
    </cfRule>
    <cfRule type="expression" dxfId="1690" priority="1415">
      <formula>SEARCH("DA CHIUDERE",$M50)&gt;0</formula>
    </cfRule>
    <cfRule type="expression" dxfId="1689" priority="1416">
      <formula>SEARCH("INTERROTTO",$M50)&gt;0</formula>
    </cfRule>
  </conditionalFormatting>
  <conditionalFormatting sqref="E50">
    <cfRule type="expression" dxfId="1688" priority="1417">
      <formula>SEARCH("IN CORSO",$M50)&gt;0</formula>
    </cfRule>
    <cfRule type="expression" dxfId="1687" priority="1418">
      <formula>SEARCH("CHIUSO",$M50)&gt;0</formula>
    </cfRule>
    <cfRule type="expression" dxfId="1686" priority="1419">
      <formula>SEARCH("EMESSO",$M50)&gt;0</formula>
    </cfRule>
    <cfRule type="expression" dxfId="1685" priority="1420">
      <formula>SEARCH("RICHIESTO",$M50)&gt;0</formula>
    </cfRule>
    <cfRule type="expression" dxfId="1684" priority="1421">
      <formula>SEARCH("DA CHIUDERE",$M50)&gt;0</formula>
    </cfRule>
    <cfRule type="expression" dxfId="1683" priority="1422">
      <formula>SEARCH("INTERROTTO",$M50)&gt;0</formula>
    </cfRule>
  </conditionalFormatting>
  <conditionalFormatting sqref="F50">
    <cfRule type="expression" dxfId="1682" priority="1405">
      <formula>SEARCH("IN CORSO",$M50)&gt;0</formula>
    </cfRule>
    <cfRule type="expression" dxfId="1681" priority="1406">
      <formula>SEARCH("CHIUSO",$M50)&gt;0</formula>
    </cfRule>
    <cfRule type="expression" dxfId="1680" priority="1407">
      <formula>SEARCH("EMESSO",$M50)&gt;0</formula>
    </cfRule>
    <cfRule type="expression" dxfId="1679" priority="1408">
      <formula>SEARCH("RICHIESTO",$M50)&gt;0</formula>
    </cfRule>
    <cfRule type="expression" dxfId="1678" priority="1409">
      <formula>SEARCH("DA CHIUDERE",$M50)&gt;0</formula>
    </cfRule>
    <cfRule type="expression" dxfId="1677" priority="1410">
      <formula>SEARCH("INTERROTTO",$M50)&gt;0</formula>
    </cfRule>
  </conditionalFormatting>
  <conditionalFormatting sqref="M50">
    <cfRule type="expression" dxfId="1676" priority="1399">
      <formula>SEARCH("IN CORSO",$M50)&gt;0</formula>
    </cfRule>
    <cfRule type="expression" dxfId="1675" priority="1400">
      <formula>SEARCH("CHIUSO",$M50)&gt;0</formula>
    </cfRule>
    <cfRule type="expression" dxfId="1674" priority="1401">
      <formula>SEARCH("EMESSO",$M50)&gt;0</formula>
    </cfRule>
    <cfRule type="expression" dxfId="1673" priority="1402">
      <formula>SEARCH("RICHIESTO",$M50)&gt;0</formula>
    </cfRule>
    <cfRule type="expression" dxfId="1672" priority="1403">
      <formula>SEARCH("DA CHIUDERE",$M50)&gt;0</formula>
    </cfRule>
    <cfRule type="expression" dxfId="1671" priority="1404">
      <formula>SEARCH("INTERROTTO",$M50)&gt;0</formula>
    </cfRule>
  </conditionalFormatting>
  <conditionalFormatting sqref="N49:S49">
    <cfRule type="expression" dxfId="1670" priority="1393">
      <formula>SEARCH("IN CORSO",$M49)&gt;0</formula>
    </cfRule>
    <cfRule type="expression" dxfId="1669" priority="1394">
      <formula>SEARCH("CHIUSO",$M49)&gt;0</formula>
    </cfRule>
    <cfRule type="expression" dxfId="1668" priority="1395">
      <formula>SEARCH("EMESSO",$M49)&gt;0</formula>
    </cfRule>
    <cfRule type="expression" dxfId="1667" priority="1396">
      <formula>SEARCH("RICHIESTO",$M49)&gt;0</formula>
    </cfRule>
    <cfRule type="expression" dxfId="1666" priority="1397">
      <formula>SEARCH("DA CHIUDERE",$M49)&gt;0</formula>
    </cfRule>
    <cfRule type="expression" dxfId="1665" priority="1398">
      <formula>SEARCH("INTERROTTO",$M49)&gt;0</formula>
    </cfRule>
  </conditionalFormatting>
  <conditionalFormatting sqref="G49">
    <cfRule type="expression" dxfId="1664" priority="1381">
      <formula>SEARCH("IN CORSO",$M49)&gt;0</formula>
    </cfRule>
    <cfRule type="expression" dxfId="1663" priority="1382">
      <formula>SEARCH("CHIUSO",$M49)&gt;0</formula>
    </cfRule>
    <cfRule type="expression" dxfId="1662" priority="1383">
      <formula>SEARCH("EMESSO",$M49)&gt;0</formula>
    </cfRule>
    <cfRule type="expression" dxfId="1661" priority="1384">
      <formula>SEARCH("RICHIESTO",$M49)&gt;0</formula>
    </cfRule>
    <cfRule type="expression" dxfId="1660" priority="1385">
      <formula>SEARCH("DA CHIUDERE",$M49)&gt;0</formula>
    </cfRule>
    <cfRule type="expression" dxfId="1659" priority="1386">
      <formula>SEARCH("INTERROTTO",$M49)&gt;0</formula>
    </cfRule>
  </conditionalFormatting>
  <conditionalFormatting sqref="E49">
    <cfRule type="expression" dxfId="1658" priority="1387">
      <formula>SEARCH("IN CORSO",$M49)&gt;0</formula>
    </cfRule>
    <cfRule type="expression" dxfId="1657" priority="1388">
      <formula>SEARCH("CHIUSO",$M49)&gt;0</formula>
    </cfRule>
    <cfRule type="expression" dxfId="1656" priority="1389">
      <formula>SEARCH("EMESSO",$M49)&gt;0</formula>
    </cfRule>
    <cfRule type="expression" dxfId="1655" priority="1390">
      <formula>SEARCH("RICHIESTO",$M49)&gt;0</formula>
    </cfRule>
    <cfRule type="expression" dxfId="1654" priority="1391">
      <formula>SEARCH("DA CHIUDERE",$M49)&gt;0</formula>
    </cfRule>
    <cfRule type="expression" dxfId="1653" priority="1392">
      <formula>SEARCH("INTERROTTO",$M49)&gt;0</formula>
    </cfRule>
  </conditionalFormatting>
  <conditionalFormatting sqref="F49">
    <cfRule type="expression" dxfId="1652" priority="1375">
      <formula>SEARCH("IN CORSO",$M49)&gt;0</formula>
    </cfRule>
    <cfRule type="expression" dxfId="1651" priority="1376">
      <formula>SEARCH("CHIUSO",$M49)&gt;0</formula>
    </cfRule>
    <cfRule type="expression" dxfId="1650" priority="1377">
      <formula>SEARCH("EMESSO",$M49)&gt;0</formula>
    </cfRule>
    <cfRule type="expression" dxfId="1649" priority="1378">
      <formula>SEARCH("RICHIESTO",$M49)&gt;0</formula>
    </cfRule>
    <cfRule type="expression" dxfId="1648" priority="1379">
      <formula>SEARCH("DA CHIUDERE",$M49)&gt;0</formula>
    </cfRule>
    <cfRule type="expression" dxfId="1647" priority="1380">
      <formula>SEARCH("INTERROTTO",$M49)&gt;0</formula>
    </cfRule>
  </conditionalFormatting>
  <conditionalFormatting sqref="M49">
    <cfRule type="expression" dxfId="1646" priority="1369">
      <formula>SEARCH("IN CORSO",$M49)&gt;0</formula>
    </cfRule>
    <cfRule type="expression" dxfId="1645" priority="1370">
      <formula>SEARCH("CHIUSO",$M49)&gt;0</formula>
    </cfRule>
    <cfRule type="expression" dxfId="1644" priority="1371">
      <formula>SEARCH("EMESSO",$M49)&gt;0</formula>
    </cfRule>
    <cfRule type="expression" dxfId="1643" priority="1372">
      <formula>SEARCH("RICHIESTO",$M49)&gt;0</formula>
    </cfRule>
    <cfRule type="expression" dxfId="1642" priority="1373">
      <formula>SEARCH("DA CHIUDERE",$M49)&gt;0</formula>
    </cfRule>
    <cfRule type="expression" dxfId="1641" priority="1374">
      <formula>SEARCH("INTERROTTO",$M49)&gt;0</formula>
    </cfRule>
  </conditionalFormatting>
  <conditionalFormatting sqref="N48:S48">
    <cfRule type="expression" dxfId="1640" priority="1363">
      <formula>SEARCH("IN CORSO",$M48)&gt;0</formula>
    </cfRule>
    <cfRule type="expression" dxfId="1639" priority="1364">
      <formula>SEARCH("CHIUSO",$M48)&gt;0</formula>
    </cfRule>
    <cfRule type="expression" dxfId="1638" priority="1365">
      <formula>SEARCH("EMESSO",$M48)&gt;0</formula>
    </cfRule>
    <cfRule type="expression" dxfId="1637" priority="1366">
      <formula>SEARCH("RICHIESTO",$M48)&gt;0</formula>
    </cfRule>
    <cfRule type="expression" dxfId="1636" priority="1367">
      <formula>SEARCH("DA CHIUDERE",$M48)&gt;0</formula>
    </cfRule>
    <cfRule type="expression" dxfId="1635" priority="1368">
      <formula>SEARCH("INTERROTTO",$M48)&gt;0</formula>
    </cfRule>
  </conditionalFormatting>
  <conditionalFormatting sqref="G48">
    <cfRule type="expression" dxfId="1634" priority="1351">
      <formula>SEARCH("IN CORSO",$M48)&gt;0</formula>
    </cfRule>
    <cfRule type="expression" dxfId="1633" priority="1352">
      <formula>SEARCH("CHIUSO",$M48)&gt;0</formula>
    </cfRule>
    <cfRule type="expression" dxfId="1632" priority="1353">
      <formula>SEARCH("EMESSO",$M48)&gt;0</formula>
    </cfRule>
    <cfRule type="expression" dxfId="1631" priority="1354">
      <formula>SEARCH("RICHIESTO",$M48)&gt;0</formula>
    </cfRule>
    <cfRule type="expression" dxfId="1630" priority="1355">
      <formula>SEARCH("DA CHIUDERE",$M48)&gt;0</formula>
    </cfRule>
    <cfRule type="expression" dxfId="1629" priority="1356">
      <formula>SEARCH("INTERROTTO",$M48)&gt;0</formula>
    </cfRule>
  </conditionalFormatting>
  <conditionalFormatting sqref="E48">
    <cfRule type="expression" dxfId="1628" priority="1357">
      <formula>SEARCH("IN CORSO",$M48)&gt;0</formula>
    </cfRule>
    <cfRule type="expression" dxfId="1627" priority="1358">
      <formula>SEARCH("CHIUSO",$M48)&gt;0</formula>
    </cfRule>
    <cfRule type="expression" dxfId="1626" priority="1359">
      <formula>SEARCH("EMESSO",$M48)&gt;0</formula>
    </cfRule>
    <cfRule type="expression" dxfId="1625" priority="1360">
      <formula>SEARCH("RICHIESTO",$M48)&gt;0</formula>
    </cfRule>
    <cfRule type="expression" dxfId="1624" priority="1361">
      <formula>SEARCH("DA CHIUDERE",$M48)&gt;0</formula>
    </cfRule>
    <cfRule type="expression" dxfId="1623" priority="1362">
      <formula>SEARCH("INTERROTTO",$M48)&gt;0</formula>
    </cfRule>
  </conditionalFormatting>
  <conditionalFormatting sqref="F48">
    <cfRule type="expression" dxfId="1622" priority="1345">
      <formula>SEARCH("IN CORSO",$M48)&gt;0</formula>
    </cfRule>
    <cfRule type="expression" dxfId="1621" priority="1346">
      <formula>SEARCH("CHIUSO",$M48)&gt;0</formula>
    </cfRule>
    <cfRule type="expression" dxfId="1620" priority="1347">
      <formula>SEARCH("EMESSO",$M48)&gt;0</formula>
    </cfRule>
    <cfRule type="expression" dxfId="1619" priority="1348">
      <formula>SEARCH("RICHIESTO",$M48)&gt;0</formula>
    </cfRule>
    <cfRule type="expression" dxfId="1618" priority="1349">
      <formula>SEARCH("DA CHIUDERE",$M48)&gt;0</formula>
    </cfRule>
    <cfRule type="expression" dxfId="1617" priority="1350">
      <formula>SEARCH("INTERROTTO",$M48)&gt;0</formula>
    </cfRule>
  </conditionalFormatting>
  <conditionalFormatting sqref="M48">
    <cfRule type="expression" dxfId="1616" priority="1339">
      <formula>SEARCH("IN CORSO",$M48)&gt;0</formula>
    </cfRule>
    <cfRule type="expression" dxfId="1615" priority="1340">
      <formula>SEARCH("CHIUSO",$M48)&gt;0</formula>
    </cfRule>
    <cfRule type="expression" dxfId="1614" priority="1341">
      <formula>SEARCH("EMESSO",$M48)&gt;0</formula>
    </cfRule>
    <cfRule type="expression" dxfId="1613" priority="1342">
      <formula>SEARCH("RICHIESTO",$M48)&gt;0</formula>
    </cfRule>
    <cfRule type="expression" dxfId="1612" priority="1343">
      <formula>SEARCH("DA CHIUDERE",$M48)&gt;0</formula>
    </cfRule>
    <cfRule type="expression" dxfId="1611" priority="1344">
      <formula>SEARCH("INTERROTTO",$M48)&gt;0</formula>
    </cfRule>
  </conditionalFormatting>
  <conditionalFormatting sqref="N47:S47">
    <cfRule type="expression" dxfId="1610" priority="1333">
      <formula>SEARCH("IN CORSO",$M47)&gt;0</formula>
    </cfRule>
    <cfRule type="expression" dxfId="1609" priority="1334">
      <formula>SEARCH("CHIUSO",$M47)&gt;0</formula>
    </cfRule>
    <cfRule type="expression" dxfId="1608" priority="1335">
      <formula>SEARCH("EMESSO",$M47)&gt;0</formula>
    </cfRule>
    <cfRule type="expression" dxfId="1607" priority="1336">
      <formula>SEARCH("RICHIESTO",$M47)&gt;0</formula>
    </cfRule>
    <cfRule type="expression" dxfId="1606" priority="1337">
      <formula>SEARCH("DA CHIUDERE",$M47)&gt;0</formula>
    </cfRule>
    <cfRule type="expression" dxfId="1605" priority="1338">
      <formula>SEARCH("INTERROTTO",$M47)&gt;0</formula>
    </cfRule>
  </conditionalFormatting>
  <conditionalFormatting sqref="G47">
    <cfRule type="expression" dxfId="1604" priority="1321">
      <formula>SEARCH("IN CORSO",$M47)&gt;0</formula>
    </cfRule>
    <cfRule type="expression" dxfId="1603" priority="1322">
      <formula>SEARCH("CHIUSO",$M47)&gt;0</formula>
    </cfRule>
    <cfRule type="expression" dxfId="1602" priority="1323">
      <formula>SEARCH("EMESSO",$M47)&gt;0</formula>
    </cfRule>
    <cfRule type="expression" dxfId="1601" priority="1324">
      <formula>SEARCH("RICHIESTO",$M47)&gt;0</formula>
    </cfRule>
    <cfRule type="expression" dxfId="1600" priority="1325">
      <formula>SEARCH("DA CHIUDERE",$M47)&gt;0</formula>
    </cfRule>
    <cfRule type="expression" dxfId="1599" priority="1326">
      <formula>SEARCH("INTERROTTO",$M47)&gt;0</formula>
    </cfRule>
  </conditionalFormatting>
  <conditionalFormatting sqref="E47">
    <cfRule type="expression" dxfId="1598" priority="1327">
      <formula>SEARCH("IN CORSO",$M47)&gt;0</formula>
    </cfRule>
    <cfRule type="expression" dxfId="1597" priority="1328">
      <formula>SEARCH("CHIUSO",$M47)&gt;0</formula>
    </cfRule>
    <cfRule type="expression" dxfId="1596" priority="1329">
      <formula>SEARCH("EMESSO",$M47)&gt;0</formula>
    </cfRule>
    <cfRule type="expression" dxfId="1595" priority="1330">
      <formula>SEARCH("RICHIESTO",$M47)&gt;0</formula>
    </cfRule>
    <cfRule type="expression" dxfId="1594" priority="1331">
      <formula>SEARCH("DA CHIUDERE",$M47)&gt;0</formula>
    </cfRule>
    <cfRule type="expression" dxfId="1593" priority="1332">
      <formula>SEARCH("INTERROTTO",$M47)&gt;0</formula>
    </cfRule>
  </conditionalFormatting>
  <conditionalFormatting sqref="F47">
    <cfRule type="expression" dxfId="1592" priority="1315">
      <formula>SEARCH("IN CORSO",$M47)&gt;0</formula>
    </cfRule>
    <cfRule type="expression" dxfId="1591" priority="1316">
      <formula>SEARCH("CHIUSO",$M47)&gt;0</formula>
    </cfRule>
    <cfRule type="expression" dxfId="1590" priority="1317">
      <formula>SEARCH("EMESSO",$M47)&gt;0</formula>
    </cfRule>
    <cfRule type="expression" dxfId="1589" priority="1318">
      <formula>SEARCH("RICHIESTO",$M47)&gt;0</formula>
    </cfRule>
    <cfRule type="expression" dxfId="1588" priority="1319">
      <formula>SEARCH("DA CHIUDERE",$M47)&gt;0</formula>
    </cfRule>
    <cfRule type="expression" dxfId="1587" priority="1320">
      <formula>SEARCH("INTERROTTO",$M47)&gt;0</formula>
    </cfRule>
  </conditionalFormatting>
  <conditionalFormatting sqref="M47">
    <cfRule type="expression" dxfId="1586" priority="1309">
      <formula>SEARCH("IN CORSO",$M47)&gt;0</formula>
    </cfRule>
    <cfRule type="expression" dxfId="1585" priority="1310">
      <formula>SEARCH("CHIUSO",$M47)&gt;0</formula>
    </cfRule>
    <cfRule type="expression" dxfId="1584" priority="1311">
      <formula>SEARCH("EMESSO",$M47)&gt;0</formula>
    </cfRule>
    <cfRule type="expression" dxfId="1583" priority="1312">
      <formula>SEARCH("RICHIESTO",$M47)&gt;0</formula>
    </cfRule>
    <cfRule type="expression" dxfId="1582" priority="1313">
      <formula>SEARCH("DA CHIUDERE",$M47)&gt;0</formula>
    </cfRule>
    <cfRule type="expression" dxfId="1581" priority="1314">
      <formula>SEARCH("INTERROTTO",$M47)&gt;0</formula>
    </cfRule>
  </conditionalFormatting>
  <conditionalFormatting sqref="N46:S46">
    <cfRule type="expression" dxfId="1580" priority="1303">
      <formula>SEARCH("IN CORSO",$M46)&gt;0</formula>
    </cfRule>
    <cfRule type="expression" dxfId="1579" priority="1304">
      <formula>SEARCH("CHIUSO",$M46)&gt;0</formula>
    </cfRule>
    <cfRule type="expression" dxfId="1578" priority="1305">
      <formula>SEARCH("EMESSO",$M46)&gt;0</formula>
    </cfRule>
    <cfRule type="expression" dxfId="1577" priority="1306">
      <formula>SEARCH("RICHIESTO",$M46)&gt;0</formula>
    </cfRule>
    <cfRule type="expression" dxfId="1576" priority="1307">
      <formula>SEARCH("DA CHIUDERE",$M46)&gt;0</formula>
    </cfRule>
    <cfRule type="expression" dxfId="1575" priority="1308">
      <formula>SEARCH("INTERROTTO",$M46)&gt;0</formula>
    </cfRule>
  </conditionalFormatting>
  <conditionalFormatting sqref="G46">
    <cfRule type="expression" dxfId="1574" priority="1291">
      <formula>SEARCH("IN CORSO",$M46)&gt;0</formula>
    </cfRule>
    <cfRule type="expression" dxfId="1573" priority="1292">
      <formula>SEARCH("CHIUSO",$M46)&gt;0</formula>
    </cfRule>
    <cfRule type="expression" dxfId="1572" priority="1293">
      <formula>SEARCH("EMESSO",$M46)&gt;0</formula>
    </cfRule>
    <cfRule type="expression" dxfId="1571" priority="1294">
      <formula>SEARCH("RICHIESTO",$M46)&gt;0</formula>
    </cfRule>
    <cfRule type="expression" dxfId="1570" priority="1295">
      <formula>SEARCH("DA CHIUDERE",$M46)&gt;0</formula>
    </cfRule>
    <cfRule type="expression" dxfId="1569" priority="1296">
      <formula>SEARCH("INTERROTTO",$M46)&gt;0</formula>
    </cfRule>
  </conditionalFormatting>
  <conditionalFormatting sqref="E46">
    <cfRule type="expression" dxfId="1568" priority="1297">
      <formula>SEARCH("IN CORSO",$M46)&gt;0</formula>
    </cfRule>
    <cfRule type="expression" dxfId="1567" priority="1298">
      <formula>SEARCH("CHIUSO",$M46)&gt;0</formula>
    </cfRule>
    <cfRule type="expression" dxfId="1566" priority="1299">
      <formula>SEARCH("EMESSO",$M46)&gt;0</formula>
    </cfRule>
    <cfRule type="expression" dxfId="1565" priority="1300">
      <formula>SEARCH("RICHIESTO",$M46)&gt;0</formula>
    </cfRule>
    <cfRule type="expression" dxfId="1564" priority="1301">
      <formula>SEARCH("DA CHIUDERE",$M46)&gt;0</formula>
    </cfRule>
    <cfRule type="expression" dxfId="1563" priority="1302">
      <formula>SEARCH("INTERROTTO",$M46)&gt;0</formula>
    </cfRule>
  </conditionalFormatting>
  <conditionalFormatting sqref="F46">
    <cfRule type="expression" dxfId="1562" priority="1285">
      <formula>SEARCH("IN CORSO",$M46)&gt;0</formula>
    </cfRule>
    <cfRule type="expression" dxfId="1561" priority="1286">
      <formula>SEARCH("CHIUSO",$M46)&gt;0</formula>
    </cfRule>
    <cfRule type="expression" dxfId="1560" priority="1287">
      <formula>SEARCH("EMESSO",$M46)&gt;0</formula>
    </cfRule>
    <cfRule type="expression" dxfId="1559" priority="1288">
      <formula>SEARCH("RICHIESTO",$M46)&gt;0</formula>
    </cfRule>
    <cfRule type="expression" dxfId="1558" priority="1289">
      <formula>SEARCH("DA CHIUDERE",$M46)&gt;0</formula>
    </cfRule>
    <cfRule type="expression" dxfId="1557" priority="1290">
      <formula>SEARCH("INTERROTTO",$M46)&gt;0</formula>
    </cfRule>
  </conditionalFormatting>
  <conditionalFormatting sqref="M46">
    <cfRule type="expression" dxfId="1556" priority="1279">
      <formula>SEARCH("IN CORSO",$M46)&gt;0</formula>
    </cfRule>
    <cfRule type="expression" dxfId="1555" priority="1280">
      <formula>SEARCH("CHIUSO",$M46)&gt;0</formula>
    </cfRule>
    <cfRule type="expression" dxfId="1554" priority="1281">
      <formula>SEARCH("EMESSO",$M46)&gt;0</formula>
    </cfRule>
    <cfRule type="expression" dxfId="1553" priority="1282">
      <formula>SEARCH("RICHIESTO",$M46)&gt;0</formula>
    </cfRule>
    <cfRule type="expression" dxfId="1552" priority="1283">
      <formula>SEARCH("DA CHIUDERE",$M46)&gt;0</formula>
    </cfRule>
    <cfRule type="expression" dxfId="1551" priority="1284">
      <formula>SEARCH("INTERROTTO",$M46)&gt;0</formula>
    </cfRule>
  </conditionalFormatting>
  <conditionalFormatting sqref="N45:S45">
    <cfRule type="expression" dxfId="1550" priority="1273">
      <formula>SEARCH("IN CORSO",$M45)&gt;0</formula>
    </cfRule>
    <cfRule type="expression" dxfId="1549" priority="1274">
      <formula>SEARCH("CHIUSO",$M45)&gt;0</formula>
    </cfRule>
    <cfRule type="expression" dxfId="1548" priority="1275">
      <formula>SEARCH("EMESSO",$M45)&gt;0</formula>
    </cfRule>
    <cfRule type="expression" dxfId="1547" priority="1276">
      <formula>SEARCH("RICHIESTO",$M45)&gt;0</formula>
    </cfRule>
    <cfRule type="expression" dxfId="1546" priority="1277">
      <formula>SEARCH("DA CHIUDERE",$M45)&gt;0</formula>
    </cfRule>
    <cfRule type="expression" dxfId="1545" priority="1278">
      <formula>SEARCH("INTERROTTO",$M45)&gt;0</formula>
    </cfRule>
  </conditionalFormatting>
  <conditionalFormatting sqref="G45">
    <cfRule type="expression" dxfId="1544" priority="1261">
      <formula>SEARCH("IN CORSO",$M45)&gt;0</formula>
    </cfRule>
    <cfRule type="expression" dxfId="1543" priority="1262">
      <formula>SEARCH("CHIUSO",$M45)&gt;0</formula>
    </cfRule>
    <cfRule type="expression" dxfId="1542" priority="1263">
      <formula>SEARCH("EMESSO",$M45)&gt;0</formula>
    </cfRule>
    <cfRule type="expression" dxfId="1541" priority="1264">
      <formula>SEARCH("RICHIESTO",$M45)&gt;0</formula>
    </cfRule>
    <cfRule type="expression" dxfId="1540" priority="1265">
      <formula>SEARCH("DA CHIUDERE",$M45)&gt;0</formula>
    </cfRule>
    <cfRule type="expression" dxfId="1539" priority="1266">
      <formula>SEARCH("INTERROTTO",$M45)&gt;0</formula>
    </cfRule>
  </conditionalFormatting>
  <conditionalFormatting sqref="E45">
    <cfRule type="expression" dxfId="1538" priority="1267">
      <formula>SEARCH("IN CORSO",$M45)&gt;0</formula>
    </cfRule>
    <cfRule type="expression" dxfId="1537" priority="1268">
      <formula>SEARCH("CHIUSO",$M45)&gt;0</formula>
    </cfRule>
    <cfRule type="expression" dxfId="1536" priority="1269">
      <formula>SEARCH("EMESSO",$M45)&gt;0</formula>
    </cfRule>
    <cfRule type="expression" dxfId="1535" priority="1270">
      <formula>SEARCH("RICHIESTO",$M45)&gt;0</formula>
    </cfRule>
    <cfRule type="expression" dxfId="1534" priority="1271">
      <formula>SEARCH("DA CHIUDERE",$M45)&gt;0</formula>
    </cfRule>
    <cfRule type="expression" dxfId="1533" priority="1272">
      <formula>SEARCH("INTERROTTO",$M45)&gt;0</formula>
    </cfRule>
  </conditionalFormatting>
  <conditionalFormatting sqref="F45">
    <cfRule type="expression" dxfId="1532" priority="1255">
      <formula>SEARCH("IN CORSO",$M45)&gt;0</formula>
    </cfRule>
    <cfRule type="expression" dxfId="1531" priority="1256">
      <formula>SEARCH("CHIUSO",$M45)&gt;0</formula>
    </cfRule>
    <cfRule type="expression" dxfId="1530" priority="1257">
      <formula>SEARCH("EMESSO",$M45)&gt;0</formula>
    </cfRule>
    <cfRule type="expression" dxfId="1529" priority="1258">
      <formula>SEARCH("RICHIESTO",$M45)&gt;0</formula>
    </cfRule>
    <cfRule type="expression" dxfId="1528" priority="1259">
      <formula>SEARCH("DA CHIUDERE",$M45)&gt;0</formula>
    </cfRule>
    <cfRule type="expression" dxfId="1527" priority="1260">
      <formula>SEARCH("INTERROTTO",$M45)&gt;0</formula>
    </cfRule>
  </conditionalFormatting>
  <conditionalFormatting sqref="M45">
    <cfRule type="expression" dxfId="1526" priority="1249">
      <formula>SEARCH("IN CORSO",$M45)&gt;0</formula>
    </cfRule>
    <cfRule type="expression" dxfId="1525" priority="1250">
      <formula>SEARCH("CHIUSO",$M45)&gt;0</formula>
    </cfRule>
    <cfRule type="expression" dxfId="1524" priority="1251">
      <formula>SEARCH("EMESSO",$M45)&gt;0</formula>
    </cfRule>
    <cfRule type="expression" dxfId="1523" priority="1252">
      <formula>SEARCH("RICHIESTO",$M45)&gt;0</formula>
    </cfRule>
    <cfRule type="expression" dxfId="1522" priority="1253">
      <formula>SEARCH("DA CHIUDERE",$M45)&gt;0</formula>
    </cfRule>
    <cfRule type="expression" dxfId="1521" priority="1254">
      <formula>SEARCH("INTERROTTO",$M45)&gt;0</formula>
    </cfRule>
  </conditionalFormatting>
  <conditionalFormatting sqref="N44:S44">
    <cfRule type="expression" dxfId="1520" priority="1243">
      <formula>SEARCH("IN CORSO",$M44)&gt;0</formula>
    </cfRule>
    <cfRule type="expression" dxfId="1519" priority="1244">
      <formula>SEARCH("CHIUSO",$M44)&gt;0</formula>
    </cfRule>
    <cfRule type="expression" dxfId="1518" priority="1245">
      <formula>SEARCH("EMESSO",$M44)&gt;0</formula>
    </cfRule>
    <cfRule type="expression" dxfId="1517" priority="1246">
      <formula>SEARCH("RICHIESTO",$M44)&gt;0</formula>
    </cfRule>
    <cfRule type="expression" dxfId="1516" priority="1247">
      <formula>SEARCH("DA CHIUDERE",$M44)&gt;0</formula>
    </cfRule>
    <cfRule type="expression" dxfId="1515" priority="1248">
      <formula>SEARCH("INTERROTTO",$M44)&gt;0</formula>
    </cfRule>
  </conditionalFormatting>
  <conditionalFormatting sqref="G44">
    <cfRule type="expression" dxfId="1514" priority="1231">
      <formula>SEARCH("IN CORSO",$M44)&gt;0</formula>
    </cfRule>
    <cfRule type="expression" dxfId="1513" priority="1232">
      <formula>SEARCH("CHIUSO",$M44)&gt;0</formula>
    </cfRule>
    <cfRule type="expression" dxfId="1512" priority="1233">
      <formula>SEARCH("EMESSO",$M44)&gt;0</formula>
    </cfRule>
    <cfRule type="expression" dxfId="1511" priority="1234">
      <formula>SEARCH("RICHIESTO",$M44)&gt;0</formula>
    </cfRule>
    <cfRule type="expression" dxfId="1510" priority="1235">
      <formula>SEARCH("DA CHIUDERE",$M44)&gt;0</formula>
    </cfRule>
    <cfRule type="expression" dxfId="1509" priority="1236">
      <formula>SEARCH("INTERROTTO",$M44)&gt;0</formula>
    </cfRule>
  </conditionalFormatting>
  <conditionalFormatting sqref="E44">
    <cfRule type="expression" dxfId="1508" priority="1237">
      <formula>SEARCH("IN CORSO",$M44)&gt;0</formula>
    </cfRule>
    <cfRule type="expression" dxfId="1507" priority="1238">
      <formula>SEARCH("CHIUSO",$M44)&gt;0</formula>
    </cfRule>
    <cfRule type="expression" dxfId="1506" priority="1239">
      <formula>SEARCH("EMESSO",$M44)&gt;0</formula>
    </cfRule>
    <cfRule type="expression" dxfId="1505" priority="1240">
      <formula>SEARCH("RICHIESTO",$M44)&gt;0</formula>
    </cfRule>
    <cfRule type="expression" dxfId="1504" priority="1241">
      <formula>SEARCH("DA CHIUDERE",$M44)&gt;0</formula>
    </cfRule>
    <cfRule type="expression" dxfId="1503" priority="1242">
      <formula>SEARCH("INTERROTTO",$M44)&gt;0</formula>
    </cfRule>
  </conditionalFormatting>
  <conditionalFormatting sqref="F44">
    <cfRule type="expression" dxfId="1502" priority="1225">
      <formula>SEARCH("IN CORSO",$M44)&gt;0</formula>
    </cfRule>
    <cfRule type="expression" dxfId="1501" priority="1226">
      <formula>SEARCH("CHIUSO",$M44)&gt;0</formula>
    </cfRule>
    <cfRule type="expression" dxfId="1500" priority="1227">
      <formula>SEARCH("EMESSO",$M44)&gt;0</formula>
    </cfRule>
    <cfRule type="expression" dxfId="1499" priority="1228">
      <formula>SEARCH("RICHIESTO",$M44)&gt;0</formula>
    </cfRule>
    <cfRule type="expression" dxfId="1498" priority="1229">
      <formula>SEARCH("DA CHIUDERE",$M44)&gt;0</formula>
    </cfRule>
    <cfRule type="expression" dxfId="1497" priority="1230">
      <formula>SEARCH("INTERROTTO",$M44)&gt;0</formula>
    </cfRule>
  </conditionalFormatting>
  <conditionalFormatting sqref="M44">
    <cfRule type="expression" dxfId="1496" priority="1219">
      <formula>SEARCH("IN CORSO",$M44)&gt;0</formula>
    </cfRule>
    <cfRule type="expression" dxfId="1495" priority="1220">
      <formula>SEARCH("CHIUSO",$M44)&gt;0</formula>
    </cfRule>
    <cfRule type="expression" dxfId="1494" priority="1221">
      <formula>SEARCH("EMESSO",$M44)&gt;0</formula>
    </cfRule>
    <cfRule type="expression" dxfId="1493" priority="1222">
      <formula>SEARCH("RICHIESTO",$M44)&gt;0</formula>
    </cfRule>
    <cfRule type="expression" dxfId="1492" priority="1223">
      <formula>SEARCH("DA CHIUDERE",$M44)&gt;0</formula>
    </cfRule>
    <cfRule type="expression" dxfId="1491" priority="1224">
      <formula>SEARCH("INTERROTTO",$M44)&gt;0</formula>
    </cfRule>
  </conditionalFormatting>
  <conditionalFormatting sqref="N43:S43">
    <cfRule type="expression" dxfId="1490" priority="1213">
      <formula>SEARCH("IN CORSO",$M43)&gt;0</formula>
    </cfRule>
    <cfRule type="expression" dxfId="1489" priority="1214">
      <formula>SEARCH("CHIUSO",$M43)&gt;0</formula>
    </cfRule>
    <cfRule type="expression" dxfId="1488" priority="1215">
      <formula>SEARCH("EMESSO",$M43)&gt;0</formula>
    </cfRule>
    <cfRule type="expression" dxfId="1487" priority="1216">
      <formula>SEARCH("RICHIESTO",$M43)&gt;0</formula>
    </cfRule>
    <cfRule type="expression" dxfId="1486" priority="1217">
      <formula>SEARCH("DA CHIUDERE",$M43)&gt;0</formula>
    </cfRule>
    <cfRule type="expression" dxfId="1485" priority="1218">
      <formula>SEARCH("INTERROTTO",$M43)&gt;0</formula>
    </cfRule>
  </conditionalFormatting>
  <conditionalFormatting sqref="G43">
    <cfRule type="expression" dxfId="1484" priority="1201">
      <formula>SEARCH("IN CORSO",$M43)&gt;0</formula>
    </cfRule>
    <cfRule type="expression" dxfId="1483" priority="1202">
      <formula>SEARCH("CHIUSO",$M43)&gt;0</formula>
    </cfRule>
    <cfRule type="expression" dxfId="1482" priority="1203">
      <formula>SEARCH("EMESSO",$M43)&gt;0</formula>
    </cfRule>
    <cfRule type="expression" dxfId="1481" priority="1204">
      <formula>SEARCH("RICHIESTO",$M43)&gt;0</formula>
    </cfRule>
    <cfRule type="expression" dxfId="1480" priority="1205">
      <formula>SEARCH("DA CHIUDERE",$M43)&gt;0</formula>
    </cfRule>
    <cfRule type="expression" dxfId="1479" priority="1206">
      <formula>SEARCH("INTERROTTO",$M43)&gt;0</formula>
    </cfRule>
  </conditionalFormatting>
  <conditionalFormatting sqref="E43">
    <cfRule type="expression" dxfId="1478" priority="1207">
      <formula>SEARCH("IN CORSO",$M43)&gt;0</formula>
    </cfRule>
    <cfRule type="expression" dxfId="1477" priority="1208">
      <formula>SEARCH("CHIUSO",$M43)&gt;0</formula>
    </cfRule>
    <cfRule type="expression" dxfId="1476" priority="1209">
      <formula>SEARCH("EMESSO",$M43)&gt;0</formula>
    </cfRule>
    <cfRule type="expression" dxfId="1475" priority="1210">
      <formula>SEARCH("RICHIESTO",$M43)&gt;0</formula>
    </cfRule>
    <cfRule type="expression" dxfId="1474" priority="1211">
      <formula>SEARCH("DA CHIUDERE",$M43)&gt;0</formula>
    </cfRule>
    <cfRule type="expression" dxfId="1473" priority="1212">
      <formula>SEARCH("INTERROTTO",$M43)&gt;0</formula>
    </cfRule>
  </conditionalFormatting>
  <conditionalFormatting sqref="F43">
    <cfRule type="expression" dxfId="1472" priority="1195">
      <formula>SEARCH("IN CORSO",$M43)&gt;0</formula>
    </cfRule>
    <cfRule type="expression" dxfId="1471" priority="1196">
      <formula>SEARCH("CHIUSO",$M43)&gt;0</formula>
    </cfRule>
    <cfRule type="expression" dxfId="1470" priority="1197">
      <formula>SEARCH("EMESSO",$M43)&gt;0</formula>
    </cfRule>
    <cfRule type="expression" dxfId="1469" priority="1198">
      <formula>SEARCH("RICHIESTO",$M43)&gt;0</formula>
    </cfRule>
    <cfRule type="expression" dxfId="1468" priority="1199">
      <formula>SEARCH("DA CHIUDERE",$M43)&gt;0</formula>
    </cfRule>
    <cfRule type="expression" dxfId="1467" priority="1200">
      <formula>SEARCH("INTERROTTO",$M43)&gt;0</formula>
    </cfRule>
  </conditionalFormatting>
  <conditionalFormatting sqref="M43">
    <cfRule type="expression" dxfId="1466" priority="1189">
      <formula>SEARCH("IN CORSO",$M43)&gt;0</formula>
    </cfRule>
    <cfRule type="expression" dxfId="1465" priority="1190">
      <formula>SEARCH("CHIUSO",$M43)&gt;0</formula>
    </cfRule>
    <cfRule type="expression" dxfId="1464" priority="1191">
      <formula>SEARCH("EMESSO",$M43)&gt;0</formula>
    </cfRule>
    <cfRule type="expression" dxfId="1463" priority="1192">
      <formula>SEARCH("RICHIESTO",$M43)&gt;0</formula>
    </cfRule>
    <cfRule type="expression" dxfId="1462" priority="1193">
      <formula>SEARCH("DA CHIUDERE",$M43)&gt;0</formula>
    </cfRule>
    <cfRule type="expression" dxfId="1461" priority="1194">
      <formula>SEARCH("INTERROTTO",$M43)&gt;0</formula>
    </cfRule>
  </conditionalFormatting>
  <conditionalFormatting sqref="N42:S42">
    <cfRule type="expression" dxfId="1460" priority="1183">
      <formula>SEARCH("IN CORSO",$M42)&gt;0</formula>
    </cfRule>
    <cfRule type="expression" dxfId="1459" priority="1184">
      <formula>SEARCH("CHIUSO",$M42)&gt;0</formula>
    </cfRule>
    <cfRule type="expression" dxfId="1458" priority="1185">
      <formula>SEARCH("EMESSO",$M42)&gt;0</formula>
    </cfRule>
    <cfRule type="expression" dxfId="1457" priority="1186">
      <formula>SEARCH("RICHIESTO",$M42)&gt;0</formula>
    </cfRule>
    <cfRule type="expression" dxfId="1456" priority="1187">
      <formula>SEARCH("DA CHIUDERE",$M42)&gt;0</formula>
    </cfRule>
    <cfRule type="expression" dxfId="1455" priority="1188">
      <formula>SEARCH("INTERROTTO",$M42)&gt;0</formula>
    </cfRule>
  </conditionalFormatting>
  <conditionalFormatting sqref="G42">
    <cfRule type="expression" dxfId="1454" priority="1171">
      <formula>SEARCH("IN CORSO",$M42)&gt;0</formula>
    </cfRule>
    <cfRule type="expression" dxfId="1453" priority="1172">
      <formula>SEARCH("CHIUSO",$M42)&gt;0</formula>
    </cfRule>
    <cfRule type="expression" dxfId="1452" priority="1173">
      <formula>SEARCH("EMESSO",$M42)&gt;0</formula>
    </cfRule>
    <cfRule type="expression" dxfId="1451" priority="1174">
      <formula>SEARCH("RICHIESTO",$M42)&gt;0</formula>
    </cfRule>
    <cfRule type="expression" dxfId="1450" priority="1175">
      <formula>SEARCH("DA CHIUDERE",$M42)&gt;0</formula>
    </cfRule>
    <cfRule type="expression" dxfId="1449" priority="1176">
      <formula>SEARCH("INTERROTTO",$M42)&gt;0</formula>
    </cfRule>
  </conditionalFormatting>
  <conditionalFormatting sqref="E42">
    <cfRule type="expression" dxfId="1448" priority="1177">
      <formula>SEARCH("IN CORSO",$M42)&gt;0</formula>
    </cfRule>
    <cfRule type="expression" dxfId="1447" priority="1178">
      <formula>SEARCH("CHIUSO",$M42)&gt;0</formula>
    </cfRule>
    <cfRule type="expression" dxfId="1446" priority="1179">
      <formula>SEARCH("EMESSO",$M42)&gt;0</formula>
    </cfRule>
    <cfRule type="expression" dxfId="1445" priority="1180">
      <formula>SEARCH("RICHIESTO",$M42)&gt;0</formula>
    </cfRule>
    <cfRule type="expression" dxfId="1444" priority="1181">
      <formula>SEARCH("DA CHIUDERE",$M42)&gt;0</formula>
    </cfRule>
    <cfRule type="expression" dxfId="1443" priority="1182">
      <formula>SEARCH("INTERROTTO",$M42)&gt;0</formula>
    </cfRule>
  </conditionalFormatting>
  <conditionalFormatting sqref="F42">
    <cfRule type="expression" dxfId="1442" priority="1165">
      <formula>SEARCH("IN CORSO",$M42)&gt;0</formula>
    </cfRule>
    <cfRule type="expression" dxfId="1441" priority="1166">
      <formula>SEARCH("CHIUSO",$M42)&gt;0</formula>
    </cfRule>
    <cfRule type="expression" dxfId="1440" priority="1167">
      <formula>SEARCH("EMESSO",$M42)&gt;0</formula>
    </cfRule>
    <cfRule type="expression" dxfId="1439" priority="1168">
      <formula>SEARCH("RICHIESTO",$M42)&gt;0</formula>
    </cfRule>
    <cfRule type="expression" dxfId="1438" priority="1169">
      <formula>SEARCH("DA CHIUDERE",$M42)&gt;0</formula>
    </cfRule>
    <cfRule type="expression" dxfId="1437" priority="1170">
      <formula>SEARCH("INTERROTTO",$M42)&gt;0</formula>
    </cfRule>
  </conditionalFormatting>
  <conditionalFormatting sqref="M42">
    <cfRule type="expression" dxfId="1436" priority="1159">
      <formula>SEARCH("IN CORSO",$M42)&gt;0</formula>
    </cfRule>
    <cfRule type="expression" dxfId="1435" priority="1160">
      <formula>SEARCH("CHIUSO",$M42)&gt;0</formula>
    </cfRule>
    <cfRule type="expression" dxfId="1434" priority="1161">
      <formula>SEARCH("EMESSO",$M42)&gt;0</formula>
    </cfRule>
    <cfRule type="expression" dxfId="1433" priority="1162">
      <formula>SEARCH("RICHIESTO",$M42)&gt;0</formula>
    </cfRule>
    <cfRule type="expression" dxfId="1432" priority="1163">
      <formula>SEARCH("DA CHIUDERE",$M42)&gt;0</formula>
    </cfRule>
    <cfRule type="expression" dxfId="1431" priority="1164">
      <formula>SEARCH("INTERROTTO",$M42)&gt;0</formula>
    </cfRule>
  </conditionalFormatting>
  <conditionalFormatting sqref="N41:S41">
    <cfRule type="expression" dxfId="1430" priority="1153">
      <formula>SEARCH("IN CORSO",$M41)&gt;0</formula>
    </cfRule>
    <cfRule type="expression" dxfId="1429" priority="1154">
      <formula>SEARCH("CHIUSO",$M41)&gt;0</formula>
    </cfRule>
    <cfRule type="expression" dxfId="1428" priority="1155">
      <formula>SEARCH("EMESSO",$M41)&gt;0</formula>
    </cfRule>
    <cfRule type="expression" dxfId="1427" priority="1156">
      <formula>SEARCH("RICHIESTO",$M41)&gt;0</formula>
    </cfRule>
    <cfRule type="expression" dxfId="1426" priority="1157">
      <formula>SEARCH("DA CHIUDERE",$M41)&gt;0</formula>
    </cfRule>
    <cfRule type="expression" dxfId="1425" priority="1158">
      <formula>SEARCH("INTERROTTO",$M41)&gt;0</formula>
    </cfRule>
  </conditionalFormatting>
  <conditionalFormatting sqref="G41">
    <cfRule type="expression" dxfId="1424" priority="1141">
      <formula>SEARCH("IN CORSO",$M41)&gt;0</formula>
    </cfRule>
    <cfRule type="expression" dxfId="1423" priority="1142">
      <formula>SEARCH("CHIUSO",$M41)&gt;0</formula>
    </cfRule>
    <cfRule type="expression" dxfId="1422" priority="1143">
      <formula>SEARCH("EMESSO",$M41)&gt;0</formula>
    </cfRule>
    <cfRule type="expression" dxfId="1421" priority="1144">
      <formula>SEARCH("RICHIESTO",$M41)&gt;0</formula>
    </cfRule>
    <cfRule type="expression" dxfId="1420" priority="1145">
      <formula>SEARCH("DA CHIUDERE",$M41)&gt;0</formula>
    </cfRule>
    <cfRule type="expression" dxfId="1419" priority="1146">
      <formula>SEARCH("INTERROTTO",$M41)&gt;0</formula>
    </cfRule>
  </conditionalFormatting>
  <conditionalFormatting sqref="E41">
    <cfRule type="expression" dxfId="1418" priority="1147">
      <formula>SEARCH("IN CORSO",$M41)&gt;0</formula>
    </cfRule>
    <cfRule type="expression" dxfId="1417" priority="1148">
      <formula>SEARCH("CHIUSO",$M41)&gt;0</formula>
    </cfRule>
    <cfRule type="expression" dxfId="1416" priority="1149">
      <formula>SEARCH("EMESSO",$M41)&gt;0</formula>
    </cfRule>
    <cfRule type="expression" dxfId="1415" priority="1150">
      <formula>SEARCH("RICHIESTO",$M41)&gt;0</formula>
    </cfRule>
    <cfRule type="expression" dxfId="1414" priority="1151">
      <formula>SEARCH("DA CHIUDERE",$M41)&gt;0</formula>
    </cfRule>
    <cfRule type="expression" dxfId="1413" priority="1152">
      <formula>SEARCH("INTERROTTO",$M41)&gt;0</formula>
    </cfRule>
  </conditionalFormatting>
  <conditionalFormatting sqref="F41">
    <cfRule type="expression" dxfId="1412" priority="1135">
      <formula>SEARCH("IN CORSO",$M41)&gt;0</formula>
    </cfRule>
    <cfRule type="expression" dxfId="1411" priority="1136">
      <formula>SEARCH("CHIUSO",$M41)&gt;0</formula>
    </cfRule>
    <cfRule type="expression" dxfId="1410" priority="1137">
      <formula>SEARCH("EMESSO",$M41)&gt;0</formula>
    </cfRule>
    <cfRule type="expression" dxfId="1409" priority="1138">
      <formula>SEARCH("RICHIESTO",$M41)&gt;0</formula>
    </cfRule>
    <cfRule type="expression" dxfId="1408" priority="1139">
      <formula>SEARCH("DA CHIUDERE",$M41)&gt;0</formula>
    </cfRule>
    <cfRule type="expression" dxfId="1407" priority="1140">
      <formula>SEARCH("INTERROTTO",$M41)&gt;0</formula>
    </cfRule>
  </conditionalFormatting>
  <conditionalFormatting sqref="M41">
    <cfRule type="expression" dxfId="1406" priority="1129">
      <formula>SEARCH("IN CORSO",$M41)&gt;0</formula>
    </cfRule>
    <cfRule type="expression" dxfId="1405" priority="1130">
      <formula>SEARCH("CHIUSO",$M41)&gt;0</formula>
    </cfRule>
    <cfRule type="expression" dxfId="1404" priority="1131">
      <formula>SEARCH("EMESSO",$M41)&gt;0</formula>
    </cfRule>
    <cfRule type="expression" dxfId="1403" priority="1132">
      <formula>SEARCH("RICHIESTO",$M41)&gt;0</formula>
    </cfRule>
    <cfRule type="expression" dxfId="1402" priority="1133">
      <formula>SEARCH("DA CHIUDERE",$M41)&gt;0</formula>
    </cfRule>
    <cfRule type="expression" dxfId="1401" priority="1134">
      <formula>SEARCH("INTERROTTO",$M41)&gt;0</formula>
    </cfRule>
  </conditionalFormatting>
  <conditionalFormatting sqref="N40:S40">
    <cfRule type="expression" dxfId="1400" priority="1123">
      <formula>SEARCH("IN CORSO",$M40)&gt;0</formula>
    </cfRule>
    <cfRule type="expression" dxfId="1399" priority="1124">
      <formula>SEARCH("CHIUSO",$M40)&gt;0</formula>
    </cfRule>
    <cfRule type="expression" dxfId="1398" priority="1125">
      <formula>SEARCH("EMESSO",$M40)&gt;0</formula>
    </cfRule>
    <cfRule type="expression" dxfId="1397" priority="1126">
      <formula>SEARCH("RICHIESTO",$M40)&gt;0</formula>
    </cfRule>
    <cfRule type="expression" dxfId="1396" priority="1127">
      <formula>SEARCH("DA CHIUDERE",$M40)&gt;0</formula>
    </cfRule>
    <cfRule type="expression" dxfId="1395" priority="1128">
      <formula>SEARCH("INTERROTTO",$M40)&gt;0</formula>
    </cfRule>
  </conditionalFormatting>
  <conditionalFormatting sqref="G40">
    <cfRule type="expression" dxfId="1394" priority="1111">
      <formula>SEARCH("IN CORSO",$M40)&gt;0</formula>
    </cfRule>
    <cfRule type="expression" dxfId="1393" priority="1112">
      <formula>SEARCH("CHIUSO",$M40)&gt;0</formula>
    </cfRule>
    <cfRule type="expression" dxfId="1392" priority="1113">
      <formula>SEARCH("EMESSO",$M40)&gt;0</formula>
    </cfRule>
    <cfRule type="expression" dxfId="1391" priority="1114">
      <formula>SEARCH("RICHIESTO",$M40)&gt;0</formula>
    </cfRule>
    <cfRule type="expression" dxfId="1390" priority="1115">
      <formula>SEARCH("DA CHIUDERE",$M40)&gt;0</formula>
    </cfRule>
    <cfRule type="expression" dxfId="1389" priority="1116">
      <formula>SEARCH("INTERROTTO",$M40)&gt;0</formula>
    </cfRule>
  </conditionalFormatting>
  <conditionalFormatting sqref="E40">
    <cfRule type="expression" dxfId="1388" priority="1117">
      <formula>SEARCH("IN CORSO",$M40)&gt;0</formula>
    </cfRule>
    <cfRule type="expression" dxfId="1387" priority="1118">
      <formula>SEARCH("CHIUSO",$M40)&gt;0</formula>
    </cfRule>
    <cfRule type="expression" dxfId="1386" priority="1119">
      <formula>SEARCH("EMESSO",$M40)&gt;0</formula>
    </cfRule>
    <cfRule type="expression" dxfId="1385" priority="1120">
      <formula>SEARCH("RICHIESTO",$M40)&gt;0</formula>
    </cfRule>
    <cfRule type="expression" dxfId="1384" priority="1121">
      <formula>SEARCH("DA CHIUDERE",$M40)&gt;0</formula>
    </cfRule>
    <cfRule type="expression" dxfId="1383" priority="1122">
      <formula>SEARCH("INTERROTTO",$M40)&gt;0</formula>
    </cfRule>
  </conditionalFormatting>
  <conditionalFormatting sqref="F40">
    <cfRule type="expression" dxfId="1382" priority="1105">
      <formula>SEARCH("IN CORSO",$M40)&gt;0</formula>
    </cfRule>
    <cfRule type="expression" dxfId="1381" priority="1106">
      <formula>SEARCH("CHIUSO",$M40)&gt;0</formula>
    </cfRule>
    <cfRule type="expression" dxfId="1380" priority="1107">
      <formula>SEARCH("EMESSO",$M40)&gt;0</formula>
    </cfRule>
    <cfRule type="expression" dxfId="1379" priority="1108">
      <formula>SEARCH("RICHIESTO",$M40)&gt;0</formula>
    </cfRule>
    <cfRule type="expression" dxfId="1378" priority="1109">
      <formula>SEARCH("DA CHIUDERE",$M40)&gt;0</formula>
    </cfRule>
    <cfRule type="expression" dxfId="1377" priority="1110">
      <formula>SEARCH("INTERROTTO",$M40)&gt;0</formula>
    </cfRule>
  </conditionalFormatting>
  <conditionalFormatting sqref="M40">
    <cfRule type="expression" dxfId="1376" priority="1099">
      <formula>SEARCH("IN CORSO",$M40)&gt;0</formula>
    </cfRule>
    <cfRule type="expression" dxfId="1375" priority="1100">
      <formula>SEARCH("CHIUSO",$M40)&gt;0</formula>
    </cfRule>
    <cfRule type="expression" dxfId="1374" priority="1101">
      <formula>SEARCH("EMESSO",$M40)&gt;0</formula>
    </cfRule>
    <cfRule type="expression" dxfId="1373" priority="1102">
      <formula>SEARCH("RICHIESTO",$M40)&gt;0</formula>
    </cfRule>
    <cfRule type="expression" dxfId="1372" priority="1103">
      <formula>SEARCH("DA CHIUDERE",$M40)&gt;0</formula>
    </cfRule>
    <cfRule type="expression" dxfId="1371" priority="1104">
      <formula>SEARCH("INTERROTTO",$M40)&gt;0</formula>
    </cfRule>
  </conditionalFormatting>
  <conditionalFormatting sqref="N39:S39">
    <cfRule type="expression" dxfId="1370" priority="1093">
      <formula>SEARCH("IN CORSO",$M39)&gt;0</formula>
    </cfRule>
    <cfRule type="expression" dxfId="1369" priority="1094">
      <formula>SEARCH("CHIUSO",$M39)&gt;0</formula>
    </cfRule>
    <cfRule type="expression" dxfId="1368" priority="1095">
      <formula>SEARCH("EMESSO",$M39)&gt;0</formula>
    </cfRule>
    <cfRule type="expression" dxfId="1367" priority="1096">
      <formula>SEARCH("RICHIESTO",$M39)&gt;0</formula>
    </cfRule>
    <cfRule type="expression" dxfId="1366" priority="1097">
      <formula>SEARCH("DA CHIUDERE",$M39)&gt;0</formula>
    </cfRule>
    <cfRule type="expression" dxfId="1365" priority="1098">
      <formula>SEARCH("INTERROTTO",$M39)&gt;0</formula>
    </cfRule>
  </conditionalFormatting>
  <conditionalFormatting sqref="G39">
    <cfRule type="expression" dxfId="1364" priority="1081">
      <formula>SEARCH("IN CORSO",$M39)&gt;0</formula>
    </cfRule>
    <cfRule type="expression" dxfId="1363" priority="1082">
      <formula>SEARCH("CHIUSO",$M39)&gt;0</formula>
    </cfRule>
    <cfRule type="expression" dxfId="1362" priority="1083">
      <formula>SEARCH("EMESSO",$M39)&gt;0</formula>
    </cfRule>
    <cfRule type="expression" dxfId="1361" priority="1084">
      <formula>SEARCH("RICHIESTO",$M39)&gt;0</formula>
    </cfRule>
    <cfRule type="expression" dxfId="1360" priority="1085">
      <formula>SEARCH("DA CHIUDERE",$M39)&gt;0</formula>
    </cfRule>
    <cfRule type="expression" dxfId="1359" priority="1086">
      <formula>SEARCH("INTERROTTO",$M39)&gt;0</formula>
    </cfRule>
  </conditionalFormatting>
  <conditionalFormatting sqref="E39">
    <cfRule type="expression" dxfId="1358" priority="1087">
      <formula>SEARCH("IN CORSO",$M39)&gt;0</formula>
    </cfRule>
    <cfRule type="expression" dxfId="1357" priority="1088">
      <formula>SEARCH("CHIUSO",$M39)&gt;0</formula>
    </cfRule>
    <cfRule type="expression" dxfId="1356" priority="1089">
      <formula>SEARCH("EMESSO",$M39)&gt;0</formula>
    </cfRule>
    <cfRule type="expression" dxfId="1355" priority="1090">
      <formula>SEARCH("RICHIESTO",$M39)&gt;0</formula>
    </cfRule>
    <cfRule type="expression" dxfId="1354" priority="1091">
      <formula>SEARCH("DA CHIUDERE",$M39)&gt;0</formula>
    </cfRule>
    <cfRule type="expression" dxfId="1353" priority="1092">
      <formula>SEARCH("INTERROTTO",$M39)&gt;0</formula>
    </cfRule>
  </conditionalFormatting>
  <conditionalFormatting sqref="F39">
    <cfRule type="expression" dxfId="1352" priority="1075">
      <formula>SEARCH("IN CORSO",$M39)&gt;0</formula>
    </cfRule>
    <cfRule type="expression" dxfId="1351" priority="1076">
      <formula>SEARCH("CHIUSO",$M39)&gt;0</formula>
    </cfRule>
    <cfRule type="expression" dxfId="1350" priority="1077">
      <formula>SEARCH("EMESSO",$M39)&gt;0</formula>
    </cfRule>
    <cfRule type="expression" dxfId="1349" priority="1078">
      <formula>SEARCH("RICHIESTO",$M39)&gt;0</formula>
    </cfRule>
    <cfRule type="expression" dxfId="1348" priority="1079">
      <formula>SEARCH("DA CHIUDERE",$M39)&gt;0</formula>
    </cfRule>
    <cfRule type="expression" dxfId="1347" priority="1080">
      <formula>SEARCH("INTERROTTO",$M39)&gt;0</formula>
    </cfRule>
  </conditionalFormatting>
  <conditionalFormatting sqref="M39">
    <cfRule type="expression" dxfId="1346" priority="1069">
      <formula>SEARCH("IN CORSO",$M39)&gt;0</formula>
    </cfRule>
    <cfRule type="expression" dxfId="1345" priority="1070">
      <formula>SEARCH("CHIUSO",$M39)&gt;0</formula>
    </cfRule>
    <cfRule type="expression" dxfId="1344" priority="1071">
      <formula>SEARCH("EMESSO",$M39)&gt;0</formula>
    </cfRule>
    <cfRule type="expression" dxfId="1343" priority="1072">
      <formula>SEARCH("RICHIESTO",$M39)&gt;0</formula>
    </cfRule>
    <cfRule type="expression" dxfId="1342" priority="1073">
      <formula>SEARCH("DA CHIUDERE",$M39)&gt;0</formula>
    </cfRule>
    <cfRule type="expression" dxfId="1341" priority="1074">
      <formula>SEARCH("INTERROTTO",$M39)&gt;0</formula>
    </cfRule>
  </conditionalFormatting>
  <conditionalFormatting sqref="N38:S38">
    <cfRule type="expression" dxfId="1340" priority="1063">
      <formula>SEARCH("IN CORSO",$M38)&gt;0</formula>
    </cfRule>
    <cfRule type="expression" dxfId="1339" priority="1064">
      <formula>SEARCH("CHIUSO",$M38)&gt;0</formula>
    </cfRule>
    <cfRule type="expression" dxfId="1338" priority="1065">
      <formula>SEARCH("EMESSO",$M38)&gt;0</formula>
    </cfRule>
    <cfRule type="expression" dxfId="1337" priority="1066">
      <formula>SEARCH("RICHIESTO",$M38)&gt;0</formula>
    </cfRule>
    <cfRule type="expression" dxfId="1336" priority="1067">
      <formula>SEARCH("DA CHIUDERE",$M38)&gt;0</formula>
    </cfRule>
    <cfRule type="expression" dxfId="1335" priority="1068">
      <formula>SEARCH("INTERROTTO",$M38)&gt;0</formula>
    </cfRule>
  </conditionalFormatting>
  <conditionalFormatting sqref="G38">
    <cfRule type="expression" dxfId="1334" priority="1051">
      <formula>SEARCH("IN CORSO",$M38)&gt;0</formula>
    </cfRule>
    <cfRule type="expression" dxfId="1333" priority="1052">
      <formula>SEARCH("CHIUSO",$M38)&gt;0</formula>
    </cfRule>
    <cfRule type="expression" dxfId="1332" priority="1053">
      <formula>SEARCH("EMESSO",$M38)&gt;0</formula>
    </cfRule>
    <cfRule type="expression" dxfId="1331" priority="1054">
      <formula>SEARCH("RICHIESTO",$M38)&gt;0</formula>
    </cfRule>
    <cfRule type="expression" dxfId="1330" priority="1055">
      <formula>SEARCH("DA CHIUDERE",$M38)&gt;0</formula>
    </cfRule>
    <cfRule type="expression" dxfId="1329" priority="1056">
      <formula>SEARCH("INTERROTTO",$M38)&gt;0</formula>
    </cfRule>
  </conditionalFormatting>
  <conditionalFormatting sqref="E38">
    <cfRule type="expression" dxfId="1328" priority="1057">
      <formula>SEARCH("IN CORSO",$M38)&gt;0</formula>
    </cfRule>
    <cfRule type="expression" dxfId="1327" priority="1058">
      <formula>SEARCH("CHIUSO",$M38)&gt;0</formula>
    </cfRule>
    <cfRule type="expression" dxfId="1326" priority="1059">
      <formula>SEARCH("EMESSO",$M38)&gt;0</formula>
    </cfRule>
    <cfRule type="expression" dxfId="1325" priority="1060">
      <formula>SEARCH("RICHIESTO",$M38)&gt;0</formula>
    </cfRule>
    <cfRule type="expression" dxfId="1324" priority="1061">
      <formula>SEARCH("DA CHIUDERE",$M38)&gt;0</formula>
    </cfRule>
    <cfRule type="expression" dxfId="1323" priority="1062">
      <formula>SEARCH("INTERROTTO",$M38)&gt;0</formula>
    </cfRule>
  </conditionalFormatting>
  <conditionalFormatting sqref="F38">
    <cfRule type="expression" dxfId="1322" priority="1045">
      <formula>SEARCH("IN CORSO",$M38)&gt;0</formula>
    </cfRule>
    <cfRule type="expression" dxfId="1321" priority="1046">
      <formula>SEARCH("CHIUSO",$M38)&gt;0</formula>
    </cfRule>
    <cfRule type="expression" dxfId="1320" priority="1047">
      <formula>SEARCH("EMESSO",$M38)&gt;0</formula>
    </cfRule>
    <cfRule type="expression" dxfId="1319" priority="1048">
      <formula>SEARCH("RICHIESTO",$M38)&gt;0</formula>
    </cfRule>
    <cfRule type="expression" dxfId="1318" priority="1049">
      <formula>SEARCH("DA CHIUDERE",$M38)&gt;0</formula>
    </cfRule>
    <cfRule type="expression" dxfId="1317" priority="1050">
      <formula>SEARCH("INTERROTTO",$M38)&gt;0</formula>
    </cfRule>
  </conditionalFormatting>
  <conditionalFormatting sqref="M38">
    <cfRule type="expression" dxfId="1316" priority="1039">
      <formula>SEARCH("IN CORSO",$M38)&gt;0</formula>
    </cfRule>
    <cfRule type="expression" dxfId="1315" priority="1040">
      <formula>SEARCH("CHIUSO",$M38)&gt;0</formula>
    </cfRule>
    <cfRule type="expression" dxfId="1314" priority="1041">
      <formula>SEARCH("EMESSO",$M38)&gt;0</formula>
    </cfRule>
    <cfRule type="expression" dxfId="1313" priority="1042">
      <formula>SEARCH("RICHIESTO",$M38)&gt;0</formula>
    </cfRule>
    <cfRule type="expression" dxfId="1312" priority="1043">
      <formula>SEARCH("DA CHIUDERE",$M38)&gt;0</formula>
    </cfRule>
    <cfRule type="expression" dxfId="1311" priority="1044">
      <formula>SEARCH("INTERROTTO",$M38)&gt;0</formula>
    </cfRule>
  </conditionalFormatting>
  <conditionalFormatting sqref="N37:S37">
    <cfRule type="expression" dxfId="1310" priority="1033">
      <formula>SEARCH("IN CORSO",$M37)&gt;0</formula>
    </cfRule>
    <cfRule type="expression" dxfId="1309" priority="1034">
      <formula>SEARCH("CHIUSO",$M37)&gt;0</formula>
    </cfRule>
    <cfRule type="expression" dxfId="1308" priority="1035">
      <formula>SEARCH("EMESSO",$M37)&gt;0</formula>
    </cfRule>
    <cfRule type="expression" dxfId="1307" priority="1036">
      <formula>SEARCH("RICHIESTO",$M37)&gt;0</formula>
    </cfRule>
    <cfRule type="expression" dxfId="1306" priority="1037">
      <formula>SEARCH("DA CHIUDERE",$M37)&gt;0</formula>
    </cfRule>
    <cfRule type="expression" dxfId="1305" priority="1038">
      <formula>SEARCH("INTERROTTO",$M37)&gt;0</formula>
    </cfRule>
  </conditionalFormatting>
  <conditionalFormatting sqref="G37">
    <cfRule type="expression" dxfId="1304" priority="1021">
      <formula>SEARCH("IN CORSO",$M37)&gt;0</formula>
    </cfRule>
    <cfRule type="expression" dxfId="1303" priority="1022">
      <formula>SEARCH("CHIUSO",$M37)&gt;0</formula>
    </cfRule>
    <cfRule type="expression" dxfId="1302" priority="1023">
      <formula>SEARCH("EMESSO",$M37)&gt;0</formula>
    </cfRule>
    <cfRule type="expression" dxfId="1301" priority="1024">
      <formula>SEARCH("RICHIESTO",$M37)&gt;0</formula>
    </cfRule>
    <cfRule type="expression" dxfId="1300" priority="1025">
      <formula>SEARCH("DA CHIUDERE",$M37)&gt;0</formula>
    </cfRule>
    <cfRule type="expression" dxfId="1299" priority="1026">
      <formula>SEARCH("INTERROTTO",$M37)&gt;0</formula>
    </cfRule>
  </conditionalFormatting>
  <conditionalFormatting sqref="E37">
    <cfRule type="expression" dxfId="1298" priority="1027">
      <formula>SEARCH("IN CORSO",$M37)&gt;0</formula>
    </cfRule>
    <cfRule type="expression" dxfId="1297" priority="1028">
      <formula>SEARCH("CHIUSO",$M37)&gt;0</formula>
    </cfRule>
    <cfRule type="expression" dxfId="1296" priority="1029">
      <formula>SEARCH("EMESSO",$M37)&gt;0</formula>
    </cfRule>
    <cfRule type="expression" dxfId="1295" priority="1030">
      <formula>SEARCH("RICHIESTO",$M37)&gt;0</formula>
    </cfRule>
    <cfRule type="expression" dxfId="1294" priority="1031">
      <formula>SEARCH("DA CHIUDERE",$M37)&gt;0</formula>
    </cfRule>
    <cfRule type="expression" dxfId="1293" priority="1032">
      <formula>SEARCH("INTERROTTO",$M37)&gt;0</formula>
    </cfRule>
  </conditionalFormatting>
  <conditionalFormatting sqref="F37">
    <cfRule type="expression" dxfId="1292" priority="1015">
      <formula>SEARCH("IN CORSO",$M37)&gt;0</formula>
    </cfRule>
    <cfRule type="expression" dxfId="1291" priority="1016">
      <formula>SEARCH("CHIUSO",$M37)&gt;0</formula>
    </cfRule>
    <cfRule type="expression" dxfId="1290" priority="1017">
      <formula>SEARCH("EMESSO",$M37)&gt;0</formula>
    </cfRule>
    <cfRule type="expression" dxfId="1289" priority="1018">
      <formula>SEARCH("RICHIESTO",$M37)&gt;0</formula>
    </cfRule>
    <cfRule type="expression" dxfId="1288" priority="1019">
      <formula>SEARCH("DA CHIUDERE",$M37)&gt;0</formula>
    </cfRule>
    <cfRule type="expression" dxfId="1287" priority="1020">
      <formula>SEARCH("INTERROTTO",$M37)&gt;0</formula>
    </cfRule>
  </conditionalFormatting>
  <conditionalFormatting sqref="M37">
    <cfRule type="expression" dxfId="1286" priority="1009">
      <formula>SEARCH("IN CORSO",$M37)&gt;0</formula>
    </cfRule>
    <cfRule type="expression" dxfId="1285" priority="1010">
      <formula>SEARCH("CHIUSO",$M37)&gt;0</formula>
    </cfRule>
    <cfRule type="expression" dxfId="1284" priority="1011">
      <formula>SEARCH("EMESSO",$M37)&gt;0</formula>
    </cfRule>
    <cfRule type="expression" dxfId="1283" priority="1012">
      <formula>SEARCH("RICHIESTO",$M37)&gt;0</formula>
    </cfRule>
    <cfRule type="expression" dxfId="1282" priority="1013">
      <formula>SEARCH("DA CHIUDERE",$M37)&gt;0</formula>
    </cfRule>
    <cfRule type="expression" dxfId="1281" priority="1014">
      <formula>SEARCH("INTERROTTO",$M37)&gt;0</formula>
    </cfRule>
  </conditionalFormatting>
  <conditionalFormatting sqref="N36:S36">
    <cfRule type="expression" dxfId="1280" priority="1003">
      <formula>SEARCH("IN CORSO",$M36)&gt;0</formula>
    </cfRule>
    <cfRule type="expression" dxfId="1279" priority="1004">
      <formula>SEARCH("CHIUSO",$M36)&gt;0</formula>
    </cfRule>
    <cfRule type="expression" dxfId="1278" priority="1005">
      <formula>SEARCH("EMESSO",$M36)&gt;0</formula>
    </cfRule>
    <cfRule type="expression" dxfId="1277" priority="1006">
      <formula>SEARCH("RICHIESTO",$M36)&gt;0</formula>
    </cfRule>
    <cfRule type="expression" dxfId="1276" priority="1007">
      <formula>SEARCH("DA CHIUDERE",$M36)&gt;0</formula>
    </cfRule>
    <cfRule type="expression" dxfId="1275" priority="1008">
      <formula>SEARCH("INTERROTTO",$M36)&gt;0</formula>
    </cfRule>
  </conditionalFormatting>
  <conditionalFormatting sqref="G36">
    <cfRule type="expression" dxfId="1274" priority="991">
      <formula>SEARCH("IN CORSO",$M36)&gt;0</formula>
    </cfRule>
    <cfRule type="expression" dxfId="1273" priority="992">
      <formula>SEARCH("CHIUSO",$M36)&gt;0</formula>
    </cfRule>
    <cfRule type="expression" dxfId="1272" priority="993">
      <formula>SEARCH("EMESSO",$M36)&gt;0</formula>
    </cfRule>
    <cfRule type="expression" dxfId="1271" priority="994">
      <formula>SEARCH("RICHIESTO",$M36)&gt;0</formula>
    </cfRule>
    <cfRule type="expression" dxfId="1270" priority="995">
      <formula>SEARCH("DA CHIUDERE",$M36)&gt;0</formula>
    </cfRule>
    <cfRule type="expression" dxfId="1269" priority="996">
      <formula>SEARCH("INTERROTTO",$M36)&gt;0</formula>
    </cfRule>
  </conditionalFormatting>
  <conditionalFormatting sqref="E36">
    <cfRule type="expression" dxfId="1268" priority="997">
      <formula>SEARCH("IN CORSO",$M36)&gt;0</formula>
    </cfRule>
    <cfRule type="expression" dxfId="1267" priority="998">
      <formula>SEARCH("CHIUSO",$M36)&gt;0</formula>
    </cfRule>
    <cfRule type="expression" dxfId="1266" priority="999">
      <formula>SEARCH("EMESSO",$M36)&gt;0</formula>
    </cfRule>
    <cfRule type="expression" dxfId="1265" priority="1000">
      <formula>SEARCH("RICHIESTO",$M36)&gt;0</formula>
    </cfRule>
    <cfRule type="expression" dxfId="1264" priority="1001">
      <formula>SEARCH("DA CHIUDERE",$M36)&gt;0</formula>
    </cfRule>
    <cfRule type="expression" dxfId="1263" priority="1002">
      <formula>SEARCH("INTERROTTO",$M36)&gt;0</formula>
    </cfRule>
  </conditionalFormatting>
  <conditionalFormatting sqref="F36">
    <cfRule type="expression" dxfId="1262" priority="985">
      <formula>SEARCH("IN CORSO",$M36)&gt;0</formula>
    </cfRule>
    <cfRule type="expression" dxfId="1261" priority="986">
      <formula>SEARCH("CHIUSO",$M36)&gt;0</formula>
    </cfRule>
    <cfRule type="expression" dxfId="1260" priority="987">
      <formula>SEARCH("EMESSO",$M36)&gt;0</formula>
    </cfRule>
    <cfRule type="expression" dxfId="1259" priority="988">
      <formula>SEARCH("RICHIESTO",$M36)&gt;0</formula>
    </cfRule>
    <cfRule type="expression" dxfId="1258" priority="989">
      <formula>SEARCH("DA CHIUDERE",$M36)&gt;0</formula>
    </cfRule>
    <cfRule type="expression" dxfId="1257" priority="990">
      <formula>SEARCH("INTERROTTO",$M36)&gt;0</formula>
    </cfRule>
  </conditionalFormatting>
  <conditionalFormatting sqref="M36">
    <cfRule type="expression" dxfId="1256" priority="979">
      <formula>SEARCH("IN CORSO",$M36)&gt;0</formula>
    </cfRule>
    <cfRule type="expression" dxfId="1255" priority="980">
      <formula>SEARCH("CHIUSO",$M36)&gt;0</formula>
    </cfRule>
    <cfRule type="expression" dxfId="1254" priority="981">
      <formula>SEARCH("EMESSO",$M36)&gt;0</formula>
    </cfRule>
    <cfRule type="expression" dxfId="1253" priority="982">
      <formula>SEARCH("RICHIESTO",$M36)&gt;0</formula>
    </cfRule>
    <cfRule type="expression" dxfId="1252" priority="983">
      <formula>SEARCH("DA CHIUDERE",$M36)&gt;0</formula>
    </cfRule>
    <cfRule type="expression" dxfId="1251" priority="984">
      <formula>SEARCH("INTERROTTO",$M36)&gt;0</formula>
    </cfRule>
  </conditionalFormatting>
  <conditionalFormatting sqref="N35:S35">
    <cfRule type="expression" dxfId="1250" priority="973">
      <formula>SEARCH("IN CORSO",$M35)&gt;0</formula>
    </cfRule>
    <cfRule type="expression" dxfId="1249" priority="974">
      <formula>SEARCH("CHIUSO",$M35)&gt;0</formula>
    </cfRule>
    <cfRule type="expression" dxfId="1248" priority="975">
      <formula>SEARCH("EMESSO",$M35)&gt;0</formula>
    </cfRule>
    <cfRule type="expression" dxfId="1247" priority="976">
      <formula>SEARCH("RICHIESTO",$M35)&gt;0</formula>
    </cfRule>
    <cfRule type="expression" dxfId="1246" priority="977">
      <formula>SEARCH("DA CHIUDERE",$M35)&gt;0</formula>
    </cfRule>
    <cfRule type="expression" dxfId="1245" priority="978">
      <formula>SEARCH("INTERROTTO",$M35)&gt;0</formula>
    </cfRule>
  </conditionalFormatting>
  <conditionalFormatting sqref="G35">
    <cfRule type="expression" dxfId="1244" priority="961">
      <formula>SEARCH("IN CORSO",$M35)&gt;0</formula>
    </cfRule>
    <cfRule type="expression" dxfId="1243" priority="962">
      <formula>SEARCH("CHIUSO",$M35)&gt;0</formula>
    </cfRule>
    <cfRule type="expression" dxfId="1242" priority="963">
      <formula>SEARCH("EMESSO",$M35)&gt;0</formula>
    </cfRule>
    <cfRule type="expression" dxfId="1241" priority="964">
      <formula>SEARCH("RICHIESTO",$M35)&gt;0</formula>
    </cfRule>
    <cfRule type="expression" dxfId="1240" priority="965">
      <formula>SEARCH("DA CHIUDERE",$M35)&gt;0</formula>
    </cfRule>
    <cfRule type="expression" dxfId="1239" priority="966">
      <formula>SEARCH("INTERROTTO",$M35)&gt;0</formula>
    </cfRule>
  </conditionalFormatting>
  <conditionalFormatting sqref="E35">
    <cfRule type="expression" dxfId="1238" priority="967">
      <formula>SEARCH("IN CORSO",$M35)&gt;0</formula>
    </cfRule>
    <cfRule type="expression" dxfId="1237" priority="968">
      <formula>SEARCH("CHIUSO",$M35)&gt;0</formula>
    </cfRule>
    <cfRule type="expression" dxfId="1236" priority="969">
      <formula>SEARCH("EMESSO",$M35)&gt;0</formula>
    </cfRule>
    <cfRule type="expression" dxfId="1235" priority="970">
      <formula>SEARCH("RICHIESTO",$M35)&gt;0</formula>
    </cfRule>
    <cfRule type="expression" dxfId="1234" priority="971">
      <formula>SEARCH("DA CHIUDERE",$M35)&gt;0</formula>
    </cfRule>
    <cfRule type="expression" dxfId="1233" priority="972">
      <formula>SEARCH("INTERROTTO",$M35)&gt;0</formula>
    </cfRule>
  </conditionalFormatting>
  <conditionalFormatting sqref="F35">
    <cfRule type="expression" dxfId="1232" priority="955">
      <formula>SEARCH("IN CORSO",$M35)&gt;0</formula>
    </cfRule>
    <cfRule type="expression" dxfId="1231" priority="956">
      <formula>SEARCH("CHIUSO",$M35)&gt;0</formula>
    </cfRule>
    <cfRule type="expression" dxfId="1230" priority="957">
      <formula>SEARCH("EMESSO",$M35)&gt;0</formula>
    </cfRule>
    <cfRule type="expression" dxfId="1229" priority="958">
      <formula>SEARCH("RICHIESTO",$M35)&gt;0</formula>
    </cfRule>
    <cfRule type="expression" dxfId="1228" priority="959">
      <formula>SEARCH("DA CHIUDERE",$M35)&gt;0</formula>
    </cfRule>
    <cfRule type="expression" dxfId="1227" priority="960">
      <formula>SEARCH("INTERROTTO",$M35)&gt;0</formula>
    </cfRule>
  </conditionalFormatting>
  <conditionalFormatting sqref="M35">
    <cfRule type="expression" dxfId="1226" priority="949">
      <formula>SEARCH("IN CORSO",$M35)&gt;0</formula>
    </cfRule>
    <cfRule type="expression" dxfId="1225" priority="950">
      <formula>SEARCH("CHIUSO",$M35)&gt;0</formula>
    </cfRule>
    <cfRule type="expression" dxfId="1224" priority="951">
      <formula>SEARCH("EMESSO",$M35)&gt;0</formula>
    </cfRule>
    <cfRule type="expression" dxfId="1223" priority="952">
      <formula>SEARCH("RICHIESTO",$M35)&gt;0</formula>
    </cfRule>
    <cfRule type="expression" dxfId="1222" priority="953">
      <formula>SEARCH("DA CHIUDERE",$M35)&gt;0</formula>
    </cfRule>
    <cfRule type="expression" dxfId="1221" priority="954">
      <formula>SEARCH("INTERROTTO",$M35)&gt;0</formula>
    </cfRule>
  </conditionalFormatting>
  <conditionalFormatting sqref="N34:S34">
    <cfRule type="expression" dxfId="1220" priority="943">
      <formula>SEARCH("IN CORSO",$M34)&gt;0</formula>
    </cfRule>
    <cfRule type="expression" dxfId="1219" priority="944">
      <formula>SEARCH("CHIUSO",$M34)&gt;0</formula>
    </cfRule>
    <cfRule type="expression" dxfId="1218" priority="945">
      <formula>SEARCH("EMESSO",$M34)&gt;0</formula>
    </cfRule>
    <cfRule type="expression" dxfId="1217" priority="946">
      <formula>SEARCH("RICHIESTO",$M34)&gt;0</formula>
    </cfRule>
    <cfRule type="expression" dxfId="1216" priority="947">
      <formula>SEARCH("DA CHIUDERE",$M34)&gt;0</formula>
    </cfRule>
    <cfRule type="expression" dxfId="1215" priority="948">
      <formula>SEARCH("INTERROTTO",$M34)&gt;0</formula>
    </cfRule>
  </conditionalFormatting>
  <conditionalFormatting sqref="G34">
    <cfRule type="expression" dxfId="1214" priority="931">
      <formula>SEARCH("IN CORSO",$M34)&gt;0</formula>
    </cfRule>
    <cfRule type="expression" dxfId="1213" priority="932">
      <formula>SEARCH("CHIUSO",$M34)&gt;0</formula>
    </cfRule>
    <cfRule type="expression" dxfId="1212" priority="933">
      <formula>SEARCH("EMESSO",$M34)&gt;0</formula>
    </cfRule>
    <cfRule type="expression" dxfId="1211" priority="934">
      <formula>SEARCH("RICHIESTO",$M34)&gt;0</formula>
    </cfRule>
    <cfRule type="expression" dxfId="1210" priority="935">
      <formula>SEARCH("DA CHIUDERE",$M34)&gt;0</formula>
    </cfRule>
    <cfRule type="expression" dxfId="1209" priority="936">
      <formula>SEARCH("INTERROTTO",$M34)&gt;0</formula>
    </cfRule>
  </conditionalFormatting>
  <conditionalFormatting sqref="E34">
    <cfRule type="expression" dxfId="1208" priority="937">
      <formula>SEARCH("IN CORSO",$M34)&gt;0</formula>
    </cfRule>
    <cfRule type="expression" dxfId="1207" priority="938">
      <formula>SEARCH("CHIUSO",$M34)&gt;0</formula>
    </cfRule>
    <cfRule type="expression" dxfId="1206" priority="939">
      <formula>SEARCH("EMESSO",$M34)&gt;0</formula>
    </cfRule>
    <cfRule type="expression" dxfId="1205" priority="940">
      <formula>SEARCH("RICHIESTO",$M34)&gt;0</formula>
    </cfRule>
    <cfRule type="expression" dxfId="1204" priority="941">
      <formula>SEARCH("DA CHIUDERE",$M34)&gt;0</formula>
    </cfRule>
    <cfRule type="expression" dxfId="1203" priority="942">
      <formula>SEARCH("INTERROTTO",$M34)&gt;0</formula>
    </cfRule>
  </conditionalFormatting>
  <conditionalFormatting sqref="F34">
    <cfRule type="expression" dxfId="1202" priority="925">
      <formula>SEARCH("IN CORSO",$M34)&gt;0</formula>
    </cfRule>
    <cfRule type="expression" dxfId="1201" priority="926">
      <formula>SEARCH("CHIUSO",$M34)&gt;0</formula>
    </cfRule>
    <cfRule type="expression" dxfId="1200" priority="927">
      <formula>SEARCH("EMESSO",$M34)&gt;0</formula>
    </cfRule>
    <cfRule type="expression" dxfId="1199" priority="928">
      <formula>SEARCH("RICHIESTO",$M34)&gt;0</formula>
    </cfRule>
    <cfRule type="expression" dxfId="1198" priority="929">
      <formula>SEARCH("DA CHIUDERE",$M34)&gt;0</formula>
    </cfRule>
    <cfRule type="expression" dxfId="1197" priority="930">
      <formula>SEARCH("INTERROTTO",$M34)&gt;0</formula>
    </cfRule>
  </conditionalFormatting>
  <conditionalFormatting sqref="M34">
    <cfRule type="expression" dxfId="1196" priority="919">
      <formula>SEARCH("IN CORSO",$M34)&gt;0</formula>
    </cfRule>
    <cfRule type="expression" dxfId="1195" priority="920">
      <formula>SEARCH("CHIUSO",$M34)&gt;0</formula>
    </cfRule>
    <cfRule type="expression" dxfId="1194" priority="921">
      <formula>SEARCH("EMESSO",$M34)&gt;0</formula>
    </cfRule>
    <cfRule type="expression" dxfId="1193" priority="922">
      <formula>SEARCH("RICHIESTO",$M34)&gt;0</formula>
    </cfRule>
    <cfRule type="expression" dxfId="1192" priority="923">
      <formula>SEARCH("DA CHIUDERE",$M34)&gt;0</formula>
    </cfRule>
    <cfRule type="expression" dxfId="1191" priority="924">
      <formula>SEARCH("INTERROTTO",$M34)&gt;0</formula>
    </cfRule>
  </conditionalFormatting>
  <conditionalFormatting sqref="N33:S33">
    <cfRule type="expression" dxfId="1190" priority="913">
      <formula>SEARCH("IN CORSO",$M33)&gt;0</formula>
    </cfRule>
    <cfRule type="expression" dxfId="1189" priority="914">
      <formula>SEARCH("CHIUSO",$M33)&gt;0</formula>
    </cfRule>
    <cfRule type="expression" dxfId="1188" priority="915">
      <formula>SEARCH("EMESSO",$M33)&gt;0</formula>
    </cfRule>
    <cfRule type="expression" dxfId="1187" priority="916">
      <formula>SEARCH("RICHIESTO",$M33)&gt;0</formula>
    </cfRule>
    <cfRule type="expression" dxfId="1186" priority="917">
      <formula>SEARCH("DA CHIUDERE",$M33)&gt;0</formula>
    </cfRule>
    <cfRule type="expression" dxfId="1185" priority="918">
      <formula>SEARCH("INTERROTTO",$M33)&gt;0</formula>
    </cfRule>
  </conditionalFormatting>
  <conditionalFormatting sqref="G33">
    <cfRule type="expression" dxfId="1184" priority="901">
      <formula>SEARCH("IN CORSO",$M33)&gt;0</formula>
    </cfRule>
    <cfRule type="expression" dxfId="1183" priority="902">
      <formula>SEARCH("CHIUSO",$M33)&gt;0</formula>
    </cfRule>
    <cfRule type="expression" dxfId="1182" priority="903">
      <formula>SEARCH("EMESSO",$M33)&gt;0</formula>
    </cfRule>
    <cfRule type="expression" dxfId="1181" priority="904">
      <formula>SEARCH("RICHIESTO",$M33)&gt;0</formula>
    </cfRule>
    <cfRule type="expression" dxfId="1180" priority="905">
      <formula>SEARCH("DA CHIUDERE",$M33)&gt;0</formula>
    </cfRule>
    <cfRule type="expression" dxfId="1179" priority="906">
      <formula>SEARCH("INTERROTTO",$M33)&gt;0</formula>
    </cfRule>
  </conditionalFormatting>
  <conditionalFormatting sqref="E33">
    <cfRule type="expression" dxfId="1178" priority="907">
      <formula>SEARCH("IN CORSO",$M33)&gt;0</formula>
    </cfRule>
    <cfRule type="expression" dxfId="1177" priority="908">
      <formula>SEARCH("CHIUSO",$M33)&gt;0</formula>
    </cfRule>
    <cfRule type="expression" dxfId="1176" priority="909">
      <formula>SEARCH("EMESSO",$M33)&gt;0</formula>
    </cfRule>
    <cfRule type="expression" dxfId="1175" priority="910">
      <formula>SEARCH("RICHIESTO",$M33)&gt;0</formula>
    </cfRule>
    <cfRule type="expression" dxfId="1174" priority="911">
      <formula>SEARCH("DA CHIUDERE",$M33)&gt;0</formula>
    </cfRule>
    <cfRule type="expression" dxfId="1173" priority="912">
      <formula>SEARCH("INTERROTTO",$M33)&gt;0</formula>
    </cfRule>
  </conditionalFormatting>
  <conditionalFormatting sqref="F33">
    <cfRule type="expression" dxfId="1172" priority="895">
      <formula>SEARCH("IN CORSO",$M33)&gt;0</formula>
    </cfRule>
    <cfRule type="expression" dxfId="1171" priority="896">
      <formula>SEARCH("CHIUSO",$M33)&gt;0</formula>
    </cfRule>
    <cfRule type="expression" dxfId="1170" priority="897">
      <formula>SEARCH("EMESSO",$M33)&gt;0</formula>
    </cfRule>
    <cfRule type="expression" dxfId="1169" priority="898">
      <formula>SEARCH("RICHIESTO",$M33)&gt;0</formula>
    </cfRule>
    <cfRule type="expression" dxfId="1168" priority="899">
      <formula>SEARCH("DA CHIUDERE",$M33)&gt;0</formula>
    </cfRule>
    <cfRule type="expression" dxfId="1167" priority="900">
      <formula>SEARCH("INTERROTTO",$M33)&gt;0</formula>
    </cfRule>
  </conditionalFormatting>
  <conditionalFormatting sqref="M33">
    <cfRule type="expression" dxfId="1166" priority="889">
      <formula>SEARCH("IN CORSO",$M33)&gt;0</formula>
    </cfRule>
    <cfRule type="expression" dxfId="1165" priority="890">
      <formula>SEARCH("CHIUSO",$M33)&gt;0</formula>
    </cfRule>
    <cfRule type="expression" dxfId="1164" priority="891">
      <formula>SEARCH("EMESSO",$M33)&gt;0</formula>
    </cfRule>
    <cfRule type="expression" dxfId="1163" priority="892">
      <formula>SEARCH("RICHIESTO",$M33)&gt;0</formula>
    </cfRule>
    <cfRule type="expression" dxfId="1162" priority="893">
      <formula>SEARCH("DA CHIUDERE",$M33)&gt;0</formula>
    </cfRule>
    <cfRule type="expression" dxfId="1161" priority="894">
      <formula>SEARCH("INTERROTTO",$M33)&gt;0</formula>
    </cfRule>
  </conditionalFormatting>
  <conditionalFormatting sqref="N32:S32">
    <cfRule type="expression" dxfId="1160" priority="883">
      <formula>SEARCH("IN CORSO",$M32)&gt;0</formula>
    </cfRule>
    <cfRule type="expression" dxfId="1159" priority="884">
      <formula>SEARCH("CHIUSO",$M32)&gt;0</formula>
    </cfRule>
    <cfRule type="expression" dxfId="1158" priority="885">
      <formula>SEARCH("EMESSO",$M32)&gt;0</formula>
    </cfRule>
    <cfRule type="expression" dxfId="1157" priority="886">
      <formula>SEARCH("RICHIESTO",$M32)&gt;0</formula>
    </cfRule>
    <cfRule type="expression" dxfId="1156" priority="887">
      <formula>SEARCH("DA CHIUDERE",$M32)&gt;0</formula>
    </cfRule>
    <cfRule type="expression" dxfId="1155" priority="888">
      <formula>SEARCH("INTERROTTO",$M32)&gt;0</formula>
    </cfRule>
  </conditionalFormatting>
  <conditionalFormatting sqref="G32">
    <cfRule type="expression" dxfId="1154" priority="871">
      <formula>SEARCH("IN CORSO",$M32)&gt;0</formula>
    </cfRule>
    <cfRule type="expression" dxfId="1153" priority="872">
      <formula>SEARCH("CHIUSO",$M32)&gt;0</formula>
    </cfRule>
    <cfRule type="expression" dxfId="1152" priority="873">
      <formula>SEARCH("EMESSO",$M32)&gt;0</formula>
    </cfRule>
    <cfRule type="expression" dxfId="1151" priority="874">
      <formula>SEARCH("RICHIESTO",$M32)&gt;0</formula>
    </cfRule>
    <cfRule type="expression" dxfId="1150" priority="875">
      <formula>SEARCH("DA CHIUDERE",$M32)&gt;0</formula>
    </cfRule>
    <cfRule type="expression" dxfId="1149" priority="876">
      <formula>SEARCH("INTERROTTO",$M32)&gt;0</formula>
    </cfRule>
  </conditionalFormatting>
  <conditionalFormatting sqref="E32">
    <cfRule type="expression" dxfId="1148" priority="877">
      <formula>SEARCH("IN CORSO",$M32)&gt;0</formula>
    </cfRule>
    <cfRule type="expression" dxfId="1147" priority="878">
      <formula>SEARCH("CHIUSO",$M32)&gt;0</formula>
    </cfRule>
    <cfRule type="expression" dxfId="1146" priority="879">
      <formula>SEARCH("EMESSO",$M32)&gt;0</formula>
    </cfRule>
    <cfRule type="expression" dxfId="1145" priority="880">
      <formula>SEARCH("RICHIESTO",$M32)&gt;0</formula>
    </cfRule>
    <cfRule type="expression" dxfId="1144" priority="881">
      <formula>SEARCH("DA CHIUDERE",$M32)&gt;0</formula>
    </cfRule>
    <cfRule type="expression" dxfId="1143" priority="882">
      <formula>SEARCH("INTERROTTO",$M32)&gt;0</formula>
    </cfRule>
  </conditionalFormatting>
  <conditionalFormatting sqref="F32">
    <cfRule type="expression" dxfId="1142" priority="865">
      <formula>SEARCH("IN CORSO",$M32)&gt;0</formula>
    </cfRule>
    <cfRule type="expression" dxfId="1141" priority="866">
      <formula>SEARCH("CHIUSO",$M32)&gt;0</formula>
    </cfRule>
    <cfRule type="expression" dxfId="1140" priority="867">
      <formula>SEARCH("EMESSO",$M32)&gt;0</formula>
    </cfRule>
    <cfRule type="expression" dxfId="1139" priority="868">
      <formula>SEARCH("RICHIESTO",$M32)&gt;0</formula>
    </cfRule>
    <cfRule type="expression" dxfId="1138" priority="869">
      <formula>SEARCH("DA CHIUDERE",$M32)&gt;0</formula>
    </cfRule>
    <cfRule type="expression" dxfId="1137" priority="870">
      <formula>SEARCH("INTERROTTO",$M32)&gt;0</formula>
    </cfRule>
  </conditionalFormatting>
  <conditionalFormatting sqref="M32">
    <cfRule type="expression" dxfId="1136" priority="859">
      <formula>SEARCH("IN CORSO",$M32)&gt;0</formula>
    </cfRule>
    <cfRule type="expression" dxfId="1135" priority="860">
      <formula>SEARCH("CHIUSO",$M32)&gt;0</formula>
    </cfRule>
    <cfRule type="expression" dxfId="1134" priority="861">
      <formula>SEARCH("EMESSO",$M32)&gt;0</formula>
    </cfRule>
    <cfRule type="expression" dxfId="1133" priority="862">
      <formula>SEARCH("RICHIESTO",$M32)&gt;0</formula>
    </cfRule>
    <cfRule type="expression" dxfId="1132" priority="863">
      <formula>SEARCH("DA CHIUDERE",$M32)&gt;0</formula>
    </cfRule>
    <cfRule type="expression" dxfId="1131" priority="864">
      <formula>SEARCH("INTERROTTO",$M32)&gt;0</formula>
    </cfRule>
  </conditionalFormatting>
  <conditionalFormatting sqref="N31:S31">
    <cfRule type="expression" dxfId="1130" priority="853">
      <formula>SEARCH("IN CORSO",$M31)&gt;0</formula>
    </cfRule>
    <cfRule type="expression" dxfId="1129" priority="854">
      <formula>SEARCH("CHIUSO",$M31)&gt;0</formula>
    </cfRule>
    <cfRule type="expression" dxfId="1128" priority="855">
      <formula>SEARCH("EMESSO",$M31)&gt;0</formula>
    </cfRule>
    <cfRule type="expression" dxfId="1127" priority="856">
      <formula>SEARCH("RICHIESTO",$M31)&gt;0</formula>
    </cfRule>
    <cfRule type="expression" dxfId="1126" priority="857">
      <formula>SEARCH("DA CHIUDERE",$M31)&gt;0</formula>
    </cfRule>
    <cfRule type="expression" dxfId="1125" priority="858">
      <formula>SEARCH("INTERROTTO",$M31)&gt;0</formula>
    </cfRule>
  </conditionalFormatting>
  <conditionalFormatting sqref="G31">
    <cfRule type="expression" dxfId="1124" priority="841">
      <formula>SEARCH("IN CORSO",$M31)&gt;0</formula>
    </cfRule>
    <cfRule type="expression" dxfId="1123" priority="842">
      <formula>SEARCH("CHIUSO",$M31)&gt;0</formula>
    </cfRule>
    <cfRule type="expression" dxfId="1122" priority="843">
      <formula>SEARCH("EMESSO",$M31)&gt;0</formula>
    </cfRule>
    <cfRule type="expression" dxfId="1121" priority="844">
      <formula>SEARCH("RICHIESTO",$M31)&gt;0</formula>
    </cfRule>
    <cfRule type="expression" dxfId="1120" priority="845">
      <formula>SEARCH("DA CHIUDERE",$M31)&gt;0</formula>
    </cfRule>
    <cfRule type="expression" dxfId="1119" priority="846">
      <formula>SEARCH("INTERROTTO",$M31)&gt;0</formula>
    </cfRule>
  </conditionalFormatting>
  <conditionalFormatting sqref="E31">
    <cfRule type="expression" dxfId="1118" priority="847">
      <formula>SEARCH("IN CORSO",$M31)&gt;0</formula>
    </cfRule>
    <cfRule type="expression" dxfId="1117" priority="848">
      <formula>SEARCH("CHIUSO",$M31)&gt;0</formula>
    </cfRule>
    <cfRule type="expression" dxfId="1116" priority="849">
      <formula>SEARCH("EMESSO",$M31)&gt;0</formula>
    </cfRule>
    <cfRule type="expression" dxfId="1115" priority="850">
      <formula>SEARCH("RICHIESTO",$M31)&gt;0</formula>
    </cfRule>
    <cfRule type="expression" dxfId="1114" priority="851">
      <formula>SEARCH("DA CHIUDERE",$M31)&gt;0</formula>
    </cfRule>
    <cfRule type="expression" dxfId="1113" priority="852">
      <formula>SEARCH("INTERROTTO",$M31)&gt;0</formula>
    </cfRule>
  </conditionalFormatting>
  <conditionalFormatting sqref="F31">
    <cfRule type="expression" dxfId="1112" priority="835">
      <formula>SEARCH("IN CORSO",$M31)&gt;0</formula>
    </cfRule>
    <cfRule type="expression" dxfId="1111" priority="836">
      <formula>SEARCH("CHIUSO",$M31)&gt;0</formula>
    </cfRule>
    <cfRule type="expression" dxfId="1110" priority="837">
      <formula>SEARCH("EMESSO",$M31)&gt;0</formula>
    </cfRule>
    <cfRule type="expression" dxfId="1109" priority="838">
      <formula>SEARCH("RICHIESTO",$M31)&gt;0</formula>
    </cfRule>
    <cfRule type="expression" dxfId="1108" priority="839">
      <formula>SEARCH("DA CHIUDERE",$M31)&gt;0</formula>
    </cfRule>
    <cfRule type="expression" dxfId="1107" priority="840">
      <formula>SEARCH("INTERROTTO",$M31)&gt;0</formula>
    </cfRule>
  </conditionalFormatting>
  <conditionalFormatting sqref="M31">
    <cfRule type="expression" dxfId="1106" priority="829">
      <formula>SEARCH("IN CORSO",$M31)&gt;0</formula>
    </cfRule>
    <cfRule type="expression" dxfId="1105" priority="830">
      <formula>SEARCH("CHIUSO",$M31)&gt;0</formula>
    </cfRule>
    <cfRule type="expression" dxfId="1104" priority="831">
      <formula>SEARCH("EMESSO",$M31)&gt;0</formula>
    </cfRule>
    <cfRule type="expression" dxfId="1103" priority="832">
      <formula>SEARCH("RICHIESTO",$M31)&gt;0</formula>
    </cfRule>
    <cfRule type="expression" dxfId="1102" priority="833">
      <formula>SEARCH("DA CHIUDERE",$M31)&gt;0</formula>
    </cfRule>
    <cfRule type="expression" dxfId="1101" priority="834">
      <formula>SEARCH("INTERROTTO",$M31)&gt;0</formula>
    </cfRule>
  </conditionalFormatting>
  <conditionalFormatting sqref="N30:S30">
    <cfRule type="expression" dxfId="1100" priority="823">
      <formula>SEARCH("IN CORSO",$M30)&gt;0</formula>
    </cfRule>
    <cfRule type="expression" dxfId="1099" priority="824">
      <formula>SEARCH("CHIUSO",$M30)&gt;0</formula>
    </cfRule>
    <cfRule type="expression" dxfId="1098" priority="825">
      <formula>SEARCH("EMESSO",$M30)&gt;0</formula>
    </cfRule>
    <cfRule type="expression" dxfId="1097" priority="826">
      <formula>SEARCH("RICHIESTO",$M30)&gt;0</formula>
    </cfRule>
    <cfRule type="expression" dxfId="1096" priority="827">
      <formula>SEARCH("DA CHIUDERE",$M30)&gt;0</formula>
    </cfRule>
    <cfRule type="expression" dxfId="1095" priority="828">
      <formula>SEARCH("INTERROTTO",$M30)&gt;0</formula>
    </cfRule>
  </conditionalFormatting>
  <conditionalFormatting sqref="G30">
    <cfRule type="expression" dxfId="1094" priority="811">
      <formula>SEARCH("IN CORSO",$M30)&gt;0</formula>
    </cfRule>
    <cfRule type="expression" dxfId="1093" priority="812">
      <formula>SEARCH("CHIUSO",$M30)&gt;0</formula>
    </cfRule>
    <cfRule type="expression" dxfId="1092" priority="813">
      <formula>SEARCH("EMESSO",$M30)&gt;0</formula>
    </cfRule>
    <cfRule type="expression" dxfId="1091" priority="814">
      <formula>SEARCH("RICHIESTO",$M30)&gt;0</formula>
    </cfRule>
    <cfRule type="expression" dxfId="1090" priority="815">
      <formula>SEARCH("DA CHIUDERE",$M30)&gt;0</formula>
    </cfRule>
    <cfRule type="expression" dxfId="1089" priority="816">
      <formula>SEARCH("INTERROTTO",$M30)&gt;0</formula>
    </cfRule>
  </conditionalFormatting>
  <conditionalFormatting sqref="E30">
    <cfRule type="expression" dxfId="1088" priority="817">
      <formula>SEARCH("IN CORSO",$M30)&gt;0</formula>
    </cfRule>
    <cfRule type="expression" dxfId="1087" priority="818">
      <formula>SEARCH("CHIUSO",$M30)&gt;0</formula>
    </cfRule>
    <cfRule type="expression" dxfId="1086" priority="819">
      <formula>SEARCH("EMESSO",$M30)&gt;0</formula>
    </cfRule>
    <cfRule type="expression" dxfId="1085" priority="820">
      <formula>SEARCH("RICHIESTO",$M30)&gt;0</formula>
    </cfRule>
    <cfRule type="expression" dxfId="1084" priority="821">
      <formula>SEARCH("DA CHIUDERE",$M30)&gt;0</formula>
    </cfRule>
    <cfRule type="expression" dxfId="1083" priority="822">
      <formula>SEARCH("INTERROTTO",$M30)&gt;0</formula>
    </cfRule>
  </conditionalFormatting>
  <conditionalFormatting sqref="F30">
    <cfRule type="expression" dxfId="1082" priority="805">
      <formula>SEARCH("IN CORSO",$M30)&gt;0</formula>
    </cfRule>
    <cfRule type="expression" dxfId="1081" priority="806">
      <formula>SEARCH("CHIUSO",$M30)&gt;0</formula>
    </cfRule>
    <cfRule type="expression" dxfId="1080" priority="807">
      <formula>SEARCH("EMESSO",$M30)&gt;0</formula>
    </cfRule>
    <cfRule type="expression" dxfId="1079" priority="808">
      <formula>SEARCH("RICHIESTO",$M30)&gt;0</formula>
    </cfRule>
    <cfRule type="expression" dxfId="1078" priority="809">
      <formula>SEARCH("DA CHIUDERE",$M30)&gt;0</formula>
    </cfRule>
    <cfRule type="expression" dxfId="1077" priority="810">
      <formula>SEARCH("INTERROTTO",$M30)&gt;0</formula>
    </cfRule>
  </conditionalFormatting>
  <conditionalFormatting sqref="M30">
    <cfRule type="expression" dxfId="1076" priority="799">
      <formula>SEARCH("IN CORSO",$M30)&gt;0</formula>
    </cfRule>
    <cfRule type="expression" dxfId="1075" priority="800">
      <formula>SEARCH("CHIUSO",$M30)&gt;0</formula>
    </cfRule>
    <cfRule type="expression" dxfId="1074" priority="801">
      <formula>SEARCH("EMESSO",$M30)&gt;0</formula>
    </cfRule>
    <cfRule type="expression" dxfId="1073" priority="802">
      <formula>SEARCH("RICHIESTO",$M30)&gt;0</formula>
    </cfRule>
    <cfRule type="expression" dxfId="1072" priority="803">
      <formula>SEARCH("DA CHIUDERE",$M30)&gt;0</formula>
    </cfRule>
    <cfRule type="expression" dxfId="1071" priority="804">
      <formula>SEARCH("INTERROTTO",$M30)&gt;0</formula>
    </cfRule>
  </conditionalFormatting>
  <conditionalFormatting sqref="N29:S29">
    <cfRule type="expression" dxfId="1070" priority="793">
      <formula>SEARCH("IN CORSO",$M29)&gt;0</formula>
    </cfRule>
    <cfRule type="expression" dxfId="1069" priority="794">
      <formula>SEARCH("CHIUSO",$M29)&gt;0</formula>
    </cfRule>
    <cfRule type="expression" dxfId="1068" priority="795">
      <formula>SEARCH("EMESSO",$M29)&gt;0</formula>
    </cfRule>
    <cfRule type="expression" dxfId="1067" priority="796">
      <formula>SEARCH("RICHIESTO",$M29)&gt;0</formula>
    </cfRule>
    <cfRule type="expression" dxfId="1066" priority="797">
      <formula>SEARCH("DA CHIUDERE",$M29)&gt;0</formula>
    </cfRule>
    <cfRule type="expression" dxfId="1065" priority="798">
      <formula>SEARCH("INTERROTTO",$M29)&gt;0</formula>
    </cfRule>
  </conditionalFormatting>
  <conditionalFormatting sqref="G29">
    <cfRule type="expression" dxfId="1064" priority="781">
      <formula>SEARCH("IN CORSO",$M29)&gt;0</formula>
    </cfRule>
    <cfRule type="expression" dxfId="1063" priority="782">
      <formula>SEARCH("CHIUSO",$M29)&gt;0</formula>
    </cfRule>
    <cfRule type="expression" dxfId="1062" priority="783">
      <formula>SEARCH("EMESSO",$M29)&gt;0</formula>
    </cfRule>
    <cfRule type="expression" dxfId="1061" priority="784">
      <formula>SEARCH("RICHIESTO",$M29)&gt;0</formula>
    </cfRule>
    <cfRule type="expression" dxfId="1060" priority="785">
      <formula>SEARCH("DA CHIUDERE",$M29)&gt;0</formula>
    </cfRule>
    <cfRule type="expression" dxfId="1059" priority="786">
      <formula>SEARCH("INTERROTTO",$M29)&gt;0</formula>
    </cfRule>
  </conditionalFormatting>
  <conditionalFormatting sqref="E29">
    <cfRule type="expression" dxfId="1058" priority="787">
      <formula>SEARCH("IN CORSO",$M29)&gt;0</formula>
    </cfRule>
    <cfRule type="expression" dxfId="1057" priority="788">
      <formula>SEARCH("CHIUSO",$M29)&gt;0</formula>
    </cfRule>
    <cfRule type="expression" dxfId="1056" priority="789">
      <formula>SEARCH("EMESSO",$M29)&gt;0</formula>
    </cfRule>
    <cfRule type="expression" dxfId="1055" priority="790">
      <formula>SEARCH("RICHIESTO",$M29)&gt;0</formula>
    </cfRule>
    <cfRule type="expression" dxfId="1054" priority="791">
      <formula>SEARCH("DA CHIUDERE",$M29)&gt;0</formula>
    </cfRule>
    <cfRule type="expression" dxfId="1053" priority="792">
      <formula>SEARCH("INTERROTTO",$M29)&gt;0</formula>
    </cfRule>
  </conditionalFormatting>
  <conditionalFormatting sqref="F29">
    <cfRule type="expression" dxfId="1052" priority="775">
      <formula>SEARCH("IN CORSO",$M29)&gt;0</formula>
    </cfRule>
    <cfRule type="expression" dxfId="1051" priority="776">
      <formula>SEARCH("CHIUSO",$M29)&gt;0</formula>
    </cfRule>
    <cfRule type="expression" dxfId="1050" priority="777">
      <formula>SEARCH("EMESSO",$M29)&gt;0</formula>
    </cfRule>
    <cfRule type="expression" dxfId="1049" priority="778">
      <formula>SEARCH("RICHIESTO",$M29)&gt;0</formula>
    </cfRule>
    <cfRule type="expression" dxfId="1048" priority="779">
      <formula>SEARCH("DA CHIUDERE",$M29)&gt;0</formula>
    </cfRule>
    <cfRule type="expression" dxfId="1047" priority="780">
      <formula>SEARCH("INTERROTTO",$M29)&gt;0</formula>
    </cfRule>
  </conditionalFormatting>
  <conditionalFormatting sqref="M29">
    <cfRule type="expression" dxfId="1046" priority="769">
      <formula>SEARCH("IN CORSO",$M29)&gt;0</formula>
    </cfRule>
    <cfRule type="expression" dxfId="1045" priority="770">
      <formula>SEARCH("CHIUSO",$M29)&gt;0</formula>
    </cfRule>
    <cfRule type="expression" dxfId="1044" priority="771">
      <formula>SEARCH("EMESSO",$M29)&gt;0</formula>
    </cfRule>
    <cfRule type="expression" dxfId="1043" priority="772">
      <formula>SEARCH("RICHIESTO",$M29)&gt;0</formula>
    </cfRule>
    <cfRule type="expression" dxfId="1042" priority="773">
      <formula>SEARCH("DA CHIUDERE",$M29)&gt;0</formula>
    </cfRule>
    <cfRule type="expression" dxfId="1041" priority="774">
      <formula>SEARCH("INTERROTTO",$M29)&gt;0</formula>
    </cfRule>
  </conditionalFormatting>
  <conditionalFormatting sqref="N28:S28">
    <cfRule type="expression" dxfId="1040" priority="763">
      <formula>SEARCH("IN CORSO",$M28)&gt;0</formula>
    </cfRule>
    <cfRule type="expression" dxfId="1039" priority="764">
      <formula>SEARCH("CHIUSO",$M28)&gt;0</formula>
    </cfRule>
    <cfRule type="expression" dxfId="1038" priority="765">
      <formula>SEARCH("EMESSO",$M28)&gt;0</formula>
    </cfRule>
    <cfRule type="expression" dxfId="1037" priority="766">
      <formula>SEARCH("RICHIESTO",$M28)&gt;0</formula>
    </cfRule>
    <cfRule type="expression" dxfId="1036" priority="767">
      <formula>SEARCH("DA CHIUDERE",$M28)&gt;0</formula>
    </cfRule>
    <cfRule type="expression" dxfId="1035" priority="768">
      <formula>SEARCH("INTERROTTO",$M28)&gt;0</formula>
    </cfRule>
  </conditionalFormatting>
  <conditionalFormatting sqref="G28">
    <cfRule type="expression" dxfId="1034" priority="751">
      <formula>SEARCH("IN CORSO",$M28)&gt;0</formula>
    </cfRule>
    <cfRule type="expression" dxfId="1033" priority="752">
      <formula>SEARCH("CHIUSO",$M28)&gt;0</formula>
    </cfRule>
    <cfRule type="expression" dxfId="1032" priority="753">
      <formula>SEARCH("EMESSO",$M28)&gt;0</formula>
    </cfRule>
    <cfRule type="expression" dxfId="1031" priority="754">
      <formula>SEARCH("RICHIESTO",$M28)&gt;0</formula>
    </cfRule>
    <cfRule type="expression" dxfId="1030" priority="755">
      <formula>SEARCH("DA CHIUDERE",$M28)&gt;0</formula>
    </cfRule>
    <cfRule type="expression" dxfId="1029" priority="756">
      <formula>SEARCH("INTERROTTO",$M28)&gt;0</formula>
    </cfRule>
  </conditionalFormatting>
  <conditionalFormatting sqref="E28">
    <cfRule type="expression" dxfId="1028" priority="757">
      <formula>SEARCH("IN CORSO",$M28)&gt;0</formula>
    </cfRule>
    <cfRule type="expression" dxfId="1027" priority="758">
      <formula>SEARCH("CHIUSO",$M28)&gt;0</formula>
    </cfRule>
    <cfRule type="expression" dxfId="1026" priority="759">
      <formula>SEARCH("EMESSO",$M28)&gt;0</formula>
    </cfRule>
    <cfRule type="expression" dxfId="1025" priority="760">
      <formula>SEARCH("RICHIESTO",$M28)&gt;0</formula>
    </cfRule>
    <cfRule type="expression" dxfId="1024" priority="761">
      <formula>SEARCH("DA CHIUDERE",$M28)&gt;0</formula>
    </cfRule>
    <cfRule type="expression" dxfId="1023" priority="762">
      <formula>SEARCH("INTERROTTO",$M28)&gt;0</formula>
    </cfRule>
  </conditionalFormatting>
  <conditionalFormatting sqref="F28">
    <cfRule type="expression" dxfId="1022" priority="745">
      <formula>SEARCH("IN CORSO",$M28)&gt;0</formula>
    </cfRule>
    <cfRule type="expression" dxfId="1021" priority="746">
      <formula>SEARCH("CHIUSO",$M28)&gt;0</formula>
    </cfRule>
    <cfRule type="expression" dxfId="1020" priority="747">
      <formula>SEARCH("EMESSO",$M28)&gt;0</formula>
    </cfRule>
    <cfRule type="expression" dxfId="1019" priority="748">
      <formula>SEARCH("RICHIESTO",$M28)&gt;0</formula>
    </cfRule>
    <cfRule type="expression" dxfId="1018" priority="749">
      <formula>SEARCH("DA CHIUDERE",$M28)&gt;0</formula>
    </cfRule>
    <cfRule type="expression" dxfId="1017" priority="750">
      <formula>SEARCH("INTERROTTO",$M28)&gt;0</formula>
    </cfRule>
  </conditionalFormatting>
  <conditionalFormatting sqref="M28">
    <cfRule type="expression" dxfId="1016" priority="739">
      <formula>SEARCH("IN CORSO",$M28)&gt;0</formula>
    </cfRule>
    <cfRule type="expression" dxfId="1015" priority="740">
      <formula>SEARCH("CHIUSO",$M28)&gt;0</formula>
    </cfRule>
    <cfRule type="expression" dxfId="1014" priority="741">
      <formula>SEARCH("EMESSO",$M28)&gt;0</formula>
    </cfRule>
    <cfRule type="expression" dxfId="1013" priority="742">
      <formula>SEARCH("RICHIESTO",$M28)&gt;0</formula>
    </cfRule>
    <cfRule type="expression" dxfId="1012" priority="743">
      <formula>SEARCH("DA CHIUDERE",$M28)&gt;0</formula>
    </cfRule>
    <cfRule type="expression" dxfId="1011" priority="744">
      <formula>SEARCH("INTERROTTO",$M28)&gt;0</formula>
    </cfRule>
  </conditionalFormatting>
  <conditionalFormatting sqref="N27:S27">
    <cfRule type="expression" dxfId="1010" priority="733">
      <formula>SEARCH("IN CORSO",$M27)&gt;0</formula>
    </cfRule>
    <cfRule type="expression" dxfId="1009" priority="734">
      <formula>SEARCH("CHIUSO",$M27)&gt;0</formula>
    </cfRule>
    <cfRule type="expression" dxfId="1008" priority="735">
      <formula>SEARCH("EMESSO",$M27)&gt;0</formula>
    </cfRule>
    <cfRule type="expression" dxfId="1007" priority="736">
      <formula>SEARCH("RICHIESTO",$M27)&gt;0</formula>
    </cfRule>
    <cfRule type="expression" dxfId="1006" priority="737">
      <formula>SEARCH("DA CHIUDERE",$M27)&gt;0</formula>
    </cfRule>
    <cfRule type="expression" dxfId="1005" priority="738">
      <formula>SEARCH("INTERROTTO",$M27)&gt;0</formula>
    </cfRule>
  </conditionalFormatting>
  <conditionalFormatting sqref="G27">
    <cfRule type="expression" dxfId="1004" priority="721">
      <formula>SEARCH("IN CORSO",$M27)&gt;0</formula>
    </cfRule>
    <cfRule type="expression" dxfId="1003" priority="722">
      <formula>SEARCH("CHIUSO",$M27)&gt;0</formula>
    </cfRule>
    <cfRule type="expression" dxfId="1002" priority="723">
      <formula>SEARCH("EMESSO",$M27)&gt;0</formula>
    </cfRule>
    <cfRule type="expression" dxfId="1001" priority="724">
      <formula>SEARCH("RICHIESTO",$M27)&gt;0</formula>
    </cfRule>
    <cfRule type="expression" dxfId="1000" priority="725">
      <formula>SEARCH("DA CHIUDERE",$M27)&gt;0</formula>
    </cfRule>
    <cfRule type="expression" dxfId="999" priority="726">
      <formula>SEARCH("INTERROTTO",$M27)&gt;0</formula>
    </cfRule>
  </conditionalFormatting>
  <conditionalFormatting sqref="E27">
    <cfRule type="expression" dxfId="998" priority="727">
      <formula>SEARCH("IN CORSO",$M27)&gt;0</formula>
    </cfRule>
    <cfRule type="expression" dxfId="997" priority="728">
      <formula>SEARCH("CHIUSO",$M27)&gt;0</formula>
    </cfRule>
    <cfRule type="expression" dxfId="996" priority="729">
      <formula>SEARCH("EMESSO",$M27)&gt;0</formula>
    </cfRule>
    <cfRule type="expression" dxfId="995" priority="730">
      <formula>SEARCH("RICHIESTO",$M27)&gt;0</formula>
    </cfRule>
    <cfRule type="expression" dxfId="994" priority="731">
      <formula>SEARCH("DA CHIUDERE",$M27)&gt;0</formula>
    </cfRule>
    <cfRule type="expression" dxfId="993" priority="732">
      <formula>SEARCH("INTERROTTO",$M27)&gt;0</formula>
    </cfRule>
  </conditionalFormatting>
  <conditionalFormatting sqref="F27">
    <cfRule type="expression" dxfId="992" priority="715">
      <formula>SEARCH("IN CORSO",$M27)&gt;0</formula>
    </cfRule>
    <cfRule type="expression" dxfId="991" priority="716">
      <formula>SEARCH("CHIUSO",$M27)&gt;0</formula>
    </cfRule>
    <cfRule type="expression" dxfId="990" priority="717">
      <formula>SEARCH("EMESSO",$M27)&gt;0</formula>
    </cfRule>
    <cfRule type="expression" dxfId="989" priority="718">
      <formula>SEARCH("RICHIESTO",$M27)&gt;0</formula>
    </cfRule>
    <cfRule type="expression" dxfId="988" priority="719">
      <formula>SEARCH("DA CHIUDERE",$M27)&gt;0</formula>
    </cfRule>
    <cfRule type="expression" dxfId="987" priority="720">
      <formula>SEARCH("INTERROTTO",$M27)&gt;0</formula>
    </cfRule>
  </conditionalFormatting>
  <conditionalFormatting sqref="M27">
    <cfRule type="expression" dxfId="986" priority="709">
      <formula>SEARCH("IN CORSO",$M27)&gt;0</formula>
    </cfRule>
    <cfRule type="expression" dxfId="985" priority="710">
      <formula>SEARCH("CHIUSO",$M27)&gt;0</formula>
    </cfRule>
    <cfRule type="expression" dxfId="984" priority="711">
      <formula>SEARCH("EMESSO",$M27)&gt;0</formula>
    </cfRule>
    <cfRule type="expression" dxfId="983" priority="712">
      <formula>SEARCH("RICHIESTO",$M27)&gt;0</formula>
    </cfRule>
    <cfRule type="expression" dxfId="982" priority="713">
      <formula>SEARCH("DA CHIUDERE",$M27)&gt;0</formula>
    </cfRule>
    <cfRule type="expression" dxfId="981" priority="714">
      <formula>SEARCH("INTERROTTO",$M27)&gt;0</formula>
    </cfRule>
  </conditionalFormatting>
  <conditionalFormatting sqref="N26:S26">
    <cfRule type="expression" dxfId="980" priority="703">
      <formula>SEARCH("IN CORSO",$M26)&gt;0</formula>
    </cfRule>
    <cfRule type="expression" dxfId="979" priority="704">
      <formula>SEARCH("CHIUSO",$M26)&gt;0</formula>
    </cfRule>
    <cfRule type="expression" dxfId="978" priority="705">
      <formula>SEARCH("EMESSO",$M26)&gt;0</formula>
    </cfRule>
    <cfRule type="expression" dxfId="977" priority="706">
      <formula>SEARCH("RICHIESTO",$M26)&gt;0</formula>
    </cfRule>
    <cfRule type="expression" dxfId="976" priority="707">
      <formula>SEARCH("DA CHIUDERE",$M26)&gt;0</formula>
    </cfRule>
    <cfRule type="expression" dxfId="975" priority="708">
      <formula>SEARCH("INTERROTTO",$M26)&gt;0</formula>
    </cfRule>
  </conditionalFormatting>
  <conditionalFormatting sqref="G26">
    <cfRule type="expression" dxfId="974" priority="691">
      <formula>SEARCH("IN CORSO",$M26)&gt;0</formula>
    </cfRule>
    <cfRule type="expression" dxfId="973" priority="692">
      <formula>SEARCH("CHIUSO",$M26)&gt;0</formula>
    </cfRule>
    <cfRule type="expression" dxfId="972" priority="693">
      <formula>SEARCH("EMESSO",$M26)&gt;0</formula>
    </cfRule>
    <cfRule type="expression" dxfId="971" priority="694">
      <formula>SEARCH("RICHIESTO",$M26)&gt;0</formula>
    </cfRule>
    <cfRule type="expression" dxfId="970" priority="695">
      <formula>SEARCH("DA CHIUDERE",$M26)&gt;0</formula>
    </cfRule>
    <cfRule type="expression" dxfId="969" priority="696">
      <formula>SEARCH("INTERROTTO",$M26)&gt;0</formula>
    </cfRule>
  </conditionalFormatting>
  <conditionalFormatting sqref="E26">
    <cfRule type="expression" dxfId="968" priority="697">
      <formula>SEARCH("IN CORSO",$M26)&gt;0</formula>
    </cfRule>
    <cfRule type="expression" dxfId="967" priority="698">
      <formula>SEARCH("CHIUSO",$M26)&gt;0</formula>
    </cfRule>
    <cfRule type="expression" dxfId="966" priority="699">
      <formula>SEARCH("EMESSO",$M26)&gt;0</formula>
    </cfRule>
    <cfRule type="expression" dxfId="965" priority="700">
      <formula>SEARCH("RICHIESTO",$M26)&gt;0</formula>
    </cfRule>
    <cfRule type="expression" dxfId="964" priority="701">
      <formula>SEARCH("DA CHIUDERE",$M26)&gt;0</formula>
    </cfRule>
    <cfRule type="expression" dxfId="963" priority="702">
      <formula>SEARCH("INTERROTTO",$M26)&gt;0</formula>
    </cfRule>
  </conditionalFormatting>
  <conditionalFormatting sqref="F26">
    <cfRule type="expression" dxfId="962" priority="685">
      <formula>SEARCH("IN CORSO",$M26)&gt;0</formula>
    </cfRule>
    <cfRule type="expression" dxfId="961" priority="686">
      <formula>SEARCH("CHIUSO",$M26)&gt;0</formula>
    </cfRule>
    <cfRule type="expression" dxfId="960" priority="687">
      <formula>SEARCH("EMESSO",$M26)&gt;0</formula>
    </cfRule>
    <cfRule type="expression" dxfId="959" priority="688">
      <formula>SEARCH("RICHIESTO",$M26)&gt;0</formula>
    </cfRule>
    <cfRule type="expression" dxfId="958" priority="689">
      <formula>SEARCH("DA CHIUDERE",$M26)&gt;0</formula>
    </cfRule>
    <cfRule type="expression" dxfId="957" priority="690">
      <formula>SEARCH("INTERROTTO",$M26)&gt;0</formula>
    </cfRule>
  </conditionalFormatting>
  <conditionalFormatting sqref="M26">
    <cfRule type="expression" dxfId="956" priority="679">
      <formula>SEARCH("IN CORSO",$M26)&gt;0</formula>
    </cfRule>
    <cfRule type="expression" dxfId="955" priority="680">
      <formula>SEARCH("CHIUSO",$M26)&gt;0</formula>
    </cfRule>
    <cfRule type="expression" dxfId="954" priority="681">
      <formula>SEARCH("EMESSO",$M26)&gt;0</formula>
    </cfRule>
    <cfRule type="expression" dxfId="953" priority="682">
      <formula>SEARCH("RICHIESTO",$M26)&gt;0</formula>
    </cfRule>
    <cfRule type="expression" dxfId="952" priority="683">
      <formula>SEARCH("DA CHIUDERE",$M26)&gt;0</formula>
    </cfRule>
    <cfRule type="expression" dxfId="951" priority="684">
      <formula>SEARCH("INTERROTTO",$M26)&gt;0</formula>
    </cfRule>
  </conditionalFormatting>
  <conditionalFormatting sqref="N25:S25">
    <cfRule type="expression" dxfId="950" priority="673">
      <formula>SEARCH("IN CORSO",$M25)&gt;0</formula>
    </cfRule>
    <cfRule type="expression" dxfId="949" priority="674">
      <formula>SEARCH("CHIUSO",$M25)&gt;0</formula>
    </cfRule>
    <cfRule type="expression" dxfId="948" priority="675">
      <formula>SEARCH("EMESSO",$M25)&gt;0</formula>
    </cfRule>
    <cfRule type="expression" dxfId="947" priority="676">
      <formula>SEARCH("RICHIESTO",$M25)&gt;0</formula>
    </cfRule>
    <cfRule type="expression" dxfId="946" priority="677">
      <formula>SEARCH("DA CHIUDERE",$M25)&gt;0</formula>
    </cfRule>
    <cfRule type="expression" dxfId="945" priority="678">
      <formula>SEARCH("INTERROTTO",$M25)&gt;0</formula>
    </cfRule>
  </conditionalFormatting>
  <conditionalFormatting sqref="G25">
    <cfRule type="expression" dxfId="944" priority="661">
      <formula>SEARCH("IN CORSO",$M25)&gt;0</formula>
    </cfRule>
    <cfRule type="expression" dxfId="943" priority="662">
      <formula>SEARCH("CHIUSO",$M25)&gt;0</formula>
    </cfRule>
    <cfRule type="expression" dxfId="942" priority="663">
      <formula>SEARCH("EMESSO",$M25)&gt;0</formula>
    </cfRule>
    <cfRule type="expression" dxfId="941" priority="664">
      <formula>SEARCH("RICHIESTO",$M25)&gt;0</formula>
    </cfRule>
    <cfRule type="expression" dxfId="940" priority="665">
      <formula>SEARCH("DA CHIUDERE",$M25)&gt;0</formula>
    </cfRule>
    <cfRule type="expression" dxfId="939" priority="666">
      <formula>SEARCH("INTERROTTO",$M25)&gt;0</formula>
    </cfRule>
  </conditionalFormatting>
  <conditionalFormatting sqref="E25">
    <cfRule type="expression" dxfId="938" priority="667">
      <formula>SEARCH("IN CORSO",$M25)&gt;0</formula>
    </cfRule>
    <cfRule type="expression" dxfId="937" priority="668">
      <formula>SEARCH("CHIUSO",$M25)&gt;0</formula>
    </cfRule>
    <cfRule type="expression" dxfId="936" priority="669">
      <formula>SEARCH("EMESSO",$M25)&gt;0</formula>
    </cfRule>
    <cfRule type="expression" dxfId="935" priority="670">
      <formula>SEARCH("RICHIESTO",$M25)&gt;0</formula>
    </cfRule>
    <cfRule type="expression" dxfId="934" priority="671">
      <formula>SEARCH("DA CHIUDERE",$M25)&gt;0</formula>
    </cfRule>
    <cfRule type="expression" dxfId="933" priority="672">
      <formula>SEARCH("INTERROTTO",$M25)&gt;0</formula>
    </cfRule>
  </conditionalFormatting>
  <conditionalFormatting sqref="F25">
    <cfRule type="expression" dxfId="932" priority="655">
      <formula>SEARCH("IN CORSO",$M25)&gt;0</formula>
    </cfRule>
    <cfRule type="expression" dxfId="931" priority="656">
      <formula>SEARCH("CHIUSO",$M25)&gt;0</formula>
    </cfRule>
    <cfRule type="expression" dxfId="930" priority="657">
      <formula>SEARCH("EMESSO",$M25)&gt;0</formula>
    </cfRule>
    <cfRule type="expression" dxfId="929" priority="658">
      <formula>SEARCH("RICHIESTO",$M25)&gt;0</formula>
    </cfRule>
    <cfRule type="expression" dxfId="928" priority="659">
      <formula>SEARCH("DA CHIUDERE",$M25)&gt;0</formula>
    </cfRule>
    <cfRule type="expression" dxfId="927" priority="660">
      <formula>SEARCH("INTERROTTO",$M25)&gt;0</formula>
    </cfRule>
  </conditionalFormatting>
  <conditionalFormatting sqref="M25">
    <cfRule type="expression" dxfId="926" priority="649">
      <formula>SEARCH("IN CORSO",$M25)&gt;0</formula>
    </cfRule>
    <cfRule type="expression" dxfId="925" priority="650">
      <formula>SEARCH("CHIUSO",$M25)&gt;0</formula>
    </cfRule>
    <cfRule type="expression" dxfId="924" priority="651">
      <formula>SEARCH("EMESSO",$M25)&gt;0</formula>
    </cfRule>
    <cfRule type="expression" dxfId="923" priority="652">
      <formula>SEARCH("RICHIESTO",$M25)&gt;0</formula>
    </cfRule>
    <cfRule type="expression" dxfId="922" priority="653">
      <formula>SEARCH("DA CHIUDERE",$M25)&gt;0</formula>
    </cfRule>
    <cfRule type="expression" dxfId="921" priority="654">
      <formula>SEARCH("INTERROTTO",$M25)&gt;0</formula>
    </cfRule>
  </conditionalFormatting>
  <conditionalFormatting sqref="N24:S24">
    <cfRule type="expression" dxfId="920" priority="643">
      <formula>SEARCH("IN CORSO",$M24)&gt;0</formula>
    </cfRule>
    <cfRule type="expression" dxfId="919" priority="644">
      <formula>SEARCH("CHIUSO",$M24)&gt;0</formula>
    </cfRule>
    <cfRule type="expression" dxfId="918" priority="645">
      <formula>SEARCH("EMESSO",$M24)&gt;0</formula>
    </cfRule>
    <cfRule type="expression" dxfId="917" priority="646">
      <formula>SEARCH("RICHIESTO",$M24)&gt;0</formula>
    </cfRule>
    <cfRule type="expression" dxfId="916" priority="647">
      <formula>SEARCH("DA CHIUDERE",$M24)&gt;0</formula>
    </cfRule>
    <cfRule type="expression" dxfId="915" priority="648">
      <formula>SEARCH("INTERROTTO",$M24)&gt;0</formula>
    </cfRule>
  </conditionalFormatting>
  <conditionalFormatting sqref="G24">
    <cfRule type="expression" dxfId="914" priority="631">
      <formula>SEARCH("IN CORSO",$M24)&gt;0</formula>
    </cfRule>
    <cfRule type="expression" dxfId="913" priority="632">
      <formula>SEARCH("CHIUSO",$M24)&gt;0</formula>
    </cfRule>
    <cfRule type="expression" dxfId="912" priority="633">
      <formula>SEARCH("EMESSO",$M24)&gt;0</formula>
    </cfRule>
    <cfRule type="expression" dxfId="911" priority="634">
      <formula>SEARCH("RICHIESTO",$M24)&gt;0</formula>
    </cfRule>
    <cfRule type="expression" dxfId="910" priority="635">
      <formula>SEARCH("DA CHIUDERE",$M24)&gt;0</formula>
    </cfRule>
    <cfRule type="expression" dxfId="909" priority="636">
      <formula>SEARCH("INTERROTTO",$M24)&gt;0</formula>
    </cfRule>
  </conditionalFormatting>
  <conditionalFormatting sqref="E24">
    <cfRule type="expression" dxfId="908" priority="637">
      <formula>SEARCH("IN CORSO",$M24)&gt;0</formula>
    </cfRule>
    <cfRule type="expression" dxfId="907" priority="638">
      <formula>SEARCH("CHIUSO",$M24)&gt;0</formula>
    </cfRule>
    <cfRule type="expression" dxfId="906" priority="639">
      <formula>SEARCH("EMESSO",$M24)&gt;0</formula>
    </cfRule>
    <cfRule type="expression" dxfId="905" priority="640">
      <formula>SEARCH("RICHIESTO",$M24)&gt;0</formula>
    </cfRule>
    <cfRule type="expression" dxfId="904" priority="641">
      <formula>SEARCH("DA CHIUDERE",$M24)&gt;0</formula>
    </cfRule>
    <cfRule type="expression" dxfId="903" priority="642">
      <formula>SEARCH("INTERROTTO",$M24)&gt;0</formula>
    </cfRule>
  </conditionalFormatting>
  <conditionalFormatting sqref="F24">
    <cfRule type="expression" dxfId="902" priority="625">
      <formula>SEARCH("IN CORSO",$M24)&gt;0</formula>
    </cfRule>
    <cfRule type="expression" dxfId="901" priority="626">
      <formula>SEARCH("CHIUSO",$M24)&gt;0</formula>
    </cfRule>
    <cfRule type="expression" dxfId="900" priority="627">
      <formula>SEARCH("EMESSO",$M24)&gt;0</formula>
    </cfRule>
    <cfRule type="expression" dxfId="899" priority="628">
      <formula>SEARCH("RICHIESTO",$M24)&gt;0</formula>
    </cfRule>
    <cfRule type="expression" dxfId="898" priority="629">
      <formula>SEARCH("DA CHIUDERE",$M24)&gt;0</formula>
    </cfRule>
    <cfRule type="expression" dxfId="897" priority="630">
      <formula>SEARCH("INTERROTTO",$M24)&gt;0</formula>
    </cfRule>
  </conditionalFormatting>
  <conditionalFormatting sqref="M24">
    <cfRule type="expression" dxfId="896" priority="619">
      <formula>SEARCH("IN CORSO",$M24)&gt;0</formula>
    </cfRule>
    <cfRule type="expression" dxfId="895" priority="620">
      <formula>SEARCH("CHIUSO",$M24)&gt;0</formula>
    </cfRule>
    <cfRule type="expression" dxfId="894" priority="621">
      <formula>SEARCH("EMESSO",$M24)&gt;0</formula>
    </cfRule>
    <cfRule type="expression" dxfId="893" priority="622">
      <formula>SEARCH("RICHIESTO",$M24)&gt;0</formula>
    </cfRule>
    <cfRule type="expression" dxfId="892" priority="623">
      <formula>SEARCH("DA CHIUDERE",$M24)&gt;0</formula>
    </cfRule>
    <cfRule type="expression" dxfId="891" priority="624">
      <formula>SEARCH("INTERROTTO",$M24)&gt;0</formula>
    </cfRule>
  </conditionalFormatting>
  <conditionalFormatting sqref="N23:S23">
    <cfRule type="expression" dxfId="890" priority="613">
      <formula>SEARCH("IN CORSO",$M23)&gt;0</formula>
    </cfRule>
    <cfRule type="expression" dxfId="889" priority="614">
      <formula>SEARCH("CHIUSO",$M23)&gt;0</formula>
    </cfRule>
    <cfRule type="expression" dxfId="888" priority="615">
      <formula>SEARCH("EMESSO",$M23)&gt;0</formula>
    </cfRule>
    <cfRule type="expression" dxfId="887" priority="616">
      <formula>SEARCH("RICHIESTO",$M23)&gt;0</formula>
    </cfRule>
    <cfRule type="expression" dxfId="886" priority="617">
      <formula>SEARCH("DA CHIUDERE",$M23)&gt;0</formula>
    </cfRule>
    <cfRule type="expression" dxfId="885" priority="618">
      <formula>SEARCH("INTERROTTO",$M23)&gt;0</formula>
    </cfRule>
  </conditionalFormatting>
  <conditionalFormatting sqref="G23">
    <cfRule type="expression" dxfId="884" priority="601">
      <formula>SEARCH("IN CORSO",$M23)&gt;0</formula>
    </cfRule>
    <cfRule type="expression" dxfId="883" priority="602">
      <formula>SEARCH("CHIUSO",$M23)&gt;0</formula>
    </cfRule>
    <cfRule type="expression" dxfId="882" priority="603">
      <formula>SEARCH("EMESSO",$M23)&gt;0</formula>
    </cfRule>
    <cfRule type="expression" dxfId="881" priority="604">
      <formula>SEARCH("RICHIESTO",$M23)&gt;0</formula>
    </cfRule>
    <cfRule type="expression" dxfId="880" priority="605">
      <formula>SEARCH("DA CHIUDERE",$M23)&gt;0</formula>
    </cfRule>
    <cfRule type="expression" dxfId="879" priority="606">
      <formula>SEARCH("INTERROTTO",$M23)&gt;0</formula>
    </cfRule>
  </conditionalFormatting>
  <conditionalFormatting sqref="E23">
    <cfRule type="expression" dxfId="878" priority="607">
      <formula>SEARCH("IN CORSO",$M23)&gt;0</formula>
    </cfRule>
    <cfRule type="expression" dxfId="877" priority="608">
      <formula>SEARCH("CHIUSO",$M23)&gt;0</formula>
    </cfRule>
    <cfRule type="expression" dxfId="876" priority="609">
      <formula>SEARCH("EMESSO",$M23)&gt;0</formula>
    </cfRule>
    <cfRule type="expression" dxfId="875" priority="610">
      <formula>SEARCH("RICHIESTO",$M23)&gt;0</formula>
    </cfRule>
    <cfRule type="expression" dxfId="874" priority="611">
      <formula>SEARCH("DA CHIUDERE",$M23)&gt;0</formula>
    </cfRule>
    <cfRule type="expression" dxfId="873" priority="612">
      <formula>SEARCH("INTERROTTO",$M23)&gt;0</formula>
    </cfRule>
  </conditionalFormatting>
  <conditionalFormatting sqref="F23">
    <cfRule type="expression" dxfId="872" priority="595">
      <formula>SEARCH("IN CORSO",$M23)&gt;0</formula>
    </cfRule>
    <cfRule type="expression" dxfId="871" priority="596">
      <formula>SEARCH("CHIUSO",$M23)&gt;0</formula>
    </cfRule>
    <cfRule type="expression" dxfId="870" priority="597">
      <formula>SEARCH("EMESSO",$M23)&gt;0</formula>
    </cfRule>
    <cfRule type="expression" dxfId="869" priority="598">
      <formula>SEARCH("RICHIESTO",$M23)&gt;0</formula>
    </cfRule>
    <cfRule type="expression" dxfId="868" priority="599">
      <formula>SEARCH("DA CHIUDERE",$M23)&gt;0</formula>
    </cfRule>
    <cfRule type="expression" dxfId="867" priority="600">
      <formula>SEARCH("INTERROTTO",$M23)&gt;0</formula>
    </cfRule>
  </conditionalFormatting>
  <conditionalFormatting sqref="M23">
    <cfRule type="expression" dxfId="866" priority="589">
      <formula>SEARCH("IN CORSO",$M23)&gt;0</formula>
    </cfRule>
    <cfRule type="expression" dxfId="865" priority="590">
      <formula>SEARCH("CHIUSO",$M23)&gt;0</formula>
    </cfRule>
    <cfRule type="expression" dxfId="864" priority="591">
      <formula>SEARCH("EMESSO",$M23)&gt;0</formula>
    </cfRule>
    <cfRule type="expression" dxfId="863" priority="592">
      <formula>SEARCH("RICHIESTO",$M23)&gt;0</formula>
    </cfRule>
    <cfRule type="expression" dxfId="862" priority="593">
      <formula>SEARCH("DA CHIUDERE",$M23)&gt;0</formula>
    </cfRule>
    <cfRule type="expression" dxfId="861" priority="594">
      <formula>SEARCH("INTERROTTO",$M23)&gt;0</formula>
    </cfRule>
  </conditionalFormatting>
  <conditionalFormatting sqref="N22:S22">
    <cfRule type="expression" dxfId="860" priority="583">
      <formula>SEARCH("IN CORSO",$M22)&gt;0</formula>
    </cfRule>
    <cfRule type="expression" dxfId="859" priority="584">
      <formula>SEARCH("CHIUSO",$M22)&gt;0</formula>
    </cfRule>
    <cfRule type="expression" dxfId="858" priority="585">
      <formula>SEARCH("EMESSO",$M22)&gt;0</formula>
    </cfRule>
    <cfRule type="expression" dxfId="857" priority="586">
      <formula>SEARCH("RICHIESTO",$M22)&gt;0</formula>
    </cfRule>
    <cfRule type="expression" dxfId="856" priority="587">
      <formula>SEARCH("DA CHIUDERE",$M22)&gt;0</formula>
    </cfRule>
    <cfRule type="expression" dxfId="855" priority="588">
      <formula>SEARCH("INTERROTTO",$M22)&gt;0</formula>
    </cfRule>
  </conditionalFormatting>
  <conditionalFormatting sqref="G22">
    <cfRule type="expression" dxfId="854" priority="571">
      <formula>SEARCH("IN CORSO",$M22)&gt;0</formula>
    </cfRule>
    <cfRule type="expression" dxfId="853" priority="572">
      <formula>SEARCH("CHIUSO",$M22)&gt;0</formula>
    </cfRule>
    <cfRule type="expression" dxfId="852" priority="573">
      <formula>SEARCH("EMESSO",$M22)&gt;0</formula>
    </cfRule>
    <cfRule type="expression" dxfId="851" priority="574">
      <formula>SEARCH("RICHIESTO",$M22)&gt;0</formula>
    </cfRule>
    <cfRule type="expression" dxfId="850" priority="575">
      <formula>SEARCH("DA CHIUDERE",$M22)&gt;0</formula>
    </cfRule>
    <cfRule type="expression" dxfId="849" priority="576">
      <formula>SEARCH("INTERROTTO",$M22)&gt;0</formula>
    </cfRule>
  </conditionalFormatting>
  <conditionalFormatting sqref="E22">
    <cfRule type="expression" dxfId="848" priority="577">
      <formula>SEARCH("IN CORSO",$M22)&gt;0</formula>
    </cfRule>
    <cfRule type="expression" dxfId="847" priority="578">
      <formula>SEARCH("CHIUSO",$M22)&gt;0</formula>
    </cfRule>
    <cfRule type="expression" dxfId="846" priority="579">
      <formula>SEARCH("EMESSO",$M22)&gt;0</formula>
    </cfRule>
    <cfRule type="expression" dxfId="845" priority="580">
      <formula>SEARCH("RICHIESTO",$M22)&gt;0</formula>
    </cfRule>
    <cfRule type="expression" dxfId="844" priority="581">
      <formula>SEARCH("DA CHIUDERE",$M22)&gt;0</formula>
    </cfRule>
    <cfRule type="expression" dxfId="843" priority="582">
      <formula>SEARCH("INTERROTTO",$M22)&gt;0</formula>
    </cfRule>
  </conditionalFormatting>
  <conditionalFormatting sqref="F22">
    <cfRule type="expression" dxfId="842" priority="565">
      <formula>SEARCH("IN CORSO",$M22)&gt;0</formula>
    </cfRule>
    <cfRule type="expression" dxfId="841" priority="566">
      <formula>SEARCH("CHIUSO",$M22)&gt;0</formula>
    </cfRule>
    <cfRule type="expression" dxfId="840" priority="567">
      <formula>SEARCH("EMESSO",$M22)&gt;0</formula>
    </cfRule>
    <cfRule type="expression" dxfId="839" priority="568">
      <formula>SEARCH("RICHIESTO",$M22)&gt;0</formula>
    </cfRule>
    <cfRule type="expression" dxfId="838" priority="569">
      <formula>SEARCH("DA CHIUDERE",$M22)&gt;0</formula>
    </cfRule>
    <cfRule type="expression" dxfId="837" priority="570">
      <formula>SEARCH("INTERROTTO",$M22)&gt;0</formula>
    </cfRule>
  </conditionalFormatting>
  <conditionalFormatting sqref="M22">
    <cfRule type="expression" dxfId="836" priority="559">
      <formula>SEARCH("IN CORSO",$M22)&gt;0</formula>
    </cfRule>
    <cfRule type="expression" dxfId="835" priority="560">
      <formula>SEARCH("CHIUSO",$M22)&gt;0</formula>
    </cfRule>
    <cfRule type="expression" dxfId="834" priority="561">
      <formula>SEARCH("EMESSO",$M22)&gt;0</formula>
    </cfRule>
    <cfRule type="expression" dxfId="833" priority="562">
      <formula>SEARCH("RICHIESTO",$M22)&gt;0</formula>
    </cfRule>
    <cfRule type="expression" dxfId="832" priority="563">
      <formula>SEARCH("DA CHIUDERE",$M22)&gt;0</formula>
    </cfRule>
    <cfRule type="expression" dxfId="831" priority="564">
      <formula>SEARCH("INTERROTTO",$M22)&gt;0</formula>
    </cfRule>
  </conditionalFormatting>
  <conditionalFormatting sqref="N21:S21">
    <cfRule type="expression" dxfId="830" priority="553">
      <formula>SEARCH("IN CORSO",$M21)&gt;0</formula>
    </cfRule>
    <cfRule type="expression" dxfId="829" priority="554">
      <formula>SEARCH("CHIUSO",$M21)&gt;0</formula>
    </cfRule>
    <cfRule type="expression" dxfId="828" priority="555">
      <formula>SEARCH("EMESSO",$M21)&gt;0</formula>
    </cfRule>
    <cfRule type="expression" dxfId="827" priority="556">
      <formula>SEARCH("RICHIESTO",$M21)&gt;0</formula>
    </cfRule>
    <cfRule type="expression" dxfId="826" priority="557">
      <formula>SEARCH("DA CHIUDERE",$M21)&gt;0</formula>
    </cfRule>
    <cfRule type="expression" dxfId="825" priority="558">
      <formula>SEARCH("INTERROTTO",$M21)&gt;0</formula>
    </cfRule>
  </conditionalFormatting>
  <conditionalFormatting sqref="G21">
    <cfRule type="expression" dxfId="824" priority="541">
      <formula>SEARCH("IN CORSO",$M21)&gt;0</formula>
    </cfRule>
    <cfRule type="expression" dxfId="823" priority="542">
      <formula>SEARCH("CHIUSO",$M21)&gt;0</formula>
    </cfRule>
    <cfRule type="expression" dxfId="822" priority="543">
      <formula>SEARCH("EMESSO",$M21)&gt;0</formula>
    </cfRule>
    <cfRule type="expression" dxfId="821" priority="544">
      <formula>SEARCH("RICHIESTO",$M21)&gt;0</formula>
    </cfRule>
    <cfRule type="expression" dxfId="820" priority="545">
      <formula>SEARCH("DA CHIUDERE",$M21)&gt;0</formula>
    </cfRule>
    <cfRule type="expression" dxfId="819" priority="546">
      <formula>SEARCH("INTERROTTO",$M21)&gt;0</formula>
    </cfRule>
  </conditionalFormatting>
  <conditionalFormatting sqref="E21">
    <cfRule type="expression" dxfId="818" priority="547">
      <formula>SEARCH("IN CORSO",$M21)&gt;0</formula>
    </cfRule>
    <cfRule type="expression" dxfId="817" priority="548">
      <formula>SEARCH("CHIUSO",$M21)&gt;0</formula>
    </cfRule>
    <cfRule type="expression" dxfId="816" priority="549">
      <formula>SEARCH("EMESSO",$M21)&gt;0</formula>
    </cfRule>
    <cfRule type="expression" dxfId="815" priority="550">
      <formula>SEARCH("RICHIESTO",$M21)&gt;0</formula>
    </cfRule>
    <cfRule type="expression" dxfId="814" priority="551">
      <formula>SEARCH("DA CHIUDERE",$M21)&gt;0</formula>
    </cfRule>
    <cfRule type="expression" dxfId="813" priority="552">
      <formula>SEARCH("INTERROTTO",$M21)&gt;0</formula>
    </cfRule>
  </conditionalFormatting>
  <conditionalFormatting sqref="F21">
    <cfRule type="expression" dxfId="812" priority="535">
      <formula>SEARCH("IN CORSO",$M21)&gt;0</formula>
    </cfRule>
    <cfRule type="expression" dxfId="811" priority="536">
      <formula>SEARCH("CHIUSO",$M21)&gt;0</formula>
    </cfRule>
    <cfRule type="expression" dxfId="810" priority="537">
      <formula>SEARCH("EMESSO",$M21)&gt;0</formula>
    </cfRule>
    <cfRule type="expression" dxfId="809" priority="538">
      <formula>SEARCH("RICHIESTO",$M21)&gt;0</formula>
    </cfRule>
    <cfRule type="expression" dxfId="808" priority="539">
      <formula>SEARCH("DA CHIUDERE",$M21)&gt;0</formula>
    </cfRule>
    <cfRule type="expression" dxfId="807" priority="540">
      <formula>SEARCH("INTERROTTO",$M21)&gt;0</formula>
    </cfRule>
  </conditionalFormatting>
  <conditionalFormatting sqref="M21">
    <cfRule type="expression" dxfId="806" priority="529">
      <formula>SEARCH("IN CORSO",$M21)&gt;0</formula>
    </cfRule>
    <cfRule type="expression" dxfId="805" priority="530">
      <formula>SEARCH("CHIUSO",$M21)&gt;0</formula>
    </cfRule>
    <cfRule type="expression" dxfId="804" priority="531">
      <formula>SEARCH("EMESSO",$M21)&gt;0</formula>
    </cfRule>
    <cfRule type="expression" dxfId="803" priority="532">
      <formula>SEARCH("RICHIESTO",$M21)&gt;0</formula>
    </cfRule>
    <cfRule type="expression" dxfId="802" priority="533">
      <formula>SEARCH("DA CHIUDERE",$M21)&gt;0</formula>
    </cfRule>
    <cfRule type="expression" dxfId="801" priority="534">
      <formula>SEARCH("INTERROTTO",$M21)&gt;0</formula>
    </cfRule>
  </conditionalFormatting>
  <conditionalFormatting sqref="N20:S20">
    <cfRule type="expression" dxfId="800" priority="523">
      <formula>SEARCH("IN CORSO",$M20)&gt;0</formula>
    </cfRule>
    <cfRule type="expression" dxfId="799" priority="524">
      <formula>SEARCH("CHIUSO",$M20)&gt;0</formula>
    </cfRule>
    <cfRule type="expression" dxfId="798" priority="525">
      <formula>SEARCH("EMESSO",$M20)&gt;0</formula>
    </cfRule>
    <cfRule type="expression" dxfId="797" priority="526">
      <formula>SEARCH("RICHIESTO",$M20)&gt;0</formula>
    </cfRule>
    <cfRule type="expression" dxfId="796" priority="527">
      <formula>SEARCH("DA CHIUDERE",$M20)&gt;0</formula>
    </cfRule>
    <cfRule type="expression" dxfId="795" priority="528">
      <formula>SEARCH("INTERROTTO",$M20)&gt;0</formula>
    </cfRule>
  </conditionalFormatting>
  <conditionalFormatting sqref="G20">
    <cfRule type="expression" dxfId="794" priority="511">
      <formula>SEARCH("IN CORSO",$M20)&gt;0</formula>
    </cfRule>
    <cfRule type="expression" dxfId="793" priority="512">
      <formula>SEARCH("CHIUSO",$M20)&gt;0</formula>
    </cfRule>
    <cfRule type="expression" dxfId="792" priority="513">
      <formula>SEARCH("EMESSO",$M20)&gt;0</formula>
    </cfRule>
    <cfRule type="expression" dxfId="791" priority="514">
      <formula>SEARCH("RICHIESTO",$M20)&gt;0</formula>
    </cfRule>
    <cfRule type="expression" dxfId="790" priority="515">
      <formula>SEARCH("DA CHIUDERE",$M20)&gt;0</formula>
    </cfRule>
    <cfRule type="expression" dxfId="789" priority="516">
      <formula>SEARCH("INTERROTTO",$M20)&gt;0</formula>
    </cfRule>
  </conditionalFormatting>
  <conditionalFormatting sqref="E20">
    <cfRule type="expression" dxfId="788" priority="517">
      <formula>SEARCH("IN CORSO",$M20)&gt;0</formula>
    </cfRule>
    <cfRule type="expression" dxfId="787" priority="518">
      <formula>SEARCH("CHIUSO",$M20)&gt;0</formula>
    </cfRule>
    <cfRule type="expression" dxfId="786" priority="519">
      <formula>SEARCH("EMESSO",$M20)&gt;0</formula>
    </cfRule>
    <cfRule type="expression" dxfId="785" priority="520">
      <formula>SEARCH("RICHIESTO",$M20)&gt;0</formula>
    </cfRule>
    <cfRule type="expression" dxfId="784" priority="521">
      <formula>SEARCH("DA CHIUDERE",$M20)&gt;0</formula>
    </cfRule>
    <cfRule type="expression" dxfId="783" priority="522">
      <formula>SEARCH("INTERROTTO",$M20)&gt;0</formula>
    </cfRule>
  </conditionalFormatting>
  <conditionalFormatting sqref="F20">
    <cfRule type="expression" dxfId="782" priority="505">
      <formula>SEARCH("IN CORSO",$M20)&gt;0</formula>
    </cfRule>
    <cfRule type="expression" dxfId="781" priority="506">
      <formula>SEARCH("CHIUSO",$M20)&gt;0</formula>
    </cfRule>
    <cfRule type="expression" dxfId="780" priority="507">
      <formula>SEARCH("EMESSO",$M20)&gt;0</formula>
    </cfRule>
    <cfRule type="expression" dxfId="779" priority="508">
      <formula>SEARCH("RICHIESTO",$M20)&gt;0</formula>
    </cfRule>
    <cfRule type="expression" dxfId="778" priority="509">
      <formula>SEARCH("DA CHIUDERE",$M20)&gt;0</formula>
    </cfRule>
    <cfRule type="expression" dxfId="777" priority="510">
      <formula>SEARCH("INTERROTTO",$M20)&gt;0</formula>
    </cfRule>
  </conditionalFormatting>
  <conditionalFormatting sqref="M20">
    <cfRule type="expression" dxfId="776" priority="499">
      <formula>SEARCH("IN CORSO",$M20)&gt;0</formula>
    </cfRule>
    <cfRule type="expression" dxfId="775" priority="500">
      <formula>SEARCH("CHIUSO",$M20)&gt;0</formula>
    </cfRule>
    <cfRule type="expression" dxfId="774" priority="501">
      <formula>SEARCH("EMESSO",$M20)&gt;0</formula>
    </cfRule>
    <cfRule type="expression" dxfId="773" priority="502">
      <formula>SEARCH("RICHIESTO",$M20)&gt;0</formula>
    </cfRule>
    <cfRule type="expression" dxfId="772" priority="503">
      <formula>SEARCH("DA CHIUDERE",$M20)&gt;0</formula>
    </cfRule>
    <cfRule type="expression" dxfId="771" priority="504">
      <formula>SEARCH("INTERROTTO",$M20)&gt;0</formula>
    </cfRule>
  </conditionalFormatting>
  <conditionalFormatting sqref="N19:S19">
    <cfRule type="expression" dxfId="770" priority="493">
      <formula>SEARCH("IN CORSO",$M19)&gt;0</formula>
    </cfRule>
    <cfRule type="expression" dxfId="769" priority="494">
      <formula>SEARCH("CHIUSO",$M19)&gt;0</formula>
    </cfRule>
    <cfRule type="expression" dxfId="768" priority="495">
      <formula>SEARCH("EMESSO",$M19)&gt;0</formula>
    </cfRule>
    <cfRule type="expression" dxfId="767" priority="496">
      <formula>SEARCH("RICHIESTO",$M19)&gt;0</formula>
    </cfRule>
    <cfRule type="expression" dxfId="766" priority="497">
      <formula>SEARCH("DA CHIUDERE",$M19)&gt;0</formula>
    </cfRule>
    <cfRule type="expression" dxfId="765" priority="498">
      <formula>SEARCH("INTERROTTO",$M19)&gt;0</formula>
    </cfRule>
  </conditionalFormatting>
  <conditionalFormatting sqref="G19">
    <cfRule type="expression" dxfId="764" priority="481">
      <formula>SEARCH("IN CORSO",$M19)&gt;0</formula>
    </cfRule>
    <cfRule type="expression" dxfId="763" priority="482">
      <formula>SEARCH("CHIUSO",$M19)&gt;0</formula>
    </cfRule>
    <cfRule type="expression" dxfId="762" priority="483">
      <formula>SEARCH("EMESSO",$M19)&gt;0</formula>
    </cfRule>
    <cfRule type="expression" dxfId="761" priority="484">
      <formula>SEARCH("RICHIESTO",$M19)&gt;0</formula>
    </cfRule>
    <cfRule type="expression" dxfId="760" priority="485">
      <formula>SEARCH("DA CHIUDERE",$M19)&gt;0</formula>
    </cfRule>
    <cfRule type="expression" dxfId="759" priority="486">
      <formula>SEARCH("INTERROTTO",$M19)&gt;0</formula>
    </cfRule>
  </conditionalFormatting>
  <conditionalFormatting sqref="E19">
    <cfRule type="expression" dxfId="758" priority="487">
      <formula>SEARCH("IN CORSO",$M19)&gt;0</formula>
    </cfRule>
    <cfRule type="expression" dxfId="757" priority="488">
      <formula>SEARCH("CHIUSO",$M19)&gt;0</formula>
    </cfRule>
    <cfRule type="expression" dxfId="756" priority="489">
      <formula>SEARCH("EMESSO",$M19)&gt;0</formula>
    </cfRule>
    <cfRule type="expression" dxfId="755" priority="490">
      <formula>SEARCH("RICHIESTO",$M19)&gt;0</formula>
    </cfRule>
    <cfRule type="expression" dxfId="754" priority="491">
      <formula>SEARCH("DA CHIUDERE",$M19)&gt;0</formula>
    </cfRule>
    <cfRule type="expression" dxfId="753" priority="492">
      <formula>SEARCH("INTERROTTO",$M19)&gt;0</formula>
    </cfRule>
  </conditionalFormatting>
  <conditionalFormatting sqref="F19">
    <cfRule type="expression" dxfId="752" priority="475">
      <formula>SEARCH("IN CORSO",$M19)&gt;0</formula>
    </cfRule>
    <cfRule type="expression" dxfId="751" priority="476">
      <formula>SEARCH("CHIUSO",$M19)&gt;0</formula>
    </cfRule>
    <cfRule type="expression" dxfId="750" priority="477">
      <formula>SEARCH("EMESSO",$M19)&gt;0</formula>
    </cfRule>
    <cfRule type="expression" dxfId="749" priority="478">
      <formula>SEARCH("RICHIESTO",$M19)&gt;0</formula>
    </cfRule>
    <cfRule type="expression" dxfId="748" priority="479">
      <formula>SEARCH("DA CHIUDERE",$M19)&gt;0</formula>
    </cfRule>
    <cfRule type="expression" dxfId="747" priority="480">
      <formula>SEARCH("INTERROTTO",$M19)&gt;0</formula>
    </cfRule>
  </conditionalFormatting>
  <conditionalFormatting sqref="M19">
    <cfRule type="expression" dxfId="746" priority="469">
      <formula>SEARCH("IN CORSO",$M19)&gt;0</formula>
    </cfRule>
    <cfRule type="expression" dxfId="745" priority="470">
      <formula>SEARCH("CHIUSO",$M19)&gt;0</formula>
    </cfRule>
    <cfRule type="expression" dxfId="744" priority="471">
      <formula>SEARCH("EMESSO",$M19)&gt;0</formula>
    </cfRule>
    <cfRule type="expression" dxfId="743" priority="472">
      <formula>SEARCH("RICHIESTO",$M19)&gt;0</formula>
    </cfRule>
    <cfRule type="expression" dxfId="742" priority="473">
      <formula>SEARCH("DA CHIUDERE",$M19)&gt;0</formula>
    </cfRule>
    <cfRule type="expression" dxfId="741" priority="474">
      <formula>SEARCH("INTERROTTO",$M19)&gt;0</formula>
    </cfRule>
  </conditionalFormatting>
  <conditionalFormatting sqref="N18:S18">
    <cfRule type="expression" dxfId="740" priority="463">
      <formula>SEARCH("IN CORSO",$M18)&gt;0</formula>
    </cfRule>
    <cfRule type="expression" dxfId="739" priority="464">
      <formula>SEARCH("CHIUSO",$M18)&gt;0</formula>
    </cfRule>
    <cfRule type="expression" dxfId="738" priority="465">
      <formula>SEARCH("EMESSO",$M18)&gt;0</formula>
    </cfRule>
    <cfRule type="expression" dxfId="737" priority="466">
      <formula>SEARCH("RICHIESTO",$M18)&gt;0</formula>
    </cfRule>
    <cfRule type="expression" dxfId="736" priority="467">
      <formula>SEARCH("DA CHIUDERE",$M18)&gt;0</formula>
    </cfRule>
    <cfRule type="expression" dxfId="735" priority="468">
      <formula>SEARCH("INTERROTTO",$M18)&gt;0</formula>
    </cfRule>
  </conditionalFormatting>
  <conditionalFormatting sqref="G18">
    <cfRule type="expression" dxfId="734" priority="451">
      <formula>SEARCH("IN CORSO",$M18)&gt;0</formula>
    </cfRule>
    <cfRule type="expression" dxfId="733" priority="452">
      <formula>SEARCH("CHIUSO",$M18)&gt;0</formula>
    </cfRule>
    <cfRule type="expression" dxfId="732" priority="453">
      <formula>SEARCH("EMESSO",$M18)&gt;0</formula>
    </cfRule>
    <cfRule type="expression" dxfId="731" priority="454">
      <formula>SEARCH("RICHIESTO",$M18)&gt;0</formula>
    </cfRule>
    <cfRule type="expression" dxfId="730" priority="455">
      <formula>SEARCH("DA CHIUDERE",$M18)&gt;0</formula>
    </cfRule>
    <cfRule type="expression" dxfId="729" priority="456">
      <formula>SEARCH("INTERROTTO",$M18)&gt;0</formula>
    </cfRule>
  </conditionalFormatting>
  <conditionalFormatting sqref="E18">
    <cfRule type="expression" dxfId="728" priority="457">
      <formula>SEARCH("IN CORSO",$M18)&gt;0</formula>
    </cfRule>
    <cfRule type="expression" dxfId="727" priority="458">
      <formula>SEARCH("CHIUSO",$M18)&gt;0</formula>
    </cfRule>
    <cfRule type="expression" dxfId="726" priority="459">
      <formula>SEARCH("EMESSO",$M18)&gt;0</formula>
    </cfRule>
    <cfRule type="expression" dxfId="725" priority="460">
      <formula>SEARCH("RICHIESTO",$M18)&gt;0</formula>
    </cfRule>
    <cfRule type="expression" dxfId="724" priority="461">
      <formula>SEARCH("DA CHIUDERE",$M18)&gt;0</formula>
    </cfRule>
    <cfRule type="expression" dxfId="723" priority="462">
      <formula>SEARCH("INTERROTTO",$M18)&gt;0</formula>
    </cfRule>
  </conditionalFormatting>
  <conditionalFormatting sqref="F18">
    <cfRule type="expression" dxfId="722" priority="445">
      <formula>SEARCH("IN CORSO",$M18)&gt;0</formula>
    </cfRule>
    <cfRule type="expression" dxfId="721" priority="446">
      <formula>SEARCH("CHIUSO",$M18)&gt;0</formula>
    </cfRule>
    <cfRule type="expression" dxfId="720" priority="447">
      <formula>SEARCH("EMESSO",$M18)&gt;0</formula>
    </cfRule>
    <cfRule type="expression" dxfId="719" priority="448">
      <formula>SEARCH("RICHIESTO",$M18)&gt;0</formula>
    </cfRule>
    <cfRule type="expression" dxfId="718" priority="449">
      <formula>SEARCH("DA CHIUDERE",$M18)&gt;0</formula>
    </cfRule>
    <cfRule type="expression" dxfId="717" priority="450">
      <formula>SEARCH("INTERROTTO",$M18)&gt;0</formula>
    </cfRule>
  </conditionalFormatting>
  <conditionalFormatting sqref="M18">
    <cfRule type="expression" dxfId="716" priority="439">
      <formula>SEARCH("IN CORSO",$M18)&gt;0</formula>
    </cfRule>
    <cfRule type="expression" dxfId="715" priority="440">
      <formula>SEARCH("CHIUSO",$M18)&gt;0</formula>
    </cfRule>
    <cfRule type="expression" dxfId="714" priority="441">
      <formula>SEARCH("EMESSO",$M18)&gt;0</formula>
    </cfRule>
    <cfRule type="expression" dxfId="713" priority="442">
      <formula>SEARCH("RICHIESTO",$M18)&gt;0</formula>
    </cfRule>
    <cfRule type="expression" dxfId="712" priority="443">
      <formula>SEARCH("DA CHIUDERE",$M18)&gt;0</formula>
    </cfRule>
    <cfRule type="expression" dxfId="711" priority="444">
      <formula>SEARCH("INTERROTTO",$M18)&gt;0</formula>
    </cfRule>
  </conditionalFormatting>
  <conditionalFormatting sqref="N17:S17">
    <cfRule type="expression" dxfId="710" priority="433">
      <formula>SEARCH("IN CORSO",$M17)&gt;0</formula>
    </cfRule>
    <cfRule type="expression" dxfId="709" priority="434">
      <formula>SEARCH("CHIUSO",$M17)&gt;0</formula>
    </cfRule>
    <cfRule type="expression" dxfId="708" priority="435">
      <formula>SEARCH("EMESSO",$M17)&gt;0</formula>
    </cfRule>
    <cfRule type="expression" dxfId="707" priority="436">
      <formula>SEARCH("RICHIESTO",$M17)&gt;0</formula>
    </cfRule>
    <cfRule type="expression" dxfId="706" priority="437">
      <formula>SEARCH("DA CHIUDERE",$M17)&gt;0</formula>
    </cfRule>
    <cfRule type="expression" dxfId="705" priority="438">
      <formula>SEARCH("INTERROTTO",$M17)&gt;0</formula>
    </cfRule>
  </conditionalFormatting>
  <conditionalFormatting sqref="G17">
    <cfRule type="expression" dxfId="704" priority="421">
      <formula>SEARCH("IN CORSO",$M17)&gt;0</formula>
    </cfRule>
    <cfRule type="expression" dxfId="703" priority="422">
      <formula>SEARCH("CHIUSO",$M17)&gt;0</formula>
    </cfRule>
    <cfRule type="expression" dxfId="702" priority="423">
      <formula>SEARCH("EMESSO",$M17)&gt;0</formula>
    </cfRule>
    <cfRule type="expression" dxfId="701" priority="424">
      <formula>SEARCH("RICHIESTO",$M17)&gt;0</formula>
    </cfRule>
    <cfRule type="expression" dxfId="700" priority="425">
      <formula>SEARCH("DA CHIUDERE",$M17)&gt;0</formula>
    </cfRule>
    <cfRule type="expression" dxfId="699" priority="426">
      <formula>SEARCH("INTERROTTO",$M17)&gt;0</formula>
    </cfRule>
  </conditionalFormatting>
  <conditionalFormatting sqref="E17">
    <cfRule type="expression" dxfId="698" priority="427">
      <formula>SEARCH("IN CORSO",$M17)&gt;0</formula>
    </cfRule>
    <cfRule type="expression" dxfId="697" priority="428">
      <formula>SEARCH("CHIUSO",$M17)&gt;0</formula>
    </cfRule>
    <cfRule type="expression" dxfId="696" priority="429">
      <formula>SEARCH("EMESSO",$M17)&gt;0</formula>
    </cfRule>
    <cfRule type="expression" dxfId="695" priority="430">
      <formula>SEARCH("RICHIESTO",$M17)&gt;0</formula>
    </cfRule>
    <cfRule type="expression" dxfId="694" priority="431">
      <formula>SEARCH("DA CHIUDERE",$M17)&gt;0</formula>
    </cfRule>
    <cfRule type="expression" dxfId="693" priority="432">
      <formula>SEARCH("INTERROTTO",$M17)&gt;0</formula>
    </cfRule>
  </conditionalFormatting>
  <conditionalFormatting sqref="F17">
    <cfRule type="expression" dxfId="692" priority="415">
      <formula>SEARCH("IN CORSO",$M17)&gt;0</formula>
    </cfRule>
    <cfRule type="expression" dxfId="691" priority="416">
      <formula>SEARCH("CHIUSO",$M17)&gt;0</formula>
    </cfRule>
    <cfRule type="expression" dxfId="690" priority="417">
      <formula>SEARCH("EMESSO",$M17)&gt;0</formula>
    </cfRule>
    <cfRule type="expression" dxfId="689" priority="418">
      <formula>SEARCH("RICHIESTO",$M17)&gt;0</formula>
    </cfRule>
    <cfRule type="expression" dxfId="688" priority="419">
      <formula>SEARCH("DA CHIUDERE",$M17)&gt;0</formula>
    </cfRule>
    <cfRule type="expression" dxfId="687" priority="420">
      <formula>SEARCH("INTERROTTO",$M17)&gt;0</formula>
    </cfRule>
  </conditionalFormatting>
  <conditionalFormatting sqref="M17">
    <cfRule type="expression" dxfId="686" priority="409">
      <formula>SEARCH("IN CORSO",$M17)&gt;0</formula>
    </cfRule>
    <cfRule type="expression" dxfId="685" priority="410">
      <formula>SEARCH("CHIUSO",$M17)&gt;0</formula>
    </cfRule>
    <cfRule type="expression" dxfId="684" priority="411">
      <formula>SEARCH("EMESSO",$M17)&gt;0</formula>
    </cfRule>
    <cfRule type="expression" dxfId="683" priority="412">
      <formula>SEARCH("RICHIESTO",$M17)&gt;0</formula>
    </cfRule>
    <cfRule type="expression" dxfId="682" priority="413">
      <formula>SEARCH("DA CHIUDERE",$M17)&gt;0</formula>
    </cfRule>
    <cfRule type="expression" dxfId="681" priority="414">
      <formula>SEARCH("INTERROTTO",$M17)&gt;0</formula>
    </cfRule>
  </conditionalFormatting>
  <conditionalFormatting sqref="R130:S130">
    <cfRule type="expression" dxfId="680" priority="403">
      <formula>SEARCH("IN CORSO",$M130)&gt;0</formula>
    </cfRule>
    <cfRule type="expression" dxfId="679" priority="404">
      <formula>SEARCH("CHIUSO",$M130)&gt;0</formula>
    </cfRule>
    <cfRule type="expression" dxfId="678" priority="405">
      <formula>SEARCH("EMESSO",$M130)&gt;0</formula>
    </cfRule>
    <cfRule type="expression" dxfId="677" priority="406">
      <formula>SEARCH("RICHIESTO",$M130)&gt;0</formula>
    </cfRule>
    <cfRule type="expression" dxfId="676" priority="407">
      <formula>SEARCH("DA CHIUDERE",$M130)&gt;0</formula>
    </cfRule>
    <cfRule type="expression" dxfId="675" priority="408">
      <formula>SEARCH("INTERROTTO",$M130)&gt;0</formula>
    </cfRule>
  </conditionalFormatting>
  <conditionalFormatting sqref="N16:S16">
    <cfRule type="expression" dxfId="674" priority="397">
      <formula>SEARCH("IN CORSO",$M16)&gt;0</formula>
    </cfRule>
    <cfRule type="expression" dxfId="673" priority="398">
      <formula>SEARCH("CHIUSO",$M16)&gt;0</formula>
    </cfRule>
    <cfRule type="expression" dxfId="672" priority="399">
      <formula>SEARCH("EMESSO",$M16)&gt;0</formula>
    </cfRule>
    <cfRule type="expression" dxfId="671" priority="400">
      <formula>SEARCH("RICHIESTO",$M16)&gt;0</formula>
    </cfRule>
    <cfRule type="expression" dxfId="670" priority="401">
      <formula>SEARCH("DA CHIUDERE",$M16)&gt;0</formula>
    </cfRule>
    <cfRule type="expression" dxfId="669" priority="402">
      <formula>SEARCH("INTERROTTO",$M16)&gt;0</formula>
    </cfRule>
  </conditionalFormatting>
  <conditionalFormatting sqref="G16">
    <cfRule type="expression" dxfId="668" priority="385">
      <formula>SEARCH("IN CORSO",$M16)&gt;0</formula>
    </cfRule>
    <cfRule type="expression" dxfId="667" priority="386">
      <formula>SEARCH("CHIUSO",$M16)&gt;0</formula>
    </cfRule>
    <cfRule type="expression" dxfId="666" priority="387">
      <formula>SEARCH("EMESSO",$M16)&gt;0</formula>
    </cfRule>
    <cfRule type="expression" dxfId="665" priority="388">
      <formula>SEARCH("RICHIESTO",$M16)&gt;0</formula>
    </cfRule>
    <cfRule type="expression" dxfId="664" priority="389">
      <formula>SEARCH("DA CHIUDERE",$M16)&gt;0</formula>
    </cfRule>
    <cfRule type="expression" dxfId="663" priority="390">
      <formula>SEARCH("INTERROTTO",$M16)&gt;0</formula>
    </cfRule>
  </conditionalFormatting>
  <conditionalFormatting sqref="E16">
    <cfRule type="expression" dxfId="662" priority="391">
      <formula>SEARCH("IN CORSO",$M16)&gt;0</formula>
    </cfRule>
    <cfRule type="expression" dxfId="661" priority="392">
      <formula>SEARCH("CHIUSO",$M16)&gt;0</formula>
    </cfRule>
    <cfRule type="expression" dxfId="660" priority="393">
      <formula>SEARCH("EMESSO",$M16)&gt;0</formula>
    </cfRule>
    <cfRule type="expression" dxfId="659" priority="394">
      <formula>SEARCH("RICHIESTO",$M16)&gt;0</formula>
    </cfRule>
    <cfRule type="expression" dxfId="658" priority="395">
      <formula>SEARCH("DA CHIUDERE",$M16)&gt;0</formula>
    </cfRule>
    <cfRule type="expression" dxfId="657" priority="396">
      <formula>SEARCH("INTERROTTO",$M16)&gt;0</formula>
    </cfRule>
  </conditionalFormatting>
  <conditionalFormatting sqref="F16">
    <cfRule type="expression" dxfId="656" priority="379">
      <formula>SEARCH("IN CORSO",$M16)&gt;0</formula>
    </cfRule>
    <cfRule type="expression" dxfId="655" priority="380">
      <formula>SEARCH("CHIUSO",$M16)&gt;0</formula>
    </cfRule>
    <cfRule type="expression" dxfId="654" priority="381">
      <formula>SEARCH("EMESSO",$M16)&gt;0</formula>
    </cfRule>
    <cfRule type="expression" dxfId="653" priority="382">
      <formula>SEARCH("RICHIESTO",$M16)&gt;0</formula>
    </cfRule>
    <cfRule type="expression" dxfId="652" priority="383">
      <formula>SEARCH("DA CHIUDERE",$M16)&gt;0</formula>
    </cfRule>
    <cfRule type="expression" dxfId="651" priority="384">
      <formula>SEARCH("INTERROTTO",$M16)&gt;0</formula>
    </cfRule>
  </conditionalFormatting>
  <conditionalFormatting sqref="M16">
    <cfRule type="expression" dxfId="650" priority="373">
      <formula>SEARCH("IN CORSO",$M16)&gt;0</formula>
    </cfRule>
    <cfRule type="expression" dxfId="649" priority="374">
      <formula>SEARCH("CHIUSO",$M16)&gt;0</formula>
    </cfRule>
    <cfRule type="expression" dxfId="648" priority="375">
      <formula>SEARCH("EMESSO",$M16)&gt;0</formula>
    </cfRule>
    <cfRule type="expression" dxfId="647" priority="376">
      <formula>SEARCH("RICHIESTO",$M16)&gt;0</formula>
    </cfRule>
    <cfRule type="expression" dxfId="646" priority="377">
      <formula>SEARCH("DA CHIUDERE",$M16)&gt;0</formula>
    </cfRule>
    <cfRule type="expression" dxfId="645" priority="378">
      <formula>SEARCH("INTERROTTO",$M16)&gt;0</formula>
    </cfRule>
  </conditionalFormatting>
  <conditionalFormatting sqref="N15:S15">
    <cfRule type="expression" dxfId="644" priority="367">
      <formula>SEARCH("IN CORSO",$M15)&gt;0</formula>
    </cfRule>
    <cfRule type="expression" dxfId="643" priority="368">
      <formula>SEARCH("CHIUSO",$M15)&gt;0</formula>
    </cfRule>
    <cfRule type="expression" dxfId="642" priority="369">
      <formula>SEARCH("EMESSO",$M15)&gt;0</formula>
    </cfRule>
    <cfRule type="expression" dxfId="641" priority="370">
      <formula>SEARCH("RICHIESTO",$M15)&gt;0</formula>
    </cfRule>
    <cfRule type="expression" dxfId="640" priority="371">
      <formula>SEARCH("DA CHIUDERE",$M15)&gt;0</formula>
    </cfRule>
    <cfRule type="expression" dxfId="639" priority="372">
      <formula>SEARCH("INTERROTTO",$M15)&gt;0</formula>
    </cfRule>
  </conditionalFormatting>
  <conditionalFormatting sqref="G15">
    <cfRule type="expression" dxfId="638" priority="355">
      <formula>SEARCH("IN CORSO",$M15)&gt;0</formula>
    </cfRule>
    <cfRule type="expression" dxfId="637" priority="356">
      <formula>SEARCH("CHIUSO",$M15)&gt;0</formula>
    </cfRule>
    <cfRule type="expression" dxfId="636" priority="357">
      <formula>SEARCH("EMESSO",$M15)&gt;0</formula>
    </cfRule>
    <cfRule type="expression" dxfId="635" priority="358">
      <formula>SEARCH("RICHIESTO",$M15)&gt;0</formula>
    </cfRule>
    <cfRule type="expression" dxfId="634" priority="359">
      <formula>SEARCH("DA CHIUDERE",$M15)&gt;0</formula>
    </cfRule>
    <cfRule type="expression" dxfId="633" priority="360">
      <formula>SEARCH("INTERROTTO",$M15)&gt;0</formula>
    </cfRule>
  </conditionalFormatting>
  <conditionalFormatting sqref="E15">
    <cfRule type="expression" dxfId="632" priority="361">
      <formula>SEARCH("IN CORSO",$M15)&gt;0</formula>
    </cfRule>
    <cfRule type="expression" dxfId="631" priority="362">
      <formula>SEARCH("CHIUSO",$M15)&gt;0</formula>
    </cfRule>
    <cfRule type="expression" dxfId="630" priority="363">
      <formula>SEARCH("EMESSO",$M15)&gt;0</formula>
    </cfRule>
    <cfRule type="expression" dxfId="629" priority="364">
      <formula>SEARCH("RICHIESTO",$M15)&gt;0</formula>
    </cfRule>
    <cfRule type="expression" dxfId="628" priority="365">
      <formula>SEARCH("DA CHIUDERE",$M15)&gt;0</formula>
    </cfRule>
    <cfRule type="expression" dxfId="627" priority="366">
      <formula>SEARCH("INTERROTTO",$M15)&gt;0</formula>
    </cfRule>
  </conditionalFormatting>
  <conditionalFormatting sqref="F15">
    <cfRule type="expression" dxfId="626" priority="349">
      <formula>SEARCH("IN CORSO",$M15)&gt;0</formula>
    </cfRule>
    <cfRule type="expression" dxfId="625" priority="350">
      <formula>SEARCH("CHIUSO",$M15)&gt;0</formula>
    </cfRule>
    <cfRule type="expression" dxfId="624" priority="351">
      <formula>SEARCH("EMESSO",$M15)&gt;0</formula>
    </cfRule>
    <cfRule type="expression" dxfId="623" priority="352">
      <formula>SEARCH("RICHIESTO",$M15)&gt;0</formula>
    </cfRule>
    <cfRule type="expression" dxfId="622" priority="353">
      <formula>SEARCH("DA CHIUDERE",$M15)&gt;0</formula>
    </cfRule>
    <cfRule type="expression" dxfId="621" priority="354">
      <formula>SEARCH("INTERROTTO",$M15)&gt;0</formula>
    </cfRule>
  </conditionalFormatting>
  <conditionalFormatting sqref="M15">
    <cfRule type="expression" dxfId="620" priority="343">
      <formula>SEARCH("IN CORSO",$M15)&gt;0</formula>
    </cfRule>
    <cfRule type="expression" dxfId="619" priority="344">
      <formula>SEARCH("CHIUSO",$M15)&gt;0</formula>
    </cfRule>
    <cfRule type="expression" dxfId="618" priority="345">
      <formula>SEARCH("EMESSO",$M15)&gt;0</formula>
    </cfRule>
    <cfRule type="expression" dxfId="617" priority="346">
      <formula>SEARCH("RICHIESTO",$M15)&gt;0</formula>
    </cfRule>
    <cfRule type="expression" dxfId="616" priority="347">
      <formula>SEARCH("DA CHIUDERE",$M15)&gt;0</formula>
    </cfRule>
    <cfRule type="expression" dxfId="615" priority="348">
      <formula>SEARCH("INTERROTTO",$M15)&gt;0</formula>
    </cfRule>
  </conditionalFormatting>
  <conditionalFormatting sqref="Q132">
    <cfRule type="expression" dxfId="614" priority="337">
      <formula>SEARCH("IN CORSO",$M132)&gt;0</formula>
    </cfRule>
    <cfRule type="expression" dxfId="613" priority="338">
      <formula>SEARCH("CHIUSO",$M132)&gt;0</formula>
    </cfRule>
    <cfRule type="expression" dxfId="612" priority="339">
      <formula>SEARCH("EMESSO",$M132)&gt;0</formula>
    </cfRule>
    <cfRule type="expression" dxfId="611" priority="340">
      <formula>SEARCH("RICHIESTO",$M132)&gt;0</formula>
    </cfRule>
    <cfRule type="expression" dxfId="610" priority="341">
      <formula>SEARCH("DA CHIUDERE",$M132)&gt;0</formula>
    </cfRule>
    <cfRule type="expression" dxfId="609" priority="342">
      <formula>SEARCH("INTERROTTO",$M132)&gt;0</formula>
    </cfRule>
  </conditionalFormatting>
  <conditionalFormatting sqref="R132:S132">
    <cfRule type="expression" dxfId="608" priority="331">
      <formula>SEARCH("IN CORSO",$M132)&gt;0</formula>
    </cfRule>
    <cfRule type="expression" dxfId="607" priority="332">
      <formula>SEARCH("CHIUSO",$M132)&gt;0</formula>
    </cfRule>
    <cfRule type="expression" dxfId="606" priority="333">
      <formula>SEARCH("EMESSO",$M132)&gt;0</formula>
    </cfRule>
    <cfRule type="expression" dxfId="605" priority="334">
      <formula>SEARCH("RICHIESTO",$M132)&gt;0</formula>
    </cfRule>
    <cfRule type="expression" dxfId="604" priority="335">
      <formula>SEARCH("DA CHIUDERE",$M132)&gt;0</formula>
    </cfRule>
    <cfRule type="expression" dxfId="603" priority="336">
      <formula>SEARCH("INTERROTTO",$M132)&gt;0</formula>
    </cfRule>
  </conditionalFormatting>
  <conditionalFormatting sqref="N14:S14">
    <cfRule type="expression" dxfId="602" priority="325">
      <formula>SEARCH("IN CORSO",$M14)&gt;0</formula>
    </cfRule>
    <cfRule type="expression" dxfId="601" priority="326">
      <formula>SEARCH("CHIUSO",$M14)&gt;0</formula>
    </cfRule>
    <cfRule type="expression" dxfId="600" priority="327">
      <formula>SEARCH("EMESSO",$M14)&gt;0</formula>
    </cfRule>
    <cfRule type="expression" dxfId="599" priority="328">
      <formula>SEARCH("RICHIESTO",$M14)&gt;0</formula>
    </cfRule>
    <cfRule type="expression" dxfId="598" priority="329">
      <formula>SEARCH("DA CHIUDERE",$M14)&gt;0</formula>
    </cfRule>
    <cfRule type="expression" dxfId="597" priority="330">
      <formula>SEARCH("INTERROTTO",$M14)&gt;0</formula>
    </cfRule>
  </conditionalFormatting>
  <conditionalFormatting sqref="G14">
    <cfRule type="expression" dxfId="596" priority="313">
      <formula>SEARCH("IN CORSO",$M14)&gt;0</formula>
    </cfRule>
    <cfRule type="expression" dxfId="595" priority="314">
      <formula>SEARCH("CHIUSO",$M14)&gt;0</formula>
    </cfRule>
    <cfRule type="expression" dxfId="594" priority="315">
      <formula>SEARCH("EMESSO",$M14)&gt;0</formula>
    </cfRule>
    <cfRule type="expression" dxfId="593" priority="316">
      <formula>SEARCH("RICHIESTO",$M14)&gt;0</formula>
    </cfRule>
    <cfRule type="expression" dxfId="592" priority="317">
      <formula>SEARCH("DA CHIUDERE",$M14)&gt;0</formula>
    </cfRule>
    <cfRule type="expression" dxfId="591" priority="318">
      <formula>SEARCH("INTERROTTO",$M14)&gt;0</formula>
    </cfRule>
  </conditionalFormatting>
  <conditionalFormatting sqref="E14">
    <cfRule type="expression" dxfId="590" priority="319">
      <formula>SEARCH("IN CORSO",$M14)&gt;0</formula>
    </cfRule>
    <cfRule type="expression" dxfId="589" priority="320">
      <formula>SEARCH("CHIUSO",$M14)&gt;0</formula>
    </cfRule>
    <cfRule type="expression" dxfId="588" priority="321">
      <formula>SEARCH("EMESSO",$M14)&gt;0</formula>
    </cfRule>
    <cfRule type="expression" dxfId="587" priority="322">
      <formula>SEARCH("RICHIESTO",$M14)&gt;0</formula>
    </cfRule>
    <cfRule type="expression" dxfId="586" priority="323">
      <formula>SEARCH("DA CHIUDERE",$M14)&gt;0</formula>
    </cfRule>
    <cfRule type="expression" dxfId="585" priority="324">
      <formula>SEARCH("INTERROTTO",$M14)&gt;0</formula>
    </cfRule>
  </conditionalFormatting>
  <conditionalFormatting sqref="F14">
    <cfRule type="expression" dxfId="584" priority="307">
      <formula>SEARCH("IN CORSO",$M14)&gt;0</formula>
    </cfRule>
    <cfRule type="expression" dxfId="583" priority="308">
      <formula>SEARCH("CHIUSO",$M14)&gt;0</formula>
    </cfRule>
    <cfRule type="expression" dxfId="582" priority="309">
      <formula>SEARCH("EMESSO",$M14)&gt;0</formula>
    </cfRule>
    <cfRule type="expression" dxfId="581" priority="310">
      <formula>SEARCH("RICHIESTO",$M14)&gt;0</formula>
    </cfRule>
    <cfRule type="expression" dxfId="580" priority="311">
      <formula>SEARCH("DA CHIUDERE",$M14)&gt;0</formula>
    </cfRule>
    <cfRule type="expression" dxfId="579" priority="312">
      <formula>SEARCH("INTERROTTO",$M14)&gt;0</formula>
    </cfRule>
  </conditionalFormatting>
  <conditionalFormatting sqref="M14">
    <cfRule type="expression" dxfId="578" priority="301">
      <formula>SEARCH("IN CORSO",$M14)&gt;0</formula>
    </cfRule>
    <cfRule type="expression" dxfId="577" priority="302">
      <formula>SEARCH("CHIUSO",$M14)&gt;0</formula>
    </cfRule>
    <cfRule type="expression" dxfId="576" priority="303">
      <formula>SEARCH("EMESSO",$M14)&gt;0</formula>
    </cfRule>
    <cfRule type="expression" dxfId="575" priority="304">
      <formula>SEARCH("RICHIESTO",$M14)&gt;0</formula>
    </cfRule>
    <cfRule type="expression" dxfId="574" priority="305">
      <formula>SEARCH("DA CHIUDERE",$M14)&gt;0</formula>
    </cfRule>
    <cfRule type="expression" dxfId="573" priority="306">
      <formula>SEARCH("INTERROTTO",$M14)&gt;0</formula>
    </cfRule>
  </conditionalFormatting>
  <conditionalFormatting sqref="N13:S13">
    <cfRule type="expression" dxfId="572" priority="295">
      <formula>SEARCH("IN CORSO",$M13)&gt;0</formula>
    </cfRule>
    <cfRule type="expression" dxfId="571" priority="296">
      <formula>SEARCH("CHIUSO",$M13)&gt;0</formula>
    </cfRule>
    <cfRule type="expression" dxfId="570" priority="297">
      <formula>SEARCH("EMESSO",$M13)&gt;0</formula>
    </cfRule>
    <cfRule type="expression" dxfId="569" priority="298">
      <formula>SEARCH("RICHIESTO",$M13)&gt;0</formula>
    </cfRule>
    <cfRule type="expression" dxfId="568" priority="299">
      <formula>SEARCH("DA CHIUDERE",$M13)&gt;0</formula>
    </cfRule>
    <cfRule type="expression" dxfId="567" priority="300">
      <formula>SEARCH("INTERROTTO",$M13)&gt;0</formula>
    </cfRule>
  </conditionalFormatting>
  <conditionalFormatting sqref="G13">
    <cfRule type="expression" dxfId="566" priority="283">
      <formula>SEARCH("IN CORSO",$M13)&gt;0</formula>
    </cfRule>
    <cfRule type="expression" dxfId="565" priority="284">
      <formula>SEARCH("CHIUSO",$M13)&gt;0</formula>
    </cfRule>
    <cfRule type="expression" dxfId="564" priority="285">
      <formula>SEARCH("EMESSO",$M13)&gt;0</formula>
    </cfRule>
    <cfRule type="expression" dxfId="563" priority="286">
      <formula>SEARCH("RICHIESTO",$M13)&gt;0</formula>
    </cfRule>
    <cfRule type="expression" dxfId="562" priority="287">
      <formula>SEARCH("DA CHIUDERE",$M13)&gt;0</formula>
    </cfRule>
    <cfRule type="expression" dxfId="561" priority="288">
      <formula>SEARCH("INTERROTTO",$M13)&gt;0</formula>
    </cfRule>
  </conditionalFormatting>
  <conditionalFormatting sqref="E13">
    <cfRule type="expression" dxfId="560" priority="289">
      <formula>SEARCH("IN CORSO",$M13)&gt;0</formula>
    </cfRule>
    <cfRule type="expression" dxfId="559" priority="290">
      <formula>SEARCH("CHIUSO",$M13)&gt;0</formula>
    </cfRule>
    <cfRule type="expression" dxfId="558" priority="291">
      <formula>SEARCH("EMESSO",$M13)&gt;0</formula>
    </cfRule>
    <cfRule type="expression" dxfId="557" priority="292">
      <formula>SEARCH("RICHIESTO",$M13)&gt;0</formula>
    </cfRule>
    <cfRule type="expression" dxfId="556" priority="293">
      <formula>SEARCH("DA CHIUDERE",$M13)&gt;0</formula>
    </cfRule>
    <cfRule type="expression" dxfId="555" priority="294">
      <formula>SEARCH("INTERROTTO",$M13)&gt;0</formula>
    </cfRule>
  </conditionalFormatting>
  <conditionalFormatting sqref="F13">
    <cfRule type="expression" dxfId="554" priority="277">
      <formula>SEARCH("IN CORSO",$M13)&gt;0</formula>
    </cfRule>
    <cfRule type="expression" dxfId="553" priority="278">
      <formula>SEARCH("CHIUSO",$M13)&gt;0</formula>
    </cfRule>
    <cfRule type="expression" dxfId="552" priority="279">
      <formula>SEARCH("EMESSO",$M13)&gt;0</formula>
    </cfRule>
    <cfRule type="expression" dxfId="551" priority="280">
      <formula>SEARCH("RICHIESTO",$M13)&gt;0</formula>
    </cfRule>
    <cfRule type="expression" dxfId="550" priority="281">
      <formula>SEARCH("DA CHIUDERE",$M13)&gt;0</formula>
    </cfRule>
    <cfRule type="expression" dxfId="549" priority="282">
      <formula>SEARCH("INTERROTTO",$M13)&gt;0</formula>
    </cfRule>
  </conditionalFormatting>
  <conditionalFormatting sqref="M13">
    <cfRule type="expression" dxfId="548" priority="271">
      <formula>SEARCH("IN CORSO",$M13)&gt;0</formula>
    </cfRule>
    <cfRule type="expression" dxfId="547" priority="272">
      <formula>SEARCH("CHIUSO",$M13)&gt;0</formula>
    </cfRule>
    <cfRule type="expression" dxfId="546" priority="273">
      <formula>SEARCH("EMESSO",$M13)&gt;0</formula>
    </cfRule>
    <cfRule type="expression" dxfId="545" priority="274">
      <formula>SEARCH("RICHIESTO",$M13)&gt;0</formula>
    </cfRule>
    <cfRule type="expression" dxfId="544" priority="275">
      <formula>SEARCH("DA CHIUDERE",$M13)&gt;0</formula>
    </cfRule>
    <cfRule type="expression" dxfId="543" priority="276">
      <formula>SEARCH("INTERROTTO",$M13)&gt;0</formula>
    </cfRule>
  </conditionalFormatting>
  <conditionalFormatting sqref="N12:S12">
    <cfRule type="expression" dxfId="542" priority="265">
      <formula>SEARCH("IN CORSO",$M12)&gt;0</formula>
    </cfRule>
    <cfRule type="expression" dxfId="541" priority="266">
      <formula>SEARCH("CHIUSO",$M12)&gt;0</formula>
    </cfRule>
    <cfRule type="expression" dxfId="540" priority="267">
      <formula>SEARCH("EMESSO",$M12)&gt;0</formula>
    </cfRule>
    <cfRule type="expression" dxfId="539" priority="268">
      <formula>SEARCH("RICHIESTO",$M12)&gt;0</formula>
    </cfRule>
    <cfRule type="expression" dxfId="538" priority="269">
      <formula>SEARCH("DA CHIUDERE",$M12)&gt;0</formula>
    </cfRule>
    <cfRule type="expression" dxfId="537" priority="270">
      <formula>SEARCH("INTERROTTO",$M12)&gt;0</formula>
    </cfRule>
  </conditionalFormatting>
  <conditionalFormatting sqref="G12">
    <cfRule type="expression" dxfId="536" priority="253">
      <formula>SEARCH("IN CORSO",$M12)&gt;0</formula>
    </cfRule>
    <cfRule type="expression" dxfId="535" priority="254">
      <formula>SEARCH("CHIUSO",$M12)&gt;0</formula>
    </cfRule>
    <cfRule type="expression" dxfId="534" priority="255">
      <formula>SEARCH("EMESSO",$M12)&gt;0</formula>
    </cfRule>
    <cfRule type="expression" dxfId="533" priority="256">
      <formula>SEARCH("RICHIESTO",$M12)&gt;0</formula>
    </cfRule>
    <cfRule type="expression" dxfId="532" priority="257">
      <formula>SEARCH("DA CHIUDERE",$M12)&gt;0</formula>
    </cfRule>
    <cfRule type="expression" dxfId="531" priority="258">
      <formula>SEARCH("INTERROTTO",$M12)&gt;0</formula>
    </cfRule>
  </conditionalFormatting>
  <conditionalFormatting sqref="E12">
    <cfRule type="expression" dxfId="530" priority="259">
      <formula>SEARCH("IN CORSO",$M12)&gt;0</formula>
    </cfRule>
    <cfRule type="expression" dxfId="529" priority="260">
      <formula>SEARCH("CHIUSO",$M12)&gt;0</formula>
    </cfRule>
    <cfRule type="expression" dxfId="528" priority="261">
      <formula>SEARCH("EMESSO",$M12)&gt;0</formula>
    </cfRule>
    <cfRule type="expression" dxfId="527" priority="262">
      <formula>SEARCH("RICHIESTO",$M12)&gt;0</formula>
    </cfRule>
    <cfRule type="expression" dxfId="526" priority="263">
      <formula>SEARCH("DA CHIUDERE",$M12)&gt;0</formula>
    </cfRule>
    <cfRule type="expression" dxfId="525" priority="264">
      <formula>SEARCH("INTERROTTO",$M12)&gt;0</formula>
    </cfRule>
  </conditionalFormatting>
  <conditionalFormatting sqref="F12">
    <cfRule type="expression" dxfId="524" priority="247">
      <formula>SEARCH("IN CORSO",$M12)&gt;0</formula>
    </cfRule>
    <cfRule type="expression" dxfId="523" priority="248">
      <formula>SEARCH("CHIUSO",$M12)&gt;0</formula>
    </cfRule>
    <cfRule type="expression" dxfId="522" priority="249">
      <formula>SEARCH("EMESSO",$M12)&gt;0</formula>
    </cfRule>
    <cfRule type="expression" dxfId="521" priority="250">
      <formula>SEARCH("RICHIESTO",$M12)&gt;0</formula>
    </cfRule>
    <cfRule type="expression" dxfId="520" priority="251">
      <formula>SEARCH("DA CHIUDERE",$M12)&gt;0</formula>
    </cfRule>
    <cfRule type="expression" dxfId="519" priority="252">
      <formula>SEARCH("INTERROTTO",$M12)&gt;0</formula>
    </cfRule>
  </conditionalFormatting>
  <conditionalFormatting sqref="M12">
    <cfRule type="expression" dxfId="518" priority="241">
      <formula>SEARCH("IN CORSO",$M12)&gt;0</formula>
    </cfRule>
    <cfRule type="expression" dxfId="517" priority="242">
      <formula>SEARCH("CHIUSO",$M12)&gt;0</formula>
    </cfRule>
    <cfRule type="expression" dxfId="516" priority="243">
      <formula>SEARCH("EMESSO",$M12)&gt;0</formula>
    </cfRule>
    <cfRule type="expression" dxfId="515" priority="244">
      <formula>SEARCH("RICHIESTO",$M12)&gt;0</formula>
    </cfRule>
    <cfRule type="expression" dxfId="514" priority="245">
      <formula>SEARCH("DA CHIUDERE",$M12)&gt;0</formula>
    </cfRule>
    <cfRule type="expression" dxfId="513" priority="246">
      <formula>SEARCH("INTERROTTO",$M12)&gt;0</formula>
    </cfRule>
  </conditionalFormatting>
  <conditionalFormatting sqref="N11:S11">
    <cfRule type="expression" dxfId="512" priority="235">
      <formula>SEARCH("IN CORSO",$M11)&gt;0</formula>
    </cfRule>
    <cfRule type="expression" dxfId="511" priority="236">
      <formula>SEARCH("CHIUSO",$M11)&gt;0</formula>
    </cfRule>
    <cfRule type="expression" dxfId="510" priority="237">
      <formula>SEARCH("EMESSO",$M11)&gt;0</formula>
    </cfRule>
    <cfRule type="expression" dxfId="509" priority="238">
      <formula>SEARCH("RICHIESTO",$M11)&gt;0</formula>
    </cfRule>
    <cfRule type="expression" dxfId="508" priority="239">
      <formula>SEARCH("DA CHIUDERE",$M11)&gt;0</formula>
    </cfRule>
    <cfRule type="expression" dxfId="507" priority="240">
      <formula>SEARCH("INTERROTTO",$M11)&gt;0</formula>
    </cfRule>
  </conditionalFormatting>
  <conditionalFormatting sqref="G11">
    <cfRule type="expression" dxfId="506" priority="223">
      <formula>SEARCH("IN CORSO",$M11)&gt;0</formula>
    </cfRule>
    <cfRule type="expression" dxfId="505" priority="224">
      <formula>SEARCH("CHIUSO",$M11)&gt;0</formula>
    </cfRule>
    <cfRule type="expression" dxfId="504" priority="225">
      <formula>SEARCH("EMESSO",$M11)&gt;0</formula>
    </cfRule>
    <cfRule type="expression" dxfId="503" priority="226">
      <formula>SEARCH("RICHIESTO",$M11)&gt;0</formula>
    </cfRule>
    <cfRule type="expression" dxfId="502" priority="227">
      <formula>SEARCH("DA CHIUDERE",$M11)&gt;0</formula>
    </cfRule>
    <cfRule type="expression" dxfId="501" priority="228">
      <formula>SEARCH("INTERROTTO",$M11)&gt;0</formula>
    </cfRule>
  </conditionalFormatting>
  <conditionalFormatting sqref="E11">
    <cfRule type="expression" dxfId="500" priority="229">
      <formula>SEARCH("IN CORSO",$M11)&gt;0</formula>
    </cfRule>
    <cfRule type="expression" dxfId="499" priority="230">
      <formula>SEARCH("CHIUSO",$M11)&gt;0</formula>
    </cfRule>
    <cfRule type="expression" dxfId="498" priority="231">
      <formula>SEARCH("EMESSO",$M11)&gt;0</formula>
    </cfRule>
    <cfRule type="expression" dxfId="497" priority="232">
      <formula>SEARCH("RICHIESTO",$M11)&gt;0</formula>
    </cfRule>
    <cfRule type="expression" dxfId="496" priority="233">
      <formula>SEARCH("DA CHIUDERE",$M11)&gt;0</formula>
    </cfRule>
    <cfRule type="expression" dxfId="495" priority="234">
      <formula>SEARCH("INTERROTTO",$M11)&gt;0</formula>
    </cfRule>
  </conditionalFormatting>
  <conditionalFormatting sqref="F11">
    <cfRule type="expression" dxfId="494" priority="217">
      <formula>SEARCH("IN CORSO",$M11)&gt;0</formula>
    </cfRule>
    <cfRule type="expression" dxfId="493" priority="218">
      <formula>SEARCH("CHIUSO",$M11)&gt;0</formula>
    </cfRule>
    <cfRule type="expression" dxfId="492" priority="219">
      <formula>SEARCH("EMESSO",$M11)&gt;0</formula>
    </cfRule>
    <cfRule type="expression" dxfId="491" priority="220">
      <formula>SEARCH("RICHIESTO",$M11)&gt;0</formula>
    </cfRule>
    <cfRule type="expression" dxfId="490" priority="221">
      <formula>SEARCH("DA CHIUDERE",$M11)&gt;0</formula>
    </cfRule>
    <cfRule type="expression" dxfId="489" priority="222">
      <formula>SEARCH("INTERROTTO",$M11)&gt;0</formula>
    </cfRule>
  </conditionalFormatting>
  <conditionalFormatting sqref="M11">
    <cfRule type="expression" dxfId="488" priority="211">
      <formula>SEARCH("IN CORSO",$M11)&gt;0</formula>
    </cfRule>
    <cfRule type="expression" dxfId="487" priority="212">
      <formula>SEARCH("CHIUSO",$M11)&gt;0</formula>
    </cfRule>
    <cfRule type="expression" dxfId="486" priority="213">
      <formula>SEARCH("EMESSO",$M11)&gt;0</formula>
    </cfRule>
    <cfRule type="expression" dxfId="485" priority="214">
      <formula>SEARCH("RICHIESTO",$M11)&gt;0</formula>
    </cfRule>
    <cfRule type="expression" dxfId="484" priority="215">
      <formula>SEARCH("DA CHIUDERE",$M11)&gt;0</formula>
    </cfRule>
    <cfRule type="expression" dxfId="483" priority="216">
      <formula>SEARCH("INTERROTTO",$M11)&gt;0</formula>
    </cfRule>
  </conditionalFormatting>
  <conditionalFormatting sqref="N10:S10">
    <cfRule type="expression" dxfId="482" priority="205">
      <formula>SEARCH("IN CORSO",$M10)&gt;0</formula>
    </cfRule>
    <cfRule type="expression" dxfId="481" priority="206">
      <formula>SEARCH("CHIUSO",$M10)&gt;0</formula>
    </cfRule>
    <cfRule type="expression" dxfId="480" priority="207">
      <formula>SEARCH("EMESSO",$M10)&gt;0</formula>
    </cfRule>
    <cfRule type="expression" dxfId="479" priority="208">
      <formula>SEARCH("RICHIESTO",$M10)&gt;0</formula>
    </cfRule>
    <cfRule type="expression" dxfId="478" priority="209">
      <formula>SEARCH("DA CHIUDERE",$M10)&gt;0</formula>
    </cfRule>
    <cfRule type="expression" dxfId="477" priority="210">
      <formula>SEARCH("INTERROTTO",$M10)&gt;0</formula>
    </cfRule>
  </conditionalFormatting>
  <conditionalFormatting sqref="G10">
    <cfRule type="expression" dxfId="476" priority="193">
      <formula>SEARCH("IN CORSO",$M10)&gt;0</formula>
    </cfRule>
    <cfRule type="expression" dxfId="475" priority="194">
      <formula>SEARCH("CHIUSO",$M10)&gt;0</formula>
    </cfRule>
    <cfRule type="expression" dxfId="474" priority="195">
      <formula>SEARCH("EMESSO",$M10)&gt;0</formula>
    </cfRule>
    <cfRule type="expression" dxfId="473" priority="196">
      <formula>SEARCH("RICHIESTO",$M10)&gt;0</formula>
    </cfRule>
    <cfRule type="expression" dxfId="472" priority="197">
      <formula>SEARCH("DA CHIUDERE",$M10)&gt;0</formula>
    </cfRule>
    <cfRule type="expression" dxfId="471" priority="198">
      <formula>SEARCH("INTERROTTO",$M10)&gt;0</formula>
    </cfRule>
  </conditionalFormatting>
  <conditionalFormatting sqref="E10">
    <cfRule type="expression" dxfId="470" priority="199">
      <formula>SEARCH("IN CORSO",$M10)&gt;0</formula>
    </cfRule>
    <cfRule type="expression" dxfId="469" priority="200">
      <formula>SEARCH("CHIUSO",$M10)&gt;0</formula>
    </cfRule>
    <cfRule type="expression" dxfId="468" priority="201">
      <formula>SEARCH("EMESSO",$M10)&gt;0</formula>
    </cfRule>
    <cfRule type="expression" dxfId="467" priority="202">
      <formula>SEARCH("RICHIESTO",$M10)&gt;0</formula>
    </cfRule>
    <cfRule type="expression" dxfId="466" priority="203">
      <formula>SEARCH("DA CHIUDERE",$M10)&gt;0</formula>
    </cfRule>
    <cfRule type="expression" dxfId="465" priority="204">
      <formula>SEARCH("INTERROTTO",$M10)&gt;0</formula>
    </cfRule>
  </conditionalFormatting>
  <conditionalFormatting sqref="F10">
    <cfRule type="expression" dxfId="464" priority="187">
      <formula>SEARCH("IN CORSO",$M10)&gt;0</formula>
    </cfRule>
    <cfRule type="expression" dxfId="463" priority="188">
      <formula>SEARCH("CHIUSO",$M10)&gt;0</formula>
    </cfRule>
    <cfRule type="expression" dxfId="462" priority="189">
      <formula>SEARCH("EMESSO",$M10)&gt;0</formula>
    </cfRule>
    <cfRule type="expression" dxfId="461" priority="190">
      <formula>SEARCH("RICHIESTO",$M10)&gt;0</formula>
    </cfRule>
    <cfRule type="expression" dxfId="460" priority="191">
      <formula>SEARCH("DA CHIUDERE",$M10)&gt;0</formula>
    </cfRule>
    <cfRule type="expression" dxfId="459" priority="192">
      <formula>SEARCH("INTERROTTO",$M10)&gt;0</formula>
    </cfRule>
  </conditionalFormatting>
  <conditionalFormatting sqref="M10">
    <cfRule type="expression" dxfId="458" priority="181">
      <formula>SEARCH("IN CORSO",$M10)&gt;0</formula>
    </cfRule>
    <cfRule type="expression" dxfId="457" priority="182">
      <formula>SEARCH("CHIUSO",$M10)&gt;0</formula>
    </cfRule>
    <cfRule type="expression" dxfId="456" priority="183">
      <formula>SEARCH("EMESSO",$M10)&gt;0</formula>
    </cfRule>
    <cfRule type="expression" dxfId="455" priority="184">
      <formula>SEARCH("RICHIESTO",$M10)&gt;0</formula>
    </cfRule>
    <cfRule type="expression" dxfId="454" priority="185">
      <formula>SEARCH("DA CHIUDERE",$M10)&gt;0</formula>
    </cfRule>
    <cfRule type="expression" dxfId="453" priority="186">
      <formula>SEARCH("INTERROTTO",$M10)&gt;0</formula>
    </cfRule>
  </conditionalFormatting>
  <dataValidations count="1">
    <dataValidation type="list" allowBlank="1" showInputMessage="1" showErrorMessage="1" sqref="M4:M204" xr:uid="{48882807-CE23-4BEF-8A70-A030E00D77F1}">
      <formula1>"RICHIESTO,EMESSO,IN CORSO,INTERROTTO,DA CHIUDERE,SCADUTO,CHIUSO,"</formula1>
    </dataValidation>
  </dataValidations>
  <pageMargins left="0.7" right="0.7" top="0.75" bottom="0.75" header="0.3" footer="0.3"/>
  <pageSetup paperSize="9" scale="7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712" r:id="rId4" name="Button 616">
              <controlPr defaultSize="0" print="0" autoFill="0" autoPict="0" macro="[0]!AggiungiRiga">
                <anchor moveWithCells="1" sizeWithCells="1">
                  <from>
                    <xdr:col>0</xdr:col>
                    <xdr:colOff>9525</xdr:colOff>
                    <xdr:row>0</xdr:row>
                    <xdr:rowOff>1114425</xdr:rowOff>
                  </from>
                  <to>
                    <xdr:col>4</xdr:col>
                    <xdr:colOff>0</xdr:colOff>
                    <xdr:row>0</xdr:row>
                    <xdr:rowOff>1390650</xdr:rowOff>
                  </to>
                </anchor>
              </controlPr>
            </control>
          </mc:Choice>
        </mc:AlternateContent>
        <mc:AlternateContent xmlns:mc="http://schemas.openxmlformats.org/markup-compatibility/2006">
          <mc:Choice Requires="x14">
            <control shapeId="108972" r:id="rId5" name="Button 3500">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108973" r:id="rId6" name="Button 3501">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108974" r:id="rId7" name="Button 3502">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108975" r:id="rId8" name="Button 3503">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108976" r:id="rId9" name="Button 3504">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109278" r:id="rId10" name="Button 3806">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109279" r:id="rId11" name="Button 3807">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109280" r:id="rId12" name="Button 3808">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109281" r:id="rId13" name="Button 3809">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109282" r:id="rId14" name="Button 3810">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109283" r:id="rId15" name="Button 3811">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controls>
    </mc:Choice>
  </mc:AlternateContent>
  <tableParts count="1">
    <tablePart r:id="rId1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8CA7C5-41CA-469A-83F2-4D5A05C12804}">
  <sheetPr codeName="Foglio13">
    <tabColor theme="4"/>
  </sheetPr>
  <dimension ref="A1:V24"/>
  <sheetViews>
    <sheetView topLeftCell="E4" zoomScale="85" zoomScaleNormal="85" workbookViewId="0">
      <selection activeCell="A4" sqref="A4:U22"/>
    </sheetView>
  </sheetViews>
  <sheetFormatPr defaultColWidth="7.75" defaultRowHeight="15" x14ac:dyDescent="0.25"/>
  <cols>
    <col min="1" max="1" width="3.125" style="3" customWidth="1"/>
    <col min="2" max="2" width="3.125" style="1" customWidth="1"/>
    <col min="3" max="3" width="3.125" style="4" customWidth="1"/>
    <col min="4" max="4" width="7.75" style="5" bestFit="1"/>
    <col min="5" max="5" width="9" style="5" customWidth="1"/>
    <col min="6" max="6" width="7.5" style="5" customWidth="1"/>
    <col min="7" max="7" width="70.625" style="5" customWidth="1"/>
    <col min="8" max="9" width="9.125" style="5" customWidth="1"/>
    <col min="10" max="11" width="9.125" style="4" customWidth="1"/>
    <col min="12" max="12" width="9.125" style="19" customWidth="1"/>
    <col min="13" max="13" width="13.75" style="19" customWidth="1"/>
    <col min="14" max="16" width="6.375" style="7" customWidth="1"/>
    <col min="17" max="17" width="55.625" style="7" customWidth="1"/>
    <col min="18" max="18" width="13.625" style="7" bestFit="1" customWidth="1"/>
    <col min="19" max="19" width="13.125" style="7" customWidth="1"/>
    <col min="20" max="20" width="3.125" style="7" customWidth="1"/>
    <col min="21" max="21" width="11.875" style="7" bestFit="1" customWidth="1"/>
    <col min="22" max="22" width="19.625" style="7" bestFit="1" customWidth="1"/>
    <col min="23" max="28" width="8.5" style="7" customWidth="1"/>
    <col min="29" max="16384" width="7.75" style="7"/>
  </cols>
  <sheetData>
    <row r="1" spans="1:22" ht="128.1" customHeight="1" x14ac:dyDescent="0.35">
      <c r="A1" s="193"/>
      <c r="B1" s="193"/>
      <c r="C1" s="193"/>
      <c r="D1" s="193"/>
      <c r="G1" s="10"/>
      <c r="M1" s="39" t="s">
        <v>55</v>
      </c>
      <c r="Q1" s="39" t="s">
        <v>56</v>
      </c>
    </row>
    <row r="2" spans="1:22" ht="21" x14ac:dyDescent="0.35">
      <c r="A2" s="7"/>
      <c r="B2" s="7"/>
      <c r="C2" s="7"/>
      <c r="D2" s="7"/>
      <c r="E2" s="17" t="s">
        <v>13</v>
      </c>
      <c r="F2" s="10">
        <f>'Inserimento dati'!B5</f>
        <v>2025</v>
      </c>
      <c r="G2" s="38" t="str">
        <f ca="1">"REDATTO IL " &amp; TEXT(INDIRECT("'Inserimento dati'!B3"), "gg/mm/aaaa")</f>
        <v>REDATTO IL 25/10/2025</v>
      </c>
      <c r="H2" s="11">
        <f ca="1">INDIRECT("'Inserimento dati'!B1")</f>
        <v>45957</v>
      </c>
      <c r="I2" s="11">
        <f ca="1">H2 + 1</f>
        <v>45958</v>
      </c>
      <c r="J2" s="11">
        <f ca="1">I2 + 1</f>
        <v>45959</v>
      </c>
      <c r="K2" s="11">
        <f ca="1">J2 + 1</f>
        <v>45960</v>
      </c>
      <c r="L2" s="11">
        <f ca="1">K2 + 1</f>
        <v>45961</v>
      </c>
      <c r="N2" s="194" t="s">
        <v>50</v>
      </c>
      <c r="O2" s="194"/>
      <c r="P2" s="194"/>
      <c r="Q2" s="21"/>
    </row>
    <row r="3" spans="1:22" s="13" customFormat="1" ht="38.25" x14ac:dyDescent="0.2">
      <c r="A3" s="114" t="s">
        <v>53</v>
      </c>
      <c r="B3" s="115" t="s">
        <v>54</v>
      </c>
      <c r="C3" s="122" t="s">
        <v>32</v>
      </c>
      <c r="D3" s="119" t="s">
        <v>0</v>
      </c>
      <c r="E3" s="119" t="s">
        <v>1</v>
      </c>
      <c r="F3" s="119" t="s">
        <v>2</v>
      </c>
      <c r="G3" s="119" t="s">
        <v>16</v>
      </c>
      <c r="H3" s="117" t="s">
        <v>3</v>
      </c>
      <c r="I3" s="117" t="s">
        <v>4</v>
      </c>
      <c r="J3" s="117" t="s">
        <v>5</v>
      </c>
      <c r="K3" s="117" t="s">
        <v>6</v>
      </c>
      <c r="L3" s="117" t="s">
        <v>7</v>
      </c>
      <c r="M3" s="117" t="s">
        <v>18</v>
      </c>
      <c r="N3" s="117" t="s">
        <v>39</v>
      </c>
      <c r="O3" s="117" t="s">
        <v>40</v>
      </c>
      <c r="P3" s="117" t="s">
        <v>41</v>
      </c>
      <c r="Q3" s="117" t="s">
        <v>14</v>
      </c>
      <c r="R3" s="118" t="s">
        <v>15</v>
      </c>
      <c r="S3" s="117" t="s">
        <v>17</v>
      </c>
      <c r="T3" s="123" t="s">
        <v>33</v>
      </c>
      <c r="U3" s="124" t="s">
        <v>61</v>
      </c>
      <c r="V3" s="13" t="s">
        <v>141</v>
      </c>
    </row>
    <row r="4" spans="1:22" s="13" customFormat="1" ht="30" x14ac:dyDescent="0.2">
      <c r="A4" s="84"/>
      <c r="B4" s="84" t="str">
        <f t="shared" ref="B4:B22" si="0">IF(OR(A4="x",A4="X"),"",IF(ISBLANK(A4),"X",""))</f>
        <v>X</v>
      </c>
      <c r="C4" s="84" t="str">
        <f>IF(OR(TabellaCTE910[[#This Row],[LUN]]="X",TabellaCTE910[[#This Row],[MAR]]="X",TabellaCTE910[[#This Row],[MER]]="X",TabellaCTE910[[#This Row],[GIO]]="X",TabellaCTE910[[#This Row],[VEN]]="X",),"X","")</f>
        <v/>
      </c>
      <c r="D4" s="85" t="s">
        <v>193</v>
      </c>
      <c r="E4" s="81" t="s">
        <v>3277</v>
      </c>
      <c r="F4" s="81">
        <v>4000</v>
      </c>
      <c r="G4" s="81" t="s">
        <v>3278</v>
      </c>
      <c r="H4" s="83"/>
      <c r="I4" s="83"/>
      <c r="J4" s="83"/>
      <c r="K4" s="83"/>
      <c r="L4" s="83"/>
      <c r="M4" s="85" t="s">
        <v>43</v>
      </c>
      <c r="N4" s="82"/>
      <c r="O4" s="103"/>
      <c r="P4" s="103"/>
      <c r="Q4" s="82"/>
      <c r="R4" s="82"/>
      <c r="S4" s="82"/>
      <c r="T4" s="110"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4" s="166" t="s">
        <v>112</v>
      </c>
    </row>
    <row r="5" spans="1:22" s="13" customFormat="1" ht="30" x14ac:dyDescent="0.2">
      <c r="A5" s="84" t="s">
        <v>8</v>
      </c>
      <c r="B5" s="84" t="str">
        <f t="shared" si="0"/>
        <v/>
      </c>
      <c r="C5" s="84" t="str">
        <f>IF(OR(TabellaCTE910[[#This Row],[LUN]]="X",TabellaCTE910[[#This Row],[MAR]]="X",TabellaCTE910[[#This Row],[MER]]="X",TabellaCTE910[[#This Row],[GIO]]="X",TabellaCTE910[[#This Row],[VEN]]="X",),"X","")</f>
        <v/>
      </c>
      <c r="D5" s="85" t="s">
        <v>193</v>
      </c>
      <c r="E5" s="81" t="s">
        <v>3204</v>
      </c>
      <c r="F5" s="81">
        <v>4200</v>
      </c>
      <c r="G5" s="81" t="s">
        <v>3205</v>
      </c>
      <c r="H5" s="83"/>
      <c r="I5" s="83"/>
      <c r="J5" s="83"/>
      <c r="K5" s="83"/>
      <c r="L5" s="83"/>
      <c r="M5" s="85" t="s">
        <v>43</v>
      </c>
      <c r="N5" s="82"/>
      <c r="O5" s="103"/>
      <c r="P5" s="103"/>
      <c r="Q5" s="82"/>
      <c r="R5" s="82"/>
      <c r="S5" s="82"/>
      <c r="T5" s="110"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5" s="166">
        <v>5400256592</v>
      </c>
    </row>
    <row r="6" spans="1:22" s="13" customFormat="1" ht="30" x14ac:dyDescent="0.2">
      <c r="A6" s="84"/>
      <c r="B6" s="84" t="str">
        <f t="shared" si="0"/>
        <v>X</v>
      </c>
      <c r="C6" s="84" t="str">
        <f>IF(OR(TabellaCTE910[[#This Row],[LUN]]="X",TabellaCTE910[[#This Row],[MAR]]="X",TabellaCTE910[[#This Row],[MER]]="X",TabellaCTE910[[#This Row],[GIO]]="X",TabellaCTE910[[#This Row],[VEN]]="X",),"X","")</f>
        <v/>
      </c>
      <c r="D6" s="85" t="s">
        <v>193</v>
      </c>
      <c r="E6" s="81" t="s">
        <v>3568</v>
      </c>
      <c r="F6" s="81">
        <v>4200</v>
      </c>
      <c r="G6" s="81" t="s">
        <v>3569</v>
      </c>
      <c r="H6" s="83"/>
      <c r="I6" s="83"/>
      <c r="J6" s="83"/>
      <c r="K6" s="83"/>
      <c r="L6" s="83"/>
      <c r="M6" s="85" t="s">
        <v>146</v>
      </c>
      <c r="N6" s="82"/>
      <c r="O6" s="103"/>
      <c r="P6" s="103"/>
      <c r="Q6" s="82"/>
      <c r="R6" s="82"/>
      <c r="S6" s="82"/>
      <c r="T6" s="110"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6" s="166">
        <v>5400256592</v>
      </c>
    </row>
    <row r="7" spans="1:22" s="13" customFormat="1" ht="30" x14ac:dyDescent="0.2">
      <c r="A7" s="84"/>
      <c r="B7" s="84" t="str">
        <f t="shared" si="0"/>
        <v>X</v>
      </c>
      <c r="C7" s="84" t="str">
        <f>IF(OR(TabellaCTE910[[#This Row],[LUN]]="X",TabellaCTE910[[#This Row],[MAR]]="X",TabellaCTE910[[#This Row],[MER]]="X",TabellaCTE910[[#This Row],[GIO]]="X",TabellaCTE910[[#This Row],[VEN]]="X",),"X","")</f>
        <v/>
      </c>
      <c r="D7" s="85" t="s">
        <v>193</v>
      </c>
      <c r="E7" s="81" t="s">
        <v>3570</v>
      </c>
      <c r="F7" s="81">
        <v>4200</v>
      </c>
      <c r="G7" s="81" t="s">
        <v>3571</v>
      </c>
      <c r="H7" s="83"/>
      <c r="I7" s="83"/>
      <c r="J7" s="83"/>
      <c r="K7" s="83"/>
      <c r="L7" s="83"/>
      <c r="M7" s="85" t="s">
        <v>146</v>
      </c>
      <c r="N7" s="82"/>
      <c r="O7" s="103"/>
      <c r="P7" s="103"/>
      <c r="Q7" s="82"/>
      <c r="R7" s="82"/>
      <c r="S7" s="82"/>
      <c r="T7" s="110"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7" s="166">
        <v>5400256592</v>
      </c>
    </row>
    <row r="8" spans="1:22" s="13" customFormat="1" ht="30" x14ac:dyDescent="0.2">
      <c r="A8" s="84"/>
      <c r="B8" s="84" t="str">
        <f t="shared" si="0"/>
        <v>X</v>
      </c>
      <c r="C8" s="84" t="str">
        <f>IF(OR(TabellaCTE910[[#This Row],[LUN]]="X",TabellaCTE910[[#This Row],[MAR]]="X",TabellaCTE910[[#This Row],[MER]]="X",TabellaCTE910[[#This Row],[GIO]]="X",TabellaCTE910[[#This Row],[VEN]]="X",),"X","")</f>
        <v/>
      </c>
      <c r="D8" s="85" t="s">
        <v>193</v>
      </c>
      <c r="E8" s="81" t="s">
        <v>3572</v>
      </c>
      <c r="F8" s="81">
        <v>4200</v>
      </c>
      <c r="G8" s="81" t="s">
        <v>3573</v>
      </c>
      <c r="H8" s="83"/>
      <c r="I8" s="83"/>
      <c r="J8" s="83"/>
      <c r="K8" s="83"/>
      <c r="L8" s="83"/>
      <c r="M8" s="85" t="s">
        <v>146</v>
      </c>
      <c r="N8" s="82"/>
      <c r="O8" s="103"/>
      <c r="P8" s="103"/>
      <c r="Q8" s="82"/>
      <c r="R8" s="82"/>
      <c r="S8" s="82"/>
      <c r="T8" s="110"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8" s="166">
        <v>5400256592</v>
      </c>
    </row>
    <row r="9" spans="1:22" s="13" customFormat="1" ht="30" x14ac:dyDescent="0.2">
      <c r="A9" s="84"/>
      <c r="B9" s="84" t="str">
        <f t="shared" si="0"/>
        <v>X</v>
      </c>
      <c r="C9" s="84" t="str">
        <f>IF(OR(TabellaCTE910[[#This Row],[LUN]]="X",TabellaCTE910[[#This Row],[MAR]]="X",TabellaCTE910[[#This Row],[MER]]="X",TabellaCTE910[[#This Row],[GIO]]="X",TabellaCTE910[[#This Row],[VEN]]="X",),"X","")</f>
        <v/>
      </c>
      <c r="D9" s="85" t="s">
        <v>193</v>
      </c>
      <c r="E9" s="81" t="s">
        <v>3574</v>
      </c>
      <c r="F9" s="81">
        <v>4200</v>
      </c>
      <c r="G9" s="81" t="s">
        <v>3575</v>
      </c>
      <c r="H9" s="83"/>
      <c r="I9" s="83"/>
      <c r="J9" s="83"/>
      <c r="K9" s="83"/>
      <c r="L9" s="83"/>
      <c r="M9" s="85" t="s">
        <v>146</v>
      </c>
      <c r="N9" s="82"/>
      <c r="O9" s="103"/>
      <c r="P9" s="103"/>
      <c r="Q9" s="82"/>
      <c r="R9" s="82"/>
      <c r="S9" s="82"/>
      <c r="T9" s="110"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9" s="166">
        <v>5400256592</v>
      </c>
    </row>
    <row r="10" spans="1:22" s="13" customFormat="1" ht="30" x14ac:dyDescent="0.2">
      <c r="A10" s="84"/>
      <c r="B10" s="84" t="str">
        <f t="shared" si="0"/>
        <v>X</v>
      </c>
      <c r="C10" s="84" t="str">
        <f>IF(OR(TabellaCTE910[[#This Row],[LUN]]="X",TabellaCTE910[[#This Row],[MAR]]="X",TabellaCTE910[[#This Row],[MER]]="X",TabellaCTE910[[#This Row],[GIO]]="X",TabellaCTE910[[#This Row],[VEN]]="X",),"X","")</f>
        <v/>
      </c>
      <c r="D10" s="85" t="s">
        <v>193</v>
      </c>
      <c r="E10" s="81" t="s">
        <v>3576</v>
      </c>
      <c r="F10" s="81">
        <v>4200</v>
      </c>
      <c r="G10" s="81" t="s">
        <v>3577</v>
      </c>
      <c r="H10" s="83"/>
      <c r="I10" s="83"/>
      <c r="J10" s="83"/>
      <c r="K10" s="83"/>
      <c r="L10" s="83"/>
      <c r="M10" s="85" t="s">
        <v>146</v>
      </c>
      <c r="N10" s="82"/>
      <c r="O10" s="103"/>
      <c r="P10" s="103"/>
      <c r="Q10" s="82"/>
      <c r="R10" s="82"/>
      <c r="S10" s="82"/>
      <c r="T10" s="110"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10" s="166">
        <v>5400256592</v>
      </c>
    </row>
    <row r="11" spans="1:22" s="13" customFormat="1" ht="30" x14ac:dyDescent="0.2">
      <c r="A11" s="84"/>
      <c r="B11" s="84" t="str">
        <f t="shared" si="0"/>
        <v>X</v>
      </c>
      <c r="C11" s="84" t="str">
        <f>IF(OR(TabellaCTE910[[#This Row],[LUN]]="X",TabellaCTE910[[#This Row],[MAR]]="X",TabellaCTE910[[#This Row],[MER]]="X",TabellaCTE910[[#This Row],[GIO]]="X",TabellaCTE910[[#This Row],[VEN]]="X",),"X","")</f>
        <v/>
      </c>
      <c r="D11" s="85" t="s">
        <v>193</v>
      </c>
      <c r="E11" s="81" t="s">
        <v>3578</v>
      </c>
      <c r="F11" s="81">
        <v>4200</v>
      </c>
      <c r="G11" s="81" t="s">
        <v>3579</v>
      </c>
      <c r="H11" s="83"/>
      <c r="I11" s="83"/>
      <c r="J11" s="83"/>
      <c r="K11" s="83"/>
      <c r="L11" s="83"/>
      <c r="M11" s="85" t="s">
        <v>146</v>
      </c>
      <c r="N11" s="82"/>
      <c r="O11" s="103"/>
      <c r="P11" s="103"/>
      <c r="Q11" s="82"/>
      <c r="R11" s="82"/>
      <c r="S11" s="82"/>
      <c r="T11" s="110"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11" s="166">
        <v>5400256592</v>
      </c>
    </row>
    <row r="12" spans="1:22" s="13" customFormat="1" ht="30" x14ac:dyDescent="0.2">
      <c r="A12" s="84"/>
      <c r="B12" s="84" t="str">
        <f t="shared" si="0"/>
        <v>X</v>
      </c>
      <c r="C12" s="84" t="str">
        <f>IF(OR(TabellaCTE910[[#This Row],[LUN]]="X",TabellaCTE910[[#This Row],[MAR]]="X",TabellaCTE910[[#This Row],[MER]]="X",TabellaCTE910[[#This Row],[GIO]]="X",TabellaCTE910[[#This Row],[VEN]]="X",),"X","")</f>
        <v/>
      </c>
      <c r="D12" s="85" t="s">
        <v>193</v>
      </c>
      <c r="E12" s="81" t="s">
        <v>3580</v>
      </c>
      <c r="F12" s="81">
        <v>4200</v>
      </c>
      <c r="G12" s="81" t="s">
        <v>3581</v>
      </c>
      <c r="H12" s="83"/>
      <c r="I12" s="83"/>
      <c r="J12" s="83"/>
      <c r="K12" s="83"/>
      <c r="L12" s="83"/>
      <c r="M12" s="85" t="s">
        <v>146</v>
      </c>
      <c r="N12" s="82"/>
      <c r="O12" s="103"/>
      <c r="P12" s="103"/>
      <c r="Q12" s="82"/>
      <c r="R12" s="82"/>
      <c r="S12" s="82"/>
      <c r="T12" s="110"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12" s="166">
        <v>5400256592</v>
      </c>
    </row>
    <row r="13" spans="1:22" s="13" customFormat="1" ht="30" x14ac:dyDescent="0.2">
      <c r="A13" s="84"/>
      <c r="B13" s="84" t="str">
        <f t="shared" si="0"/>
        <v>X</v>
      </c>
      <c r="C13" s="84" t="str">
        <f>IF(OR(TabellaCTE910[[#This Row],[LUN]]="X",TabellaCTE910[[#This Row],[MAR]]="X",TabellaCTE910[[#This Row],[MER]]="X",TabellaCTE910[[#This Row],[GIO]]="X",TabellaCTE910[[#This Row],[VEN]]="X",),"X","")</f>
        <v/>
      </c>
      <c r="D13" s="85" t="s">
        <v>193</v>
      </c>
      <c r="E13" s="81" t="s">
        <v>3533</v>
      </c>
      <c r="F13" s="81">
        <v>4740</v>
      </c>
      <c r="G13" s="81" t="s">
        <v>3534</v>
      </c>
      <c r="H13" s="83"/>
      <c r="I13" s="83"/>
      <c r="J13" s="83"/>
      <c r="K13" s="83"/>
      <c r="L13" s="83"/>
      <c r="M13" s="85" t="s">
        <v>146</v>
      </c>
      <c r="N13" s="82"/>
      <c r="O13" s="103"/>
      <c r="P13" s="103"/>
      <c r="Q13" s="82"/>
      <c r="R13" s="82"/>
      <c r="S13" s="82"/>
      <c r="T13" s="110"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13" s="166">
        <v>5400263639</v>
      </c>
    </row>
    <row r="14" spans="1:22" s="13" customFormat="1" ht="30" x14ac:dyDescent="0.2">
      <c r="A14" s="84"/>
      <c r="B14" s="84" t="str">
        <f t="shared" si="0"/>
        <v>X</v>
      </c>
      <c r="C14" s="84" t="str">
        <f>IF(OR(TabellaCTE910[[#This Row],[LUN]]="X",TabellaCTE910[[#This Row],[MAR]]="X",TabellaCTE910[[#This Row],[MER]]="X",TabellaCTE910[[#This Row],[GIO]]="X",TabellaCTE910[[#This Row],[VEN]]="X",),"X","")</f>
        <v/>
      </c>
      <c r="D14" s="85" t="s">
        <v>193</v>
      </c>
      <c r="E14" s="81" t="s">
        <v>3535</v>
      </c>
      <c r="F14" s="81">
        <v>4300</v>
      </c>
      <c r="G14" s="81" t="s">
        <v>3536</v>
      </c>
      <c r="H14" s="83"/>
      <c r="I14" s="83"/>
      <c r="J14" s="83"/>
      <c r="K14" s="83"/>
      <c r="L14" s="83"/>
      <c r="M14" s="85" t="s">
        <v>146</v>
      </c>
      <c r="N14" s="82"/>
      <c r="O14" s="103"/>
      <c r="P14" s="103"/>
      <c r="Q14" s="82"/>
      <c r="R14" s="82"/>
      <c r="S14" s="82"/>
      <c r="T14" s="110"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14" s="66">
        <v>5400264762</v>
      </c>
    </row>
    <row r="15" spans="1:22" s="13" customFormat="1" ht="30" x14ac:dyDescent="0.2">
      <c r="A15" s="84" t="s">
        <v>8</v>
      </c>
      <c r="B15" s="84" t="str">
        <f t="shared" si="0"/>
        <v/>
      </c>
      <c r="C15" s="84" t="str">
        <f>IF(OR(TabellaCTE910[[#This Row],[LUN]]="X",TabellaCTE910[[#This Row],[MAR]]="X",TabellaCTE910[[#This Row],[MER]]="X",TabellaCTE910[[#This Row],[GIO]]="X",TabellaCTE910[[#This Row],[VEN]]="X",),"X","")</f>
        <v>X</v>
      </c>
      <c r="D15" s="85" t="s">
        <v>193</v>
      </c>
      <c r="E15" s="81" t="s">
        <v>3189</v>
      </c>
      <c r="F15" s="81">
        <v>4400</v>
      </c>
      <c r="G15" s="81" t="s">
        <v>3190</v>
      </c>
      <c r="H15" s="83"/>
      <c r="I15" s="83"/>
      <c r="J15" s="83" t="s">
        <v>8</v>
      </c>
      <c r="K15" s="83" t="s">
        <v>8</v>
      </c>
      <c r="L15" s="83" t="s">
        <v>8</v>
      </c>
      <c r="M15" s="85" t="s">
        <v>146</v>
      </c>
      <c r="N15" s="82"/>
      <c r="O15" s="103"/>
      <c r="P15" s="103"/>
      <c r="Q15" s="82"/>
      <c r="R15" s="82"/>
      <c r="S15" s="82"/>
      <c r="T15" s="110"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15" s="66">
        <v>5400263638</v>
      </c>
    </row>
    <row r="16" spans="1:22" s="13" customFormat="1" ht="30" x14ac:dyDescent="0.2">
      <c r="A16" s="84" t="s">
        <v>8</v>
      </c>
      <c r="B16" s="84" t="str">
        <f t="shared" si="0"/>
        <v/>
      </c>
      <c r="C16" s="84" t="str">
        <f>IF(OR(TabellaCTE910[[#This Row],[LUN]]="X",TabellaCTE910[[#This Row],[MAR]]="X",TabellaCTE910[[#This Row],[MER]]="X",TabellaCTE910[[#This Row],[GIO]]="X",TabellaCTE910[[#This Row],[VEN]]="X",),"X","")</f>
        <v>X</v>
      </c>
      <c r="D16" s="85" t="s">
        <v>193</v>
      </c>
      <c r="E16" s="81" t="s">
        <v>3192</v>
      </c>
      <c r="F16" s="81">
        <v>4400</v>
      </c>
      <c r="G16" s="81" t="s">
        <v>3193</v>
      </c>
      <c r="H16" s="83"/>
      <c r="I16" s="83"/>
      <c r="J16" s="83" t="s">
        <v>8</v>
      </c>
      <c r="K16" s="83" t="s">
        <v>8</v>
      </c>
      <c r="L16" s="83" t="s">
        <v>8</v>
      </c>
      <c r="M16" s="85" t="s">
        <v>146</v>
      </c>
      <c r="N16" s="82"/>
      <c r="O16" s="103"/>
      <c r="P16" s="103"/>
      <c r="Q16" s="82"/>
      <c r="R16" s="82"/>
      <c r="S16" s="82"/>
      <c r="T16" s="110"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16" s="66">
        <v>5400263638</v>
      </c>
    </row>
    <row r="17" spans="1:21" s="13" customFormat="1" ht="30" x14ac:dyDescent="0.2">
      <c r="A17" s="84" t="s">
        <v>8</v>
      </c>
      <c r="B17" s="84" t="str">
        <f t="shared" si="0"/>
        <v/>
      </c>
      <c r="C17" s="84" t="str">
        <f>IF(OR(TabellaCTE910[[#This Row],[LUN]]="X",TabellaCTE910[[#This Row],[MAR]]="X",TabellaCTE910[[#This Row],[MER]]="X",TabellaCTE910[[#This Row],[GIO]]="X",TabellaCTE910[[#This Row],[VEN]]="X",),"X","")</f>
        <v>X</v>
      </c>
      <c r="D17" s="85" t="s">
        <v>193</v>
      </c>
      <c r="E17" s="81" t="s">
        <v>3194</v>
      </c>
      <c r="F17" s="81">
        <v>4400</v>
      </c>
      <c r="G17" s="81" t="s">
        <v>3195</v>
      </c>
      <c r="H17" s="83"/>
      <c r="I17" s="83"/>
      <c r="J17" s="83" t="s">
        <v>8</v>
      </c>
      <c r="K17" s="83" t="s">
        <v>8</v>
      </c>
      <c r="L17" s="83" t="s">
        <v>8</v>
      </c>
      <c r="M17" s="85" t="s">
        <v>146</v>
      </c>
      <c r="N17" s="82"/>
      <c r="O17" s="103"/>
      <c r="P17" s="103"/>
      <c r="Q17" s="82"/>
      <c r="R17" s="82"/>
      <c r="S17" s="82"/>
      <c r="T17" s="110"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17" s="66">
        <v>5400263638</v>
      </c>
    </row>
    <row r="18" spans="1:21" s="13" customFormat="1" ht="30" x14ac:dyDescent="0.2">
      <c r="A18" s="84" t="s">
        <v>8</v>
      </c>
      <c r="B18" s="84" t="str">
        <f t="shared" si="0"/>
        <v/>
      </c>
      <c r="C18" s="84" t="str">
        <f>IF(OR(TabellaCTE910[[#This Row],[LUN]]="X",TabellaCTE910[[#This Row],[MAR]]="X",TabellaCTE910[[#This Row],[MER]]="X",TabellaCTE910[[#This Row],[GIO]]="X",TabellaCTE910[[#This Row],[VEN]]="X",),"X","")</f>
        <v>X</v>
      </c>
      <c r="D18" s="85" t="s">
        <v>193</v>
      </c>
      <c r="E18" s="81" t="s">
        <v>3196</v>
      </c>
      <c r="F18" s="81">
        <v>4400</v>
      </c>
      <c r="G18" s="81" t="s">
        <v>3197</v>
      </c>
      <c r="H18" s="83"/>
      <c r="I18" s="83"/>
      <c r="J18" s="83" t="s">
        <v>8</v>
      </c>
      <c r="K18" s="83" t="s">
        <v>8</v>
      </c>
      <c r="L18" s="83" t="s">
        <v>8</v>
      </c>
      <c r="M18" s="85" t="s">
        <v>146</v>
      </c>
      <c r="N18" s="82"/>
      <c r="O18" s="103"/>
      <c r="P18" s="103"/>
      <c r="Q18" s="82"/>
      <c r="R18" s="82"/>
      <c r="S18" s="82"/>
      <c r="T18" s="110"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18" s="66">
        <v>5400263638</v>
      </c>
    </row>
    <row r="19" spans="1:21" s="13" customFormat="1" ht="30" x14ac:dyDescent="0.2">
      <c r="A19" s="84" t="s">
        <v>8</v>
      </c>
      <c r="B19" s="84" t="str">
        <f t="shared" si="0"/>
        <v/>
      </c>
      <c r="C19" s="84" t="str">
        <f>IF(OR(TabellaCTE910[[#This Row],[LUN]]="X",TabellaCTE910[[#This Row],[MAR]]="X",TabellaCTE910[[#This Row],[MER]]="X",TabellaCTE910[[#This Row],[GIO]]="X",TabellaCTE910[[#This Row],[VEN]]="X",),"X","")</f>
        <v>X</v>
      </c>
      <c r="D19" s="85" t="s">
        <v>193</v>
      </c>
      <c r="E19" s="81" t="s">
        <v>3199</v>
      </c>
      <c r="F19" s="81">
        <v>4400</v>
      </c>
      <c r="G19" s="81" t="s">
        <v>3200</v>
      </c>
      <c r="H19" s="83"/>
      <c r="I19" s="83"/>
      <c r="J19" s="83" t="s">
        <v>8</v>
      </c>
      <c r="K19" s="83" t="s">
        <v>8</v>
      </c>
      <c r="L19" s="83" t="s">
        <v>8</v>
      </c>
      <c r="M19" s="85" t="s">
        <v>146</v>
      </c>
      <c r="N19" s="82"/>
      <c r="O19" s="103"/>
      <c r="P19" s="103"/>
      <c r="Q19" s="82"/>
      <c r="R19" s="82"/>
      <c r="S19" s="82"/>
      <c r="T19" s="110"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19" s="66">
        <v>5400263638</v>
      </c>
    </row>
    <row r="20" spans="1:21" s="13" customFormat="1" ht="30" x14ac:dyDescent="0.2">
      <c r="A20" s="84" t="s">
        <v>8</v>
      </c>
      <c r="B20" s="84" t="str">
        <f t="shared" si="0"/>
        <v/>
      </c>
      <c r="C20" s="84" t="str">
        <f>IF(OR(TabellaCTE910[[#This Row],[LUN]]="X",TabellaCTE910[[#This Row],[MAR]]="X",TabellaCTE910[[#This Row],[MER]]="X",TabellaCTE910[[#This Row],[GIO]]="X",TabellaCTE910[[#This Row],[VEN]]="X",),"X","")</f>
        <v>X</v>
      </c>
      <c r="D20" s="85" t="s">
        <v>193</v>
      </c>
      <c r="E20" s="81" t="s">
        <v>3202</v>
      </c>
      <c r="F20" s="81">
        <v>4400</v>
      </c>
      <c r="G20" s="81" t="s">
        <v>3203</v>
      </c>
      <c r="H20" s="83"/>
      <c r="I20" s="83"/>
      <c r="J20" s="83" t="s">
        <v>8</v>
      </c>
      <c r="K20" s="83" t="s">
        <v>8</v>
      </c>
      <c r="L20" s="83" t="s">
        <v>8</v>
      </c>
      <c r="M20" s="85" t="s">
        <v>146</v>
      </c>
      <c r="N20" s="82"/>
      <c r="O20" s="103"/>
      <c r="P20" s="103"/>
      <c r="Q20" s="82"/>
      <c r="R20" s="82"/>
      <c r="S20" s="82"/>
      <c r="T20" s="110"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20" s="66">
        <v>5400263638</v>
      </c>
    </row>
    <row r="21" spans="1:21" s="13" customFormat="1" ht="30" x14ac:dyDescent="0.2">
      <c r="A21" s="84" t="s">
        <v>8</v>
      </c>
      <c r="B21" s="84" t="str">
        <f t="shared" si="0"/>
        <v/>
      </c>
      <c r="C21" s="84" t="str">
        <f>IF(OR(TabellaCTE910[[#This Row],[LUN]]="X",TabellaCTE910[[#This Row],[MAR]]="X",TabellaCTE910[[#This Row],[MER]]="X",TabellaCTE910[[#This Row],[GIO]]="X",TabellaCTE910[[#This Row],[VEN]]="X",),"X","")</f>
        <v>X</v>
      </c>
      <c r="D21" s="85" t="s">
        <v>193</v>
      </c>
      <c r="E21" s="81" t="s">
        <v>3207</v>
      </c>
      <c r="F21" s="81">
        <v>4200</v>
      </c>
      <c r="G21" s="81" t="s">
        <v>3208</v>
      </c>
      <c r="H21" s="83"/>
      <c r="I21" s="83"/>
      <c r="J21" s="83"/>
      <c r="K21" s="83"/>
      <c r="L21" s="83" t="s">
        <v>8</v>
      </c>
      <c r="M21" s="85" t="s">
        <v>146</v>
      </c>
      <c r="N21" s="82"/>
      <c r="O21" s="103"/>
      <c r="P21" s="103"/>
      <c r="Q21" s="82"/>
      <c r="R21" s="82"/>
      <c r="S21" s="82"/>
      <c r="T21" s="110"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21" s="66">
        <v>5400256592</v>
      </c>
    </row>
    <row r="22" spans="1:21" s="13" customFormat="1" ht="30" x14ac:dyDescent="0.2">
      <c r="A22" s="84" t="s">
        <v>8</v>
      </c>
      <c r="B22" s="84" t="str">
        <f t="shared" si="0"/>
        <v/>
      </c>
      <c r="C22" s="84" t="str">
        <f>IF(OR(TabellaCTE910[[#This Row],[LUN]]="X",TabellaCTE910[[#This Row],[MAR]]="X",TabellaCTE910[[#This Row],[MER]]="X",TabellaCTE910[[#This Row],[GIO]]="X",TabellaCTE910[[#This Row],[VEN]]="X",),"X","")</f>
        <v>X</v>
      </c>
      <c r="D22" s="85" t="s">
        <v>193</v>
      </c>
      <c r="E22" s="81" t="s">
        <v>3209</v>
      </c>
      <c r="F22" s="81">
        <v>4200</v>
      </c>
      <c r="G22" s="81" t="s">
        <v>3210</v>
      </c>
      <c r="H22" s="83"/>
      <c r="I22" s="83"/>
      <c r="J22" s="83"/>
      <c r="K22" s="83"/>
      <c r="L22" s="83" t="s">
        <v>8</v>
      </c>
      <c r="M22" s="85" t="s">
        <v>146</v>
      </c>
      <c r="N22" s="82"/>
      <c r="O22" s="103"/>
      <c r="P22" s="103"/>
      <c r="Q22" s="82"/>
      <c r="R22" s="82"/>
      <c r="S22" s="82"/>
      <c r="T22" s="110"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22" s="66">
        <v>5400256592</v>
      </c>
    </row>
    <row r="24" spans="1:21" x14ac:dyDescent="0.25">
      <c r="D24" s="4"/>
    </row>
  </sheetData>
  <mergeCells count="2">
    <mergeCell ref="A1:D1"/>
    <mergeCell ref="N2:P2"/>
  </mergeCells>
  <conditionalFormatting sqref="M22">
    <cfRule type="expression" dxfId="429" priority="859">
      <formula>SEARCH("IN CORSO",$M22)&gt;0</formula>
    </cfRule>
    <cfRule type="expression" dxfId="428" priority="860">
      <formula>SEARCH("CHIUSO",$M22)&gt;0</formula>
    </cfRule>
    <cfRule type="expression" dxfId="427" priority="861">
      <formula>SEARCH("EMESSO",$M22)&gt;0</formula>
    </cfRule>
    <cfRule type="expression" dxfId="426" priority="862">
      <formula>SEARCH("RICHIESTO",$M22)&gt;0</formula>
    </cfRule>
    <cfRule type="expression" dxfId="425" priority="863">
      <formula>SEARCH("DA CHIUDERE",$M22)&gt;0</formula>
    </cfRule>
    <cfRule type="expression" dxfId="424" priority="864">
      <formula>SEARCH("INTERROTTO",$M22)&gt;0</formula>
    </cfRule>
  </conditionalFormatting>
  <conditionalFormatting sqref="E22:G22 N22:Q22">
    <cfRule type="expression" dxfId="423" priority="853">
      <formula>SEARCH("IN CORSO",$M22)&gt;0</formula>
    </cfRule>
    <cfRule type="expression" dxfId="422" priority="854">
      <formula>SEARCH("CHIUSO",$M22)&gt;0</formula>
    </cfRule>
    <cfRule type="expression" dxfId="421" priority="855">
      <formula>SEARCH("EMESSO",$M22)&gt;0</formula>
    </cfRule>
    <cfRule type="expression" dxfId="420" priority="856">
      <formula>SEARCH("RICHIESTO",$M22)&gt;0</formula>
    </cfRule>
    <cfRule type="expression" dxfId="419" priority="857">
      <formula>SEARCH("DA CHIUDERE",$M22)&gt;0</formula>
    </cfRule>
    <cfRule type="expression" dxfId="418" priority="858">
      <formula>SEARCH("INTERROTTO",$M22)&gt;0</formula>
    </cfRule>
  </conditionalFormatting>
  <conditionalFormatting sqref="R22:S22">
    <cfRule type="expression" dxfId="417" priority="847">
      <formula>SEARCH("IN CORSO",$M22)&gt;0</formula>
    </cfRule>
    <cfRule type="expression" dxfId="416" priority="848">
      <formula>SEARCH("CHIUSO",$M22)&gt;0</formula>
    </cfRule>
    <cfRule type="expression" dxfId="415" priority="849">
      <formula>SEARCH("EMESSO",$M22)&gt;0</formula>
    </cfRule>
    <cfRule type="expression" dxfId="414" priority="850">
      <formula>SEARCH("RICHIESTO",$M22)&gt;0</formula>
    </cfRule>
    <cfRule type="expression" dxfId="413" priority="851">
      <formula>SEARCH("DA CHIUDERE",$M22)&gt;0</formula>
    </cfRule>
    <cfRule type="expression" dxfId="412" priority="852">
      <formula>SEARCH("INTERROTTO",$M22)&gt;0</formula>
    </cfRule>
  </conditionalFormatting>
  <conditionalFormatting sqref="M21">
    <cfRule type="expression" dxfId="411" priority="841">
      <formula>SEARCH("IN CORSO",$M21)&gt;0</formula>
    </cfRule>
    <cfRule type="expression" dxfId="410" priority="842">
      <formula>SEARCH("CHIUSO",$M21)&gt;0</formula>
    </cfRule>
    <cfRule type="expression" dxfId="409" priority="843">
      <formula>SEARCH("EMESSO",$M21)&gt;0</formula>
    </cfRule>
    <cfRule type="expression" dxfId="408" priority="844">
      <formula>SEARCH("RICHIESTO",$M21)&gt;0</formula>
    </cfRule>
    <cfRule type="expression" dxfId="407" priority="845">
      <formula>SEARCH("DA CHIUDERE",$M21)&gt;0</formula>
    </cfRule>
    <cfRule type="expression" dxfId="406" priority="846">
      <formula>SEARCH("INTERROTTO",$M21)&gt;0</formula>
    </cfRule>
  </conditionalFormatting>
  <conditionalFormatting sqref="E21:G21 N21:Q21">
    <cfRule type="expression" dxfId="405" priority="835">
      <formula>SEARCH("IN CORSO",$M21)&gt;0</formula>
    </cfRule>
    <cfRule type="expression" dxfId="404" priority="836">
      <formula>SEARCH("CHIUSO",$M21)&gt;0</formula>
    </cfRule>
    <cfRule type="expression" dxfId="403" priority="837">
      <formula>SEARCH("EMESSO",$M21)&gt;0</formula>
    </cfRule>
    <cfRule type="expression" dxfId="402" priority="838">
      <formula>SEARCH("RICHIESTO",$M21)&gt;0</formula>
    </cfRule>
    <cfRule type="expression" dxfId="401" priority="839">
      <formula>SEARCH("DA CHIUDERE",$M21)&gt;0</formula>
    </cfRule>
    <cfRule type="expression" dxfId="400" priority="840">
      <formula>SEARCH("INTERROTTO",$M21)&gt;0</formula>
    </cfRule>
  </conditionalFormatting>
  <conditionalFormatting sqref="R21:S21">
    <cfRule type="expression" dxfId="399" priority="829">
      <formula>SEARCH("IN CORSO",$M21)&gt;0</formula>
    </cfRule>
    <cfRule type="expression" dxfId="398" priority="830">
      <formula>SEARCH("CHIUSO",$M21)&gt;0</formula>
    </cfRule>
    <cfRule type="expression" dxfId="397" priority="831">
      <formula>SEARCH("EMESSO",$M21)&gt;0</formula>
    </cfRule>
    <cfRule type="expression" dxfId="396" priority="832">
      <formula>SEARCH("RICHIESTO",$M21)&gt;0</formula>
    </cfRule>
    <cfRule type="expression" dxfId="395" priority="833">
      <formula>SEARCH("DA CHIUDERE",$M21)&gt;0</formula>
    </cfRule>
    <cfRule type="expression" dxfId="394" priority="834">
      <formula>SEARCH("INTERROTTO",$M21)&gt;0</formula>
    </cfRule>
  </conditionalFormatting>
  <conditionalFormatting sqref="M20">
    <cfRule type="expression" dxfId="393" priority="823">
      <formula>SEARCH("IN CORSO",$M20)&gt;0</formula>
    </cfRule>
    <cfRule type="expression" dxfId="392" priority="824">
      <formula>SEARCH("CHIUSO",$M20)&gt;0</formula>
    </cfRule>
    <cfRule type="expression" dxfId="391" priority="825">
      <formula>SEARCH("EMESSO",$M20)&gt;0</formula>
    </cfRule>
    <cfRule type="expression" dxfId="390" priority="826">
      <formula>SEARCH("RICHIESTO",$M20)&gt;0</formula>
    </cfRule>
    <cfRule type="expression" dxfId="389" priority="827">
      <formula>SEARCH("DA CHIUDERE",$M20)&gt;0</formula>
    </cfRule>
    <cfRule type="expression" dxfId="388" priority="828">
      <formula>SEARCH("INTERROTTO",$M20)&gt;0</formula>
    </cfRule>
  </conditionalFormatting>
  <conditionalFormatting sqref="E20:G20 N20:Q20">
    <cfRule type="expression" dxfId="387" priority="817">
      <formula>SEARCH("IN CORSO",$M20)&gt;0</formula>
    </cfRule>
    <cfRule type="expression" dxfId="386" priority="818">
      <formula>SEARCH("CHIUSO",$M20)&gt;0</formula>
    </cfRule>
    <cfRule type="expression" dxfId="385" priority="819">
      <formula>SEARCH("EMESSO",$M20)&gt;0</formula>
    </cfRule>
    <cfRule type="expression" dxfId="384" priority="820">
      <formula>SEARCH("RICHIESTO",$M20)&gt;0</formula>
    </cfRule>
    <cfRule type="expression" dxfId="383" priority="821">
      <formula>SEARCH("DA CHIUDERE",$M20)&gt;0</formula>
    </cfRule>
    <cfRule type="expression" dxfId="382" priority="822">
      <formula>SEARCH("INTERROTTO",$M20)&gt;0</formula>
    </cfRule>
  </conditionalFormatting>
  <conditionalFormatting sqref="R20:S20">
    <cfRule type="expression" dxfId="381" priority="811">
      <formula>SEARCH("IN CORSO",$M20)&gt;0</formula>
    </cfRule>
    <cfRule type="expression" dxfId="380" priority="812">
      <formula>SEARCH("CHIUSO",$M20)&gt;0</formula>
    </cfRule>
    <cfRule type="expression" dxfId="379" priority="813">
      <formula>SEARCH("EMESSO",$M20)&gt;0</formula>
    </cfRule>
    <cfRule type="expression" dxfId="378" priority="814">
      <formula>SEARCH("RICHIESTO",$M20)&gt;0</formula>
    </cfRule>
    <cfRule type="expression" dxfId="377" priority="815">
      <formula>SEARCH("DA CHIUDERE",$M20)&gt;0</formula>
    </cfRule>
    <cfRule type="expression" dxfId="376" priority="816">
      <formula>SEARCH("INTERROTTO",$M20)&gt;0</formula>
    </cfRule>
  </conditionalFormatting>
  <conditionalFormatting sqref="M19">
    <cfRule type="expression" dxfId="375" priority="805">
      <formula>SEARCH("IN CORSO",$M19)&gt;0</formula>
    </cfRule>
    <cfRule type="expression" dxfId="374" priority="806">
      <formula>SEARCH("CHIUSO",$M19)&gt;0</formula>
    </cfRule>
    <cfRule type="expression" dxfId="373" priority="807">
      <formula>SEARCH("EMESSO",$M19)&gt;0</formula>
    </cfRule>
    <cfRule type="expression" dxfId="372" priority="808">
      <formula>SEARCH("RICHIESTO",$M19)&gt;0</formula>
    </cfRule>
    <cfRule type="expression" dxfId="371" priority="809">
      <formula>SEARCH("DA CHIUDERE",$M19)&gt;0</formula>
    </cfRule>
    <cfRule type="expression" dxfId="370" priority="810">
      <formula>SEARCH("INTERROTTO",$M19)&gt;0</formula>
    </cfRule>
  </conditionalFormatting>
  <conditionalFormatting sqref="E19:G19 N19:Q19">
    <cfRule type="expression" dxfId="369" priority="799">
      <formula>SEARCH("IN CORSO",$M19)&gt;0</formula>
    </cfRule>
    <cfRule type="expression" dxfId="368" priority="800">
      <formula>SEARCH("CHIUSO",$M19)&gt;0</formula>
    </cfRule>
    <cfRule type="expression" dxfId="367" priority="801">
      <formula>SEARCH("EMESSO",$M19)&gt;0</formula>
    </cfRule>
    <cfRule type="expression" dxfId="366" priority="802">
      <formula>SEARCH("RICHIESTO",$M19)&gt;0</formula>
    </cfRule>
    <cfRule type="expression" dxfId="365" priority="803">
      <formula>SEARCH("DA CHIUDERE",$M19)&gt;0</formula>
    </cfRule>
    <cfRule type="expression" dxfId="364" priority="804">
      <formula>SEARCH("INTERROTTO",$M19)&gt;0</formula>
    </cfRule>
  </conditionalFormatting>
  <conditionalFormatting sqref="R19:S19">
    <cfRule type="expression" dxfId="363" priority="793">
      <formula>SEARCH("IN CORSO",$M19)&gt;0</formula>
    </cfRule>
    <cfRule type="expression" dxfId="362" priority="794">
      <formula>SEARCH("CHIUSO",$M19)&gt;0</formula>
    </cfRule>
    <cfRule type="expression" dxfId="361" priority="795">
      <formula>SEARCH("EMESSO",$M19)&gt;0</formula>
    </cfRule>
    <cfRule type="expression" dxfId="360" priority="796">
      <formula>SEARCH("RICHIESTO",$M19)&gt;0</formula>
    </cfRule>
    <cfRule type="expression" dxfId="359" priority="797">
      <formula>SEARCH("DA CHIUDERE",$M19)&gt;0</formula>
    </cfRule>
    <cfRule type="expression" dxfId="358" priority="798">
      <formula>SEARCH("INTERROTTO",$M19)&gt;0</formula>
    </cfRule>
  </conditionalFormatting>
  <conditionalFormatting sqref="M18">
    <cfRule type="expression" dxfId="357" priority="787">
      <formula>SEARCH("IN CORSO",$M18)&gt;0</formula>
    </cfRule>
    <cfRule type="expression" dxfId="356" priority="788">
      <formula>SEARCH("CHIUSO",$M18)&gt;0</formula>
    </cfRule>
    <cfRule type="expression" dxfId="355" priority="789">
      <formula>SEARCH("EMESSO",$M18)&gt;0</formula>
    </cfRule>
    <cfRule type="expression" dxfId="354" priority="790">
      <formula>SEARCH("RICHIESTO",$M18)&gt;0</formula>
    </cfRule>
    <cfRule type="expression" dxfId="353" priority="791">
      <formula>SEARCH("DA CHIUDERE",$M18)&gt;0</formula>
    </cfRule>
    <cfRule type="expression" dxfId="352" priority="792">
      <formula>SEARCH("INTERROTTO",$M18)&gt;0</formula>
    </cfRule>
  </conditionalFormatting>
  <conditionalFormatting sqref="E18:G18 N18:Q18">
    <cfRule type="expression" dxfId="351" priority="781">
      <formula>SEARCH("IN CORSO",$M18)&gt;0</formula>
    </cfRule>
    <cfRule type="expression" dxfId="350" priority="782">
      <formula>SEARCH("CHIUSO",$M18)&gt;0</formula>
    </cfRule>
    <cfRule type="expression" dxfId="349" priority="783">
      <formula>SEARCH("EMESSO",$M18)&gt;0</formula>
    </cfRule>
    <cfRule type="expression" dxfId="348" priority="784">
      <formula>SEARCH("RICHIESTO",$M18)&gt;0</formula>
    </cfRule>
    <cfRule type="expression" dxfId="347" priority="785">
      <formula>SEARCH("DA CHIUDERE",$M18)&gt;0</formula>
    </cfRule>
    <cfRule type="expression" dxfId="346" priority="786">
      <formula>SEARCH("INTERROTTO",$M18)&gt;0</formula>
    </cfRule>
  </conditionalFormatting>
  <conditionalFormatting sqref="R18:S18">
    <cfRule type="expression" dxfId="345" priority="775">
      <formula>SEARCH("IN CORSO",$M18)&gt;0</formula>
    </cfRule>
    <cfRule type="expression" dxfId="344" priority="776">
      <formula>SEARCH("CHIUSO",$M18)&gt;0</formula>
    </cfRule>
    <cfRule type="expression" dxfId="343" priority="777">
      <formula>SEARCH("EMESSO",$M18)&gt;0</formula>
    </cfRule>
    <cfRule type="expression" dxfId="342" priority="778">
      <formula>SEARCH("RICHIESTO",$M18)&gt;0</formula>
    </cfRule>
    <cfRule type="expression" dxfId="341" priority="779">
      <formula>SEARCH("DA CHIUDERE",$M18)&gt;0</formula>
    </cfRule>
    <cfRule type="expression" dxfId="340" priority="780">
      <formula>SEARCH("INTERROTTO",$M18)&gt;0</formula>
    </cfRule>
  </conditionalFormatting>
  <conditionalFormatting sqref="M17">
    <cfRule type="expression" dxfId="339" priority="769">
      <formula>SEARCH("IN CORSO",$M17)&gt;0</formula>
    </cfRule>
    <cfRule type="expression" dxfId="338" priority="770">
      <formula>SEARCH("CHIUSO",$M17)&gt;0</formula>
    </cfRule>
    <cfRule type="expression" dxfId="337" priority="771">
      <formula>SEARCH("EMESSO",$M17)&gt;0</formula>
    </cfRule>
    <cfRule type="expression" dxfId="336" priority="772">
      <formula>SEARCH("RICHIESTO",$M17)&gt;0</formula>
    </cfRule>
    <cfRule type="expression" dxfId="335" priority="773">
      <formula>SEARCH("DA CHIUDERE",$M17)&gt;0</formula>
    </cfRule>
    <cfRule type="expression" dxfId="334" priority="774">
      <formula>SEARCH("INTERROTTO",$M17)&gt;0</formula>
    </cfRule>
  </conditionalFormatting>
  <conditionalFormatting sqref="E17:G17 N17:Q17">
    <cfRule type="expression" dxfId="333" priority="763">
      <formula>SEARCH("IN CORSO",$M17)&gt;0</formula>
    </cfRule>
    <cfRule type="expression" dxfId="332" priority="764">
      <formula>SEARCH("CHIUSO",$M17)&gt;0</formula>
    </cfRule>
    <cfRule type="expression" dxfId="331" priority="765">
      <formula>SEARCH("EMESSO",$M17)&gt;0</formula>
    </cfRule>
    <cfRule type="expression" dxfId="330" priority="766">
      <formula>SEARCH("RICHIESTO",$M17)&gt;0</formula>
    </cfRule>
    <cfRule type="expression" dxfId="329" priority="767">
      <formula>SEARCH("DA CHIUDERE",$M17)&gt;0</formula>
    </cfRule>
    <cfRule type="expression" dxfId="328" priority="768">
      <formula>SEARCH("INTERROTTO",$M17)&gt;0</formula>
    </cfRule>
  </conditionalFormatting>
  <conditionalFormatting sqref="R17:S17">
    <cfRule type="expression" dxfId="327" priority="757">
      <formula>SEARCH("IN CORSO",$M17)&gt;0</formula>
    </cfRule>
    <cfRule type="expression" dxfId="326" priority="758">
      <formula>SEARCH("CHIUSO",$M17)&gt;0</formula>
    </cfRule>
    <cfRule type="expression" dxfId="325" priority="759">
      <formula>SEARCH("EMESSO",$M17)&gt;0</formula>
    </cfRule>
    <cfRule type="expression" dxfId="324" priority="760">
      <formula>SEARCH("RICHIESTO",$M17)&gt;0</formula>
    </cfRule>
    <cfRule type="expression" dxfId="323" priority="761">
      <formula>SEARCH("DA CHIUDERE",$M17)&gt;0</formula>
    </cfRule>
    <cfRule type="expression" dxfId="322" priority="762">
      <formula>SEARCH("INTERROTTO",$M17)&gt;0</formula>
    </cfRule>
  </conditionalFormatting>
  <conditionalFormatting sqref="M16">
    <cfRule type="expression" dxfId="321" priority="751">
      <formula>SEARCH("IN CORSO",$M16)&gt;0</formula>
    </cfRule>
    <cfRule type="expression" dxfId="320" priority="752">
      <formula>SEARCH("CHIUSO",$M16)&gt;0</formula>
    </cfRule>
    <cfRule type="expression" dxfId="319" priority="753">
      <formula>SEARCH("EMESSO",$M16)&gt;0</formula>
    </cfRule>
    <cfRule type="expression" dxfId="318" priority="754">
      <formula>SEARCH("RICHIESTO",$M16)&gt;0</formula>
    </cfRule>
    <cfRule type="expression" dxfId="317" priority="755">
      <formula>SEARCH("DA CHIUDERE",$M16)&gt;0</formula>
    </cfRule>
    <cfRule type="expression" dxfId="316" priority="756">
      <formula>SEARCH("INTERROTTO",$M16)&gt;0</formula>
    </cfRule>
  </conditionalFormatting>
  <conditionalFormatting sqref="E16:G16 N16:Q16">
    <cfRule type="expression" dxfId="315" priority="745">
      <formula>SEARCH("IN CORSO",$M16)&gt;0</formula>
    </cfRule>
    <cfRule type="expression" dxfId="314" priority="746">
      <formula>SEARCH("CHIUSO",$M16)&gt;0</formula>
    </cfRule>
    <cfRule type="expression" dxfId="313" priority="747">
      <formula>SEARCH("EMESSO",$M16)&gt;0</formula>
    </cfRule>
    <cfRule type="expression" dxfId="312" priority="748">
      <formula>SEARCH("RICHIESTO",$M16)&gt;0</formula>
    </cfRule>
    <cfRule type="expression" dxfId="311" priority="749">
      <formula>SEARCH("DA CHIUDERE",$M16)&gt;0</formula>
    </cfRule>
    <cfRule type="expression" dxfId="310" priority="750">
      <formula>SEARCH("INTERROTTO",$M16)&gt;0</formula>
    </cfRule>
  </conditionalFormatting>
  <conditionalFormatting sqref="R16:S16">
    <cfRule type="expression" dxfId="309" priority="739">
      <formula>SEARCH("IN CORSO",$M16)&gt;0</formula>
    </cfRule>
    <cfRule type="expression" dxfId="308" priority="740">
      <formula>SEARCH("CHIUSO",$M16)&gt;0</formula>
    </cfRule>
    <cfRule type="expression" dxfId="307" priority="741">
      <formula>SEARCH("EMESSO",$M16)&gt;0</formula>
    </cfRule>
    <cfRule type="expression" dxfId="306" priority="742">
      <formula>SEARCH("RICHIESTO",$M16)&gt;0</formula>
    </cfRule>
    <cfRule type="expression" dxfId="305" priority="743">
      <formula>SEARCH("DA CHIUDERE",$M16)&gt;0</formula>
    </cfRule>
    <cfRule type="expression" dxfId="304" priority="744">
      <formula>SEARCH("INTERROTTO",$M16)&gt;0</formula>
    </cfRule>
  </conditionalFormatting>
  <conditionalFormatting sqref="M15">
    <cfRule type="expression" dxfId="303" priority="733">
      <formula>SEARCH("IN CORSO",$M15)&gt;0</formula>
    </cfRule>
    <cfRule type="expression" dxfId="302" priority="734">
      <formula>SEARCH("CHIUSO",$M15)&gt;0</formula>
    </cfRule>
    <cfRule type="expression" dxfId="301" priority="735">
      <formula>SEARCH("EMESSO",$M15)&gt;0</formula>
    </cfRule>
    <cfRule type="expression" dxfId="300" priority="736">
      <formula>SEARCH("RICHIESTO",$M15)&gt;0</formula>
    </cfRule>
    <cfRule type="expression" dxfId="299" priority="737">
      <formula>SEARCH("DA CHIUDERE",$M15)&gt;0</formula>
    </cfRule>
    <cfRule type="expression" dxfId="298" priority="738">
      <formula>SEARCH("INTERROTTO",$M15)&gt;0</formula>
    </cfRule>
  </conditionalFormatting>
  <conditionalFormatting sqref="E15:G15 N15:Q15">
    <cfRule type="expression" dxfId="297" priority="727">
      <formula>SEARCH("IN CORSO",$M15)&gt;0</formula>
    </cfRule>
    <cfRule type="expression" dxfId="296" priority="728">
      <formula>SEARCH("CHIUSO",$M15)&gt;0</formula>
    </cfRule>
    <cfRule type="expression" dxfId="295" priority="729">
      <formula>SEARCH("EMESSO",$M15)&gt;0</formula>
    </cfRule>
    <cfRule type="expression" dxfId="294" priority="730">
      <formula>SEARCH("RICHIESTO",$M15)&gt;0</formula>
    </cfRule>
    <cfRule type="expression" dxfId="293" priority="731">
      <formula>SEARCH("DA CHIUDERE",$M15)&gt;0</formula>
    </cfRule>
    <cfRule type="expression" dxfId="292" priority="732">
      <formula>SEARCH("INTERROTTO",$M15)&gt;0</formula>
    </cfRule>
  </conditionalFormatting>
  <conditionalFormatting sqref="R15:S15">
    <cfRule type="expression" dxfId="291" priority="721">
      <formula>SEARCH("IN CORSO",$M15)&gt;0</formula>
    </cfRule>
    <cfRule type="expression" dxfId="290" priority="722">
      <formula>SEARCH("CHIUSO",$M15)&gt;0</formula>
    </cfRule>
    <cfRule type="expression" dxfId="289" priority="723">
      <formula>SEARCH("EMESSO",$M15)&gt;0</formula>
    </cfRule>
    <cfRule type="expression" dxfId="288" priority="724">
      <formula>SEARCH("RICHIESTO",$M15)&gt;0</formula>
    </cfRule>
    <cfRule type="expression" dxfId="287" priority="725">
      <formula>SEARCH("DA CHIUDERE",$M15)&gt;0</formula>
    </cfRule>
    <cfRule type="expression" dxfId="286" priority="726">
      <formula>SEARCH("INTERROTTO",$M15)&gt;0</formula>
    </cfRule>
  </conditionalFormatting>
  <conditionalFormatting sqref="M14">
    <cfRule type="expression" dxfId="285" priority="715">
      <formula>SEARCH("IN CORSO",$M14)&gt;0</formula>
    </cfRule>
    <cfRule type="expression" dxfId="284" priority="716">
      <formula>SEARCH("CHIUSO",$M14)&gt;0</formula>
    </cfRule>
    <cfRule type="expression" dxfId="283" priority="717">
      <formula>SEARCH("EMESSO",$M14)&gt;0</formula>
    </cfRule>
    <cfRule type="expression" dxfId="282" priority="718">
      <formula>SEARCH("RICHIESTO",$M14)&gt;0</formula>
    </cfRule>
    <cfRule type="expression" dxfId="281" priority="719">
      <formula>SEARCH("DA CHIUDERE",$M14)&gt;0</formula>
    </cfRule>
    <cfRule type="expression" dxfId="280" priority="720">
      <formula>SEARCH("INTERROTTO",$M14)&gt;0</formula>
    </cfRule>
  </conditionalFormatting>
  <conditionalFormatting sqref="E14:G14 N14:Q14">
    <cfRule type="expression" dxfId="279" priority="709">
      <formula>SEARCH("IN CORSO",$M14)&gt;0</formula>
    </cfRule>
    <cfRule type="expression" dxfId="278" priority="710">
      <formula>SEARCH("CHIUSO",$M14)&gt;0</formula>
    </cfRule>
    <cfRule type="expression" dxfId="277" priority="711">
      <formula>SEARCH("EMESSO",$M14)&gt;0</formula>
    </cfRule>
    <cfRule type="expression" dxfId="276" priority="712">
      <formula>SEARCH("RICHIESTO",$M14)&gt;0</formula>
    </cfRule>
    <cfRule type="expression" dxfId="275" priority="713">
      <formula>SEARCH("DA CHIUDERE",$M14)&gt;0</formula>
    </cfRule>
    <cfRule type="expression" dxfId="274" priority="714">
      <formula>SEARCH("INTERROTTO",$M14)&gt;0</formula>
    </cfRule>
  </conditionalFormatting>
  <conditionalFormatting sqref="R14:S14">
    <cfRule type="expression" dxfId="273" priority="703">
      <formula>SEARCH("IN CORSO",$M14)&gt;0</formula>
    </cfRule>
    <cfRule type="expression" dxfId="272" priority="704">
      <formula>SEARCH("CHIUSO",$M14)&gt;0</formula>
    </cfRule>
    <cfRule type="expression" dxfId="271" priority="705">
      <formula>SEARCH("EMESSO",$M14)&gt;0</formula>
    </cfRule>
    <cfRule type="expression" dxfId="270" priority="706">
      <formula>SEARCH("RICHIESTO",$M14)&gt;0</formula>
    </cfRule>
    <cfRule type="expression" dxfId="269" priority="707">
      <formula>SEARCH("DA CHIUDERE",$M14)&gt;0</formula>
    </cfRule>
    <cfRule type="expression" dxfId="268" priority="708">
      <formula>SEARCH("INTERROTTO",$M14)&gt;0</formula>
    </cfRule>
  </conditionalFormatting>
  <conditionalFormatting sqref="M13">
    <cfRule type="expression" dxfId="267" priority="535">
      <formula>SEARCH("IN CORSO",$M13)&gt;0</formula>
    </cfRule>
    <cfRule type="expression" dxfId="266" priority="536">
      <formula>SEARCH("CHIUSO",$M13)&gt;0</formula>
    </cfRule>
    <cfRule type="expression" dxfId="265" priority="537">
      <formula>SEARCH("EMESSO",$M13)&gt;0</formula>
    </cfRule>
    <cfRule type="expression" dxfId="264" priority="538">
      <formula>SEARCH("RICHIESTO",$M13)&gt;0</formula>
    </cfRule>
    <cfRule type="expression" dxfId="263" priority="539">
      <formula>SEARCH("DA CHIUDERE",$M13)&gt;0</formula>
    </cfRule>
    <cfRule type="expression" dxfId="262" priority="540">
      <formula>SEARCH("INTERROTTO",$M13)&gt;0</formula>
    </cfRule>
  </conditionalFormatting>
  <conditionalFormatting sqref="E13:G13 N13:Q13">
    <cfRule type="expression" dxfId="261" priority="529">
      <formula>SEARCH("IN CORSO",$M13)&gt;0</formula>
    </cfRule>
    <cfRule type="expression" dxfId="260" priority="530">
      <formula>SEARCH("CHIUSO",$M13)&gt;0</formula>
    </cfRule>
    <cfRule type="expression" dxfId="259" priority="531">
      <formula>SEARCH("EMESSO",$M13)&gt;0</formula>
    </cfRule>
    <cfRule type="expression" dxfId="258" priority="532">
      <formula>SEARCH("RICHIESTO",$M13)&gt;0</formula>
    </cfRule>
    <cfRule type="expression" dxfId="257" priority="533">
      <formula>SEARCH("DA CHIUDERE",$M13)&gt;0</formula>
    </cfRule>
    <cfRule type="expression" dxfId="256" priority="534">
      <formula>SEARCH("INTERROTTO",$M13)&gt;0</formula>
    </cfRule>
  </conditionalFormatting>
  <conditionalFormatting sqref="R13:S13">
    <cfRule type="expression" dxfId="255" priority="523">
      <formula>SEARCH("IN CORSO",$M13)&gt;0</formula>
    </cfRule>
    <cfRule type="expression" dxfId="254" priority="524">
      <formula>SEARCH("CHIUSO",$M13)&gt;0</formula>
    </cfRule>
    <cfRule type="expression" dxfId="253" priority="525">
      <formula>SEARCH("EMESSO",$M13)&gt;0</formula>
    </cfRule>
    <cfRule type="expression" dxfId="252" priority="526">
      <formula>SEARCH("RICHIESTO",$M13)&gt;0</formula>
    </cfRule>
    <cfRule type="expression" dxfId="251" priority="527">
      <formula>SEARCH("DA CHIUDERE",$M13)&gt;0</formula>
    </cfRule>
    <cfRule type="expression" dxfId="250" priority="528">
      <formula>SEARCH("INTERROTTO",$M13)&gt;0</formula>
    </cfRule>
  </conditionalFormatting>
  <conditionalFormatting sqref="M12">
    <cfRule type="expression" dxfId="249" priority="157">
      <formula>SEARCH("IN CORSO",$M12)&gt;0</formula>
    </cfRule>
    <cfRule type="expression" dxfId="248" priority="158">
      <formula>SEARCH("CHIUSO",$M12)&gt;0</formula>
    </cfRule>
    <cfRule type="expression" dxfId="247" priority="159">
      <formula>SEARCH("EMESSO",$M12)&gt;0</formula>
    </cfRule>
    <cfRule type="expression" dxfId="246" priority="160">
      <formula>SEARCH("RICHIESTO",$M12)&gt;0</formula>
    </cfRule>
    <cfRule type="expression" dxfId="245" priority="161">
      <formula>SEARCH("DA CHIUDERE",$M12)&gt;0</formula>
    </cfRule>
    <cfRule type="expression" dxfId="244" priority="162">
      <formula>SEARCH("INTERROTTO",$M12)&gt;0</formula>
    </cfRule>
  </conditionalFormatting>
  <conditionalFormatting sqref="E12:G12 N12:Q12">
    <cfRule type="expression" dxfId="243" priority="151">
      <formula>SEARCH("IN CORSO",$M12)&gt;0</formula>
    </cfRule>
    <cfRule type="expression" dxfId="242" priority="152">
      <formula>SEARCH("CHIUSO",$M12)&gt;0</formula>
    </cfRule>
    <cfRule type="expression" dxfId="241" priority="153">
      <formula>SEARCH("EMESSO",$M12)&gt;0</formula>
    </cfRule>
    <cfRule type="expression" dxfId="240" priority="154">
      <formula>SEARCH("RICHIESTO",$M12)&gt;0</formula>
    </cfRule>
    <cfRule type="expression" dxfId="239" priority="155">
      <formula>SEARCH("DA CHIUDERE",$M12)&gt;0</formula>
    </cfRule>
    <cfRule type="expression" dxfId="238" priority="156">
      <formula>SEARCH("INTERROTTO",$M12)&gt;0</formula>
    </cfRule>
  </conditionalFormatting>
  <conditionalFormatting sqref="R12:S12">
    <cfRule type="expression" dxfId="237" priority="145">
      <formula>SEARCH("IN CORSO",$M12)&gt;0</formula>
    </cfRule>
    <cfRule type="expression" dxfId="236" priority="146">
      <formula>SEARCH("CHIUSO",$M12)&gt;0</formula>
    </cfRule>
    <cfRule type="expression" dxfId="235" priority="147">
      <formula>SEARCH("EMESSO",$M12)&gt;0</formula>
    </cfRule>
    <cfRule type="expression" dxfId="234" priority="148">
      <formula>SEARCH("RICHIESTO",$M12)&gt;0</formula>
    </cfRule>
    <cfRule type="expression" dxfId="233" priority="149">
      <formula>SEARCH("DA CHIUDERE",$M12)&gt;0</formula>
    </cfRule>
    <cfRule type="expression" dxfId="232" priority="150">
      <formula>SEARCH("INTERROTTO",$M12)&gt;0</formula>
    </cfRule>
  </conditionalFormatting>
  <conditionalFormatting sqref="M11">
    <cfRule type="expression" dxfId="231" priority="139">
      <formula>SEARCH("IN CORSO",$M11)&gt;0</formula>
    </cfRule>
    <cfRule type="expression" dxfId="230" priority="140">
      <formula>SEARCH("CHIUSO",$M11)&gt;0</formula>
    </cfRule>
    <cfRule type="expression" dxfId="229" priority="141">
      <formula>SEARCH("EMESSO",$M11)&gt;0</formula>
    </cfRule>
    <cfRule type="expression" dxfId="228" priority="142">
      <formula>SEARCH("RICHIESTO",$M11)&gt;0</formula>
    </cfRule>
    <cfRule type="expression" dxfId="227" priority="143">
      <formula>SEARCH("DA CHIUDERE",$M11)&gt;0</formula>
    </cfRule>
    <cfRule type="expression" dxfId="226" priority="144">
      <formula>SEARCH("INTERROTTO",$M11)&gt;0</formula>
    </cfRule>
  </conditionalFormatting>
  <conditionalFormatting sqref="E11:G11 N11:Q11">
    <cfRule type="expression" dxfId="225" priority="133">
      <formula>SEARCH("IN CORSO",$M11)&gt;0</formula>
    </cfRule>
    <cfRule type="expression" dxfId="224" priority="134">
      <formula>SEARCH("CHIUSO",$M11)&gt;0</formula>
    </cfRule>
    <cfRule type="expression" dxfId="223" priority="135">
      <formula>SEARCH("EMESSO",$M11)&gt;0</formula>
    </cfRule>
    <cfRule type="expression" dxfId="222" priority="136">
      <formula>SEARCH("RICHIESTO",$M11)&gt;0</formula>
    </cfRule>
    <cfRule type="expression" dxfId="221" priority="137">
      <formula>SEARCH("DA CHIUDERE",$M11)&gt;0</formula>
    </cfRule>
    <cfRule type="expression" dxfId="220" priority="138">
      <formula>SEARCH("INTERROTTO",$M11)&gt;0</formula>
    </cfRule>
  </conditionalFormatting>
  <conditionalFormatting sqref="R11:S11">
    <cfRule type="expression" dxfId="219" priority="127">
      <formula>SEARCH("IN CORSO",$M11)&gt;0</formula>
    </cfRule>
    <cfRule type="expression" dxfId="218" priority="128">
      <formula>SEARCH("CHIUSO",$M11)&gt;0</formula>
    </cfRule>
    <cfRule type="expression" dxfId="217" priority="129">
      <formula>SEARCH("EMESSO",$M11)&gt;0</formula>
    </cfRule>
    <cfRule type="expression" dxfId="216" priority="130">
      <formula>SEARCH("RICHIESTO",$M11)&gt;0</formula>
    </cfRule>
    <cfRule type="expression" dxfId="215" priority="131">
      <formula>SEARCH("DA CHIUDERE",$M11)&gt;0</formula>
    </cfRule>
    <cfRule type="expression" dxfId="214" priority="132">
      <formula>SEARCH("INTERROTTO",$M11)&gt;0</formula>
    </cfRule>
  </conditionalFormatting>
  <conditionalFormatting sqref="M10">
    <cfRule type="expression" dxfId="213" priority="121">
      <formula>SEARCH("IN CORSO",$M10)&gt;0</formula>
    </cfRule>
    <cfRule type="expression" dxfId="212" priority="122">
      <formula>SEARCH("CHIUSO",$M10)&gt;0</formula>
    </cfRule>
    <cfRule type="expression" dxfId="211" priority="123">
      <formula>SEARCH("EMESSO",$M10)&gt;0</formula>
    </cfRule>
    <cfRule type="expression" dxfId="210" priority="124">
      <formula>SEARCH("RICHIESTO",$M10)&gt;0</formula>
    </cfRule>
    <cfRule type="expression" dxfId="209" priority="125">
      <formula>SEARCH("DA CHIUDERE",$M10)&gt;0</formula>
    </cfRule>
    <cfRule type="expression" dxfId="208" priority="126">
      <formula>SEARCH("INTERROTTO",$M10)&gt;0</formula>
    </cfRule>
  </conditionalFormatting>
  <conditionalFormatting sqref="E10:G10 N10:Q10">
    <cfRule type="expression" dxfId="207" priority="115">
      <formula>SEARCH("IN CORSO",$M10)&gt;0</formula>
    </cfRule>
    <cfRule type="expression" dxfId="206" priority="116">
      <formula>SEARCH("CHIUSO",$M10)&gt;0</formula>
    </cfRule>
    <cfRule type="expression" dxfId="205" priority="117">
      <formula>SEARCH("EMESSO",$M10)&gt;0</formula>
    </cfRule>
    <cfRule type="expression" dxfId="204" priority="118">
      <formula>SEARCH("RICHIESTO",$M10)&gt;0</formula>
    </cfRule>
    <cfRule type="expression" dxfId="203" priority="119">
      <formula>SEARCH("DA CHIUDERE",$M10)&gt;0</formula>
    </cfRule>
    <cfRule type="expression" dxfId="202" priority="120">
      <formula>SEARCH("INTERROTTO",$M10)&gt;0</formula>
    </cfRule>
  </conditionalFormatting>
  <conditionalFormatting sqref="R10:S10">
    <cfRule type="expression" dxfId="201" priority="109">
      <formula>SEARCH("IN CORSO",$M10)&gt;0</formula>
    </cfRule>
    <cfRule type="expression" dxfId="200" priority="110">
      <formula>SEARCH("CHIUSO",$M10)&gt;0</formula>
    </cfRule>
    <cfRule type="expression" dxfId="199" priority="111">
      <formula>SEARCH("EMESSO",$M10)&gt;0</formula>
    </cfRule>
    <cfRule type="expression" dxfId="198" priority="112">
      <formula>SEARCH("RICHIESTO",$M10)&gt;0</formula>
    </cfRule>
    <cfRule type="expression" dxfId="197" priority="113">
      <formula>SEARCH("DA CHIUDERE",$M10)&gt;0</formula>
    </cfRule>
    <cfRule type="expression" dxfId="196" priority="114">
      <formula>SEARCH("INTERROTTO",$M10)&gt;0</formula>
    </cfRule>
  </conditionalFormatting>
  <conditionalFormatting sqref="M9">
    <cfRule type="expression" dxfId="195" priority="103">
      <formula>SEARCH("IN CORSO",$M9)&gt;0</formula>
    </cfRule>
    <cfRule type="expression" dxfId="194" priority="104">
      <formula>SEARCH("CHIUSO",$M9)&gt;0</formula>
    </cfRule>
    <cfRule type="expression" dxfId="193" priority="105">
      <formula>SEARCH("EMESSO",$M9)&gt;0</formula>
    </cfRule>
    <cfRule type="expression" dxfId="192" priority="106">
      <formula>SEARCH("RICHIESTO",$M9)&gt;0</formula>
    </cfRule>
    <cfRule type="expression" dxfId="191" priority="107">
      <formula>SEARCH("DA CHIUDERE",$M9)&gt;0</formula>
    </cfRule>
    <cfRule type="expression" dxfId="190" priority="108">
      <formula>SEARCH("INTERROTTO",$M9)&gt;0</formula>
    </cfRule>
  </conditionalFormatting>
  <conditionalFormatting sqref="E9:G9 N9:Q9">
    <cfRule type="expression" dxfId="189" priority="97">
      <formula>SEARCH("IN CORSO",$M9)&gt;0</formula>
    </cfRule>
    <cfRule type="expression" dxfId="188" priority="98">
      <formula>SEARCH("CHIUSO",$M9)&gt;0</formula>
    </cfRule>
    <cfRule type="expression" dxfId="187" priority="99">
      <formula>SEARCH("EMESSO",$M9)&gt;0</formula>
    </cfRule>
    <cfRule type="expression" dxfId="186" priority="100">
      <formula>SEARCH("RICHIESTO",$M9)&gt;0</formula>
    </cfRule>
    <cfRule type="expression" dxfId="185" priority="101">
      <formula>SEARCH("DA CHIUDERE",$M9)&gt;0</formula>
    </cfRule>
    <cfRule type="expression" dxfId="184" priority="102">
      <formula>SEARCH("INTERROTTO",$M9)&gt;0</formula>
    </cfRule>
  </conditionalFormatting>
  <conditionalFormatting sqref="R9:S9">
    <cfRule type="expression" dxfId="183" priority="91">
      <formula>SEARCH("IN CORSO",$M9)&gt;0</formula>
    </cfRule>
    <cfRule type="expression" dxfId="182" priority="92">
      <formula>SEARCH("CHIUSO",$M9)&gt;0</formula>
    </cfRule>
    <cfRule type="expression" dxfId="181" priority="93">
      <formula>SEARCH("EMESSO",$M9)&gt;0</formula>
    </cfRule>
    <cfRule type="expression" dxfId="180" priority="94">
      <formula>SEARCH("RICHIESTO",$M9)&gt;0</formula>
    </cfRule>
    <cfRule type="expression" dxfId="179" priority="95">
      <formula>SEARCH("DA CHIUDERE",$M9)&gt;0</formula>
    </cfRule>
    <cfRule type="expression" dxfId="178" priority="96">
      <formula>SEARCH("INTERROTTO",$M9)&gt;0</formula>
    </cfRule>
  </conditionalFormatting>
  <conditionalFormatting sqref="M8">
    <cfRule type="expression" dxfId="177" priority="85">
      <formula>SEARCH("IN CORSO",$M8)&gt;0</formula>
    </cfRule>
    <cfRule type="expression" dxfId="176" priority="86">
      <formula>SEARCH("CHIUSO",$M8)&gt;0</formula>
    </cfRule>
    <cfRule type="expression" dxfId="175" priority="87">
      <formula>SEARCH("EMESSO",$M8)&gt;0</formula>
    </cfRule>
    <cfRule type="expression" dxfId="174" priority="88">
      <formula>SEARCH("RICHIESTO",$M8)&gt;0</formula>
    </cfRule>
    <cfRule type="expression" dxfId="173" priority="89">
      <formula>SEARCH("DA CHIUDERE",$M8)&gt;0</formula>
    </cfRule>
    <cfRule type="expression" dxfId="172" priority="90">
      <formula>SEARCH("INTERROTTO",$M8)&gt;0</formula>
    </cfRule>
  </conditionalFormatting>
  <conditionalFormatting sqref="E8:G8 N8:Q8">
    <cfRule type="expression" dxfId="171" priority="79">
      <formula>SEARCH("IN CORSO",$M8)&gt;0</formula>
    </cfRule>
    <cfRule type="expression" dxfId="170" priority="80">
      <formula>SEARCH("CHIUSO",$M8)&gt;0</formula>
    </cfRule>
    <cfRule type="expression" dxfId="169" priority="81">
      <formula>SEARCH("EMESSO",$M8)&gt;0</formula>
    </cfRule>
    <cfRule type="expression" dxfId="168" priority="82">
      <formula>SEARCH("RICHIESTO",$M8)&gt;0</formula>
    </cfRule>
    <cfRule type="expression" dxfId="167" priority="83">
      <formula>SEARCH("DA CHIUDERE",$M8)&gt;0</formula>
    </cfRule>
    <cfRule type="expression" dxfId="166" priority="84">
      <formula>SEARCH("INTERROTTO",$M8)&gt;0</formula>
    </cfRule>
  </conditionalFormatting>
  <conditionalFormatting sqref="R8:S8">
    <cfRule type="expression" dxfId="165" priority="73">
      <formula>SEARCH("IN CORSO",$M8)&gt;0</formula>
    </cfRule>
    <cfRule type="expression" dxfId="164" priority="74">
      <formula>SEARCH("CHIUSO",$M8)&gt;0</formula>
    </cfRule>
    <cfRule type="expression" dxfId="163" priority="75">
      <formula>SEARCH("EMESSO",$M8)&gt;0</formula>
    </cfRule>
    <cfRule type="expression" dxfId="162" priority="76">
      <formula>SEARCH("RICHIESTO",$M8)&gt;0</formula>
    </cfRule>
    <cfRule type="expression" dxfId="161" priority="77">
      <formula>SEARCH("DA CHIUDERE",$M8)&gt;0</formula>
    </cfRule>
    <cfRule type="expression" dxfId="160" priority="78">
      <formula>SEARCH("INTERROTTO",$M8)&gt;0</formula>
    </cfRule>
  </conditionalFormatting>
  <conditionalFormatting sqref="M7">
    <cfRule type="expression" dxfId="159" priority="67">
      <formula>SEARCH("IN CORSO",$M7)&gt;0</formula>
    </cfRule>
    <cfRule type="expression" dxfId="158" priority="68">
      <formula>SEARCH("CHIUSO",$M7)&gt;0</formula>
    </cfRule>
    <cfRule type="expression" dxfId="157" priority="69">
      <formula>SEARCH("EMESSO",$M7)&gt;0</formula>
    </cfRule>
    <cfRule type="expression" dxfId="156" priority="70">
      <formula>SEARCH("RICHIESTO",$M7)&gt;0</formula>
    </cfRule>
    <cfRule type="expression" dxfId="155" priority="71">
      <formula>SEARCH("DA CHIUDERE",$M7)&gt;0</formula>
    </cfRule>
    <cfRule type="expression" dxfId="154" priority="72">
      <formula>SEARCH("INTERROTTO",$M7)&gt;0</formula>
    </cfRule>
  </conditionalFormatting>
  <conditionalFormatting sqref="E7:G7 N7:Q7">
    <cfRule type="expression" dxfId="153" priority="61">
      <formula>SEARCH("IN CORSO",$M7)&gt;0</formula>
    </cfRule>
    <cfRule type="expression" dxfId="152" priority="62">
      <formula>SEARCH("CHIUSO",$M7)&gt;0</formula>
    </cfRule>
    <cfRule type="expression" dxfId="151" priority="63">
      <formula>SEARCH("EMESSO",$M7)&gt;0</formula>
    </cfRule>
    <cfRule type="expression" dxfId="150" priority="64">
      <formula>SEARCH("RICHIESTO",$M7)&gt;0</formula>
    </cfRule>
    <cfRule type="expression" dxfId="149" priority="65">
      <formula>SEARCH("DA CHIUDERE",$M7)&gt;0</formula>
    </cfRule>
    <cfRule type="expression" dxfId="148" priority="66">
      <formula>SEARCH("INTERROTTO",$M7)&gt;0</formula>
    </cfRule>
  </conditionalFormatting>
  <conditionalFormatting sqref="R7:S7">
    <cfRule type="expression" dxfId="147" priority="55">
      <formula>SEARCH("IN CORSO",$M7)&gt;0</formula>
    </cfRule>
    <cfRule type="expression" dxfId="146" priority="56">
      <formula>SEARCH("CHIUSO",$M7)&gt;0</formula>
    </cfRule>
    <cfRule type="expression" dxfId="145" priority="57">
      <formula>SEARCH("EMESSO",$M7)&gt;0</formula>
    </cfRule>
    <cfRule type="expression" dxfId="144" priority="58">
      <formula>SEARCH("RICHIESTO",$M7)&gt;0</formula>
    </cfRule>
    <cfRule type="expression" dxfId="143" priority="59">
      <formula>SEARCH("DA CHIUDERE",$M7)&gt;0</formula>
    </cfRule>
    <cfRule type="expression" dxfId="142" priority="60">
      <formula>SEARCH("INTERROTTO",$M7)&gt;0</formula>
    </cfRule>
  </conditionalFormatting>
  <conditionalFormatting sqref="M6">
    <cfRule type="expression" dxfId="141" priority="49">
      <formula>SEARCH("IN CORSO",$M6)&gt;0</formula>
    </cfRule>
    <cfRule type="expression" dxfId="140" priority="50">
      <formula>SEARCH("CHIUSO",$M6)&gt;0</formula>
    </cfRule>
    <cfRule type="expression" dxfId="139" priority="51">
      <formula>SEARCH("EMESSO",$M6)&gt;0</formula>
    </cfRule>
    <cfRule type="expression" dxfId="138" priority="52">
      <formula>SEARCH("RICHIESTO",$M6)&gt;0</formula>
    </cfRule>
    <cfRule type="expression" dxfId="137" priority="53">
      <formula>SEARCH("DA CHIUDERE",$M6)&gt;0</formula>
    </cfRule>
    <cfRule type="expression" dxfId="136" priority="54">
      <formula>SEARCH("INTERROTTO",$M6)&gt;0</formula>
    </cfRule>
  </conditionalFormatting>
  <conditionalFormatting sqref="E6:G6 N6:Q6">
    <cfRule type="expression" dxfId="135" priority="43">
      <formula>SEARCH("IN CORSO",$M6)&gt;0</formula>
    </cfRule>
    <cfRule type="expression" dxfId="134" priority="44">
      <formula>SEARCH("CHIUSO",$M6)&gt;0</formula>
    </cfRule>
    <cfRule type="expression" dxfId="133" priority="45">
      <formula>SEARCH("EMESSO",$M6)&gt;0</formula>
    </cfRule>
    <cfRule type="expression" dxfId="132" priority="46">
      <formula>SEARCH("RICHIESTO",$M6)&gt;0</formula>
    </cfRule>
    <cfRule type="expression" dxfId="131" priority="47">
      <formula>SEARCH("DA CHIUDERE",$M6)&gt;0</formula>
    </cfRule>
    <cfRule type="expression" dxfId="130" priority="48">
      <formula>SEARCH("INTERROTTO",$M6)&gt;0</formula>
    </cfRule>
  </conditionalFormatting>
  <conditionalFormatting sqref="R6:S6">
    <cfRule type="expression" dxfId="129" priority="37">
      <formula>SEARCH("IN CORSO",$M6)&gt;0</formula>
    </cfRule>
    <cfRule type="expression" dxfId="128" priority="38">
      <formula>SEARCH("CHIUSO",$M6)&gt;0</formula>
    </cfRule>
    <cfRule type="expression" dxfId="127" priority="39">
      <formula>SEARCH("EMESSO",$M6)&gt;0</formula>
    </cfRule>
    <cfRule type="expression" dxfId="126" priority="40">
      <formula>SEARCH("RICHIESTO",$M6)&gt;0</formula>
    </cfRule>
    <cfRule type="expression" dxfId="125" priority="41">
      <formula>SEARCH("DA CHIUDERE",$M6)&gt;0</formula>
    </cfRule>
    <cfRule type="expression" dxfId="124" priority="42">
      <formula>SEARCH("INTERROTTO",$M6)&gt;0</formula>
    </cfRule>
  </conditionalFormatting>
  <conditionalFormatting sqref="M5">
    <cfRule type="expression" dxfId="123" priority="31">
      <formula>SEARCH("IN CORSO",$M5)&gt;0</formula>
    </cfRule>
    <cfRule type="expression" dxfId="122" priority="32">
      <formula>SEARCH("CHIUSO",$M5)&gt;0</formula>
    </cfRule>
    <cfRule type="expression" dxfId="121" priority="33">
      <formula>SEARCH("EMESSO",$M5)&gt;0</formula>
    </cfRule>
    <cfRule type="expression" dxfId="120" priority="34">
      <formula>SEARCH("RICHIESTO",$M5)&gt;0</formula>
    </cfRule>
    <cfRule type="expression" dxfId="119" priority="35">
      <formula>SEARCH("DA CHIUDERE",$M5)&gt;0</formula>
    </cfRule>
    <cfRule type="expression" dxfId="118" priority="36">
      <formula>SEARCH("INTERROTTO",$M5)&gt;0</formula>
    </cfRule>
  </conditionalFormatting>
  <conditionalFormatting sqref="E5:G5 N5:Q5">
    <cfRule type="expression" dxfId="117" priority="25">
      <formula>SEARCH("IN CORSO",$M5)&gt;0</formula>
    </cfRule>
    <cfRule type="expression" dxfId="116" priority="26">
      <formula>SEARCH("CHIUSO",$M5)&gt;0</formula>
    </cfRule>
    <cfRule type="expression" dxfId="115" priority="27">
      <formula>SEARCH("EMESSO",$M5)&gt;0</formula>
    </cfRule>
    <cfRule type="expression" dxfId="114" priority="28">
      <formula>SEARCH("RICHIESTO",$M5)&gt;0</formula>
    </cfRule>
    <cfRule type="expression" dxfId="113" priority="29">
      <formula>SEARCH("DA CHIUDERE",$M5)&gt;0</formula>
    </cfRule>
    <cfRule type="expression" dxfId="112" priority="30">
      <formula>SEARCH("INTERROTTO",$M5)&gt;0</formula>
    </cfRule>
  </conditionalFormatting>
  <conditionalFormatting sqref="R5:S5">
    <cfRule type="expression" dxfId="111" priority="19">
      <formula>SEARCH("IN CORSO",$M5)&gt;0</formula>
    </cfRule>
    <cfRule type="expression" dxfId="110" priority="20">
      <formula>SEARCH("CHIUSO",$M5)&gt;0</formula>
    </cfRule>
    <cfRule type="expression" dxfId="109" priority="21">
      <formula>SEARCH("EMESSO",$M5)&gt;0</formula>
    </cfRule>
    <cfRule type="expression" dxfId="108" priority="22">
      <formula>SEARCH("RICHIESTO",$M5)&gt;0</formula>
    </cfRule>
    <cfRule type="expression" dxfId="107" priority="23">
      <formula>SEARCH("DA CHIUDERE",$M5)&gt;0</formula>
    </cfRule>
    <cfRule type="expression" dxfId="106" priority="24">
      <formula>SEARCH("INTERROTTO",$M5)&gt;0</formula>
    </cfRule>
  </conditionalFormatting>
  <conditionalFormatting sqref="M4">
    <cfRule type="expression" dxfId="105" priority="13">
      <formula>SEARCH("IN CORSO",$M4)&gt;0</formula>
    </cfRule>
    <cfRule type="expression" dxfId="104" priority="14">
      <formula>SEARCH("CHIUSO",$M4)&gt;0</formula>
    </cfRule>
    <cfRule type="expression" dxfId="103" priority="15">
      <formula>SEARCH("EMESSO",$M4)&gt;0</formula>
    </cfRule>
    <cfRule type="expression" dxfId="102" priority="16">
      <formula>SEARCH("RICHIESTO",$M4)&gt;0</formula>
    </cfRule>
    <cfRule type="expression" dxfId="101" priority="17">
      <formula>SEARCH("DA CHIUDERE",$M4)&gt;0</formula>
    </cfRule>
    <cfRule type="expression" dxfId="100" priority="18">
      <formula>SEARCH("INTERROTTO",$M4)&gt;0</formula>
    </cfRule>
  </conditionalFormatting>
  <conditionalFormatting sqref="E4:G4 N4:Q4">
    <cfRule type="expression" dxfId="99" priority="7">
      <formula>SEARCH("IN CORSO",$M4)&gt;0</formula>
    </cfRule>
    <cfRule type="expression" dxfId="98" priority="8">
      <formula>SEARCH("CHIUSO",$M4)&gt;0</formula>
    </cfRule>
    <cfRule type="expression" dxfId="97" priority="9">
      <formula>SEARCH("EMESSO",$M4)&gt;0</formula>
    </cfRule>
    <cfRule type="expression" dxfId="96" priority="10">
      <formula>SEARCH("RICHIESTO",$M4)&gt;0</formula>
    </cfRule>
    <cfRule type="expression" dxfId="95" priority="11">
      <formula>SEARCH("DA CHIUDERE",$M4)&gt;0</formula>
    </cfRule>
    <cfRule type="expression" dxfId="94" priority="12">
      <formula>SEARCH("INTERROTTO",$M4)&gt;0</formula>
    </cfRule>
  </conditionalFormatting>
  <conditionalFormatting sqref="R4:S4">
    <cfRule type="expression" dxfId="93" priority="1">
      <formula>SEARCH("IN CORSO",$M4)&gt;0</formula>
    </cfRule>
    <cfRule type="expression" dxfId="92" priority="2">
      <formula>SEARCH("CHIUSO",$M4)&gt;0</formula>
    </cfRule>
    <cfRule type="expression" dxfId="91" priority="3">
      <formula>SEARCH("EMESSO",$M4)&gt;0</formula>
    </cfRule>
    <cfRule type="expression" dxfId="90" priority="4">
      <formula>SEARCH("RICHIESTO",$M4)&gt;0</formula>
    </cfRule>
    <cfRule type="expression" dxfId="89" priority="5">
      <formula>SEARCH("DA CHIUDERE",$M4)&gt;0</formula>
    </cfRule>
    <cfRule type="expression" dxfId="88" priority="6">
      <formula>SEARCH("INTERROTTO",$M4)&gt;0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2029" r:id="rId4" name="Button 13">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342030" r:id="rId5" name="Button 14">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342031" r:id="rId6" name="Button 15">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342032" r:id="rId7" name="Button 16">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342033" r:id="rId8" name="Button 17">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342040" r:id="rId9" name="Button 24">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342041" r:id="rId10" name="Button 25">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342042" r:id="rId11" name="Button 26">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mc:AlternateContent xmlns:mc="http://schemas.openxmlformats.org/markup-compatibility/2006">
          <mc:Choice Requires="x14">
            <control shapeId="342043" r:id="rId12" name="Button 27">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342044" r:id="rId13" name="Button 28">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342045" r:id="rId14" name="Button 29">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controls>
    </mc:Choice>
  </mc:AlternateContent>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oglio3">
    <pageSetUpPr fitToPage="1"/>
  </sheetPr>
  <dimension ref="A1:V1894"/>
  <sheetViews>
    <sheetView tabSelected="1" topLeftCell="C1" zoomScale="85" zoomScaleNormal="85" workbookViewId="0">
      <selection activeCell="K15" sqref="K15"/>
    </sheetView>
  </sheetViews>
  <sheetFormatPr defaultColWidth="8.75" defaultRowHeight="15" x14ac:dyDescent="0.25"/>
  <cols>
    <col min="1" max="1" width="3.125" style="8" customWidth="1"/>
    <col min="2" max="2" width="3.125" style="15" customWidth="1"/>
    <col min="3" max="3" width="3.125" style="5" customWidth="1"/>
    <col min="4" max="4" width="9.5" style="5" bestFit="1" customWidth="1"/>
    <col min="5" max="5" width="9" style="5" customWidth="1"/>
    <col min="6" max="6" width="7.5" style="5" customWidth="1"/>
    <col min="7" max="7" width="70.625" style="5" customWidth="1"/>
    <col min="8" max="9" width="9.125" style="5" customWidth="1"/>
    <col min="10" max="11" width="9.125" style="4" customWidth="1"/>
    <col min="12" max="12" width="9.125" style="6" customWidth="1"/>
    <col min="13" max="13" width="13.75" style="6" customWidth="1"/>
    <col min="14" max="15" width="6.375" style="6" customWidth="1"/>
    <col min="16" max="16" width="6.375" style="16" customWidth="1"/>
    <col min="17" max="17" width="55.625" style="19" customWidth="1"/>
    <col min="18" max="18" width="11" style="107" bestFit="1" customWidth="1"/>
    <col min="19" max="19" width="13.125" style="7" customWidth="1"/>
    <col min="20" max="20" width="3.125" style="7" customWidth="1"/>
    <col min="21" max="21" width="11.125" style="7" bestFit="1" customWidth="1"/>
    <col min="22" max="22" width="3.125" style="7" customWidth="1"/>
    <col min="23" max="23" width="2.75" style="7" bestFit="1" customWidth="1"/>
    <col min="24" max="32" width="6.5" style="7" customWidth="1"/>
    <col min="33" max="16384" width="8.75" style="7"/>
  </cols>
  <sheetData>
    <row r="1" spans="1:22" ht="128.1" customHeight="1" x14ac:dyDescent="0.35">
      <c r="A1" s="193"/>
      <c r="B1" s="193"/>
      <c r="C1" s="193"/>
      <c r="D1" s="193"/>
      <c r="G1" s="10"/>
      <c r="L1" s="19"/>
      <c r="M1" s="39" t="s">
        <v>55</v>
      </c>
      <c r="N1" s="7"/>
      <c r="O1" s="7"/>
      <c r="P1" s="7"/>
      <c r="Q1" s="39" t="s">
        <v>56</v>
      </c>
    </row>
    <row r="2" spans="1:22" ht="21" x14ac:dyDescent="0.35">
      <c r="A2" s="7"/>
      <c r="B2" s="7"/>
      <c r="C2" s="7"/>
      <c r="D2" s="7"/>
      <c r="E2" s="17" t="s">
        <v>13</v>
      </c>
      <c r="F2" s="10">
        <f>'Inserimento dati'!B5</f>
        <v>2025</v>
      </c>
      <c r="G2" s="112" t="str">
        <f ca="1">"REDATTO IL " &amp; TEXT(INDIRECT("'Inserimento dati'!B3"), "gg/mm/aaaa") &amp; " ATTIVITA' ANALISI"</f>
        <v>REDATTO IL 25/10/2025 ATTIVITA' ANALISI</v>
      </c>
      <c r="H2" s="11">
        <f ca="1">INDIRECT("'Inserimento dati'!B1")</f>
        <v>45957</v>
      </c>
      <c r="I2" s="11">
        <f ca="1">H2 + 1</f>
        <v>45958</v>
      </c>
      <c r="J2" s="11">
        <f ca="1">I2 + 1</f>
        <v>45959</v>
      </c>
      <c r="K2" s="11">
        <f ca="1">J2 + 1</f>
        <v>45960</v>
      </c>
      <c r="L2" s="11">
        <f ca="1">K2 + 1</f>
        <v>45961</v>
      </c>
      <c r="M2" s="19"/>
      <c r="N2" s="194" t="s">
        <v>50</v>
      </c>
      <c r="O2" s="194"/>
      <c r="P2" s="194"/>
      <c r="Q2" s="22"/>
      <c r="R2" s="108"/>
      <c r="S2" s="20"/>
      <c r="T2" s="12"/>
      <c r="U2" s="12"/>
      <c r="V2" s="12"/>
    </row>
    <row r="3" spans="1:22" s="13" customFormat="1" ht="52.9" customHeight="1" x14ac:dyDescent="0.2">
      <c r="A3" s="114" t="s">
        <v>53</v>
      </c>
      <c r="B3" s="115" t="s">
        <v>54</v>
      </c>
      <c r="C3" s="116" t="s">
        <v>32</v>
      </c>
      <c r="D3" s="116" t="s">
        <v>0</v>
      </c>
      <c r="E3" s="117" t="s">
        <v>1</v>
      </c>
      <c r="F3" s="117" t="s">
        <v>2</v>
      </c>
      <c r="G3" s="119" t="s">
        <v>16</v>
      </c>
      <c r="H3" s="117" t="s">
        <v>3</v>
      </c>
      <c r="I3" s="117" t="s">
        <v>4</v>
      </c>
      <c r="J3" s="117" t="s">
        <v>5</v>
      </c>
      <c r="K3" s="117" t="s">
        <v>6</v>
      </c>
      <c r="L3" s="117" t="s">
        <v>7</v>
      </c>
      <c r="M3" s="117" t="s">
        <v>18</v>
      </c>
      <c r="N3" s="117" t="s">
        <v>39</v>
      </c>
      <c r="O3" s="117" t="s">
        <v>40</v>
      </c>
      <c r="P3" s="117" t="s">
        <v>41</v>
      </c>
      <c r="Q3" s="117" t="s">
        <v>14</v>
      </c>
      <c r="R3" s="118" t="s">
        <v>15</v>
      </c>
      <c r="S3" s="119" t="s">
        <v>17</v>
      </c>
      <c r="T3" s="117" t="s">
        <v>33</v>
      </c>
      <c r="U3" s="120" t="s">
        <v>61</v>
      </c>
      <c r="V3"/>
    </row>
    <row r="4" spans="1:22" ht="30" x14ac:dyDescent="0.25">
      <c r="A4" s="81" t="s">
        <v>8</v>
      </c>
      <c r="B4" s="81"/>
      <c r="C4" s="81" t="s">
        <v>144</v>
      </c>
      <c r="D4" s="81" t="s">
        <v>10</v>
      </c>
      <c r="E4" s="81" t="s">
        <v>2366</v>
      </c>
      <c r="F4" s="81" t="s">
        <v>3264</v>
      </c>
      <c r="G4" s="81" t="s">
        <v>2367</v>
      </c>
      <c r="H4" s="81"/>
      <c r="I4" s="81"/>
      <c r="J4" s="81"/>
      <c r="K4" s="81"/>
      <c r="L4" s="81"/>
      <c r="M4" s="82" t="s">
        <v>3529</v>
      </c>
      <c r="N4" s="82"/>
      <c r="O4" s="82"/>
      <c r="P4" s="82"/>
      <c r="Q4" s="82" t="s">
        <v>2365</v>
      </c>
      <c r="R4" s="111"/>
      <c r="S4" s="82"/>
      <c r="T4" s="81" t="s">
        <v>144</v>
      </c>
      <c r="U4" s="81" t="s">
        <v>144</v>
      </c>
    </row>
    <row r="5" spans="1:22" ht="45" x14ac:dyDescent="0.25">
      <c r="A5" s="81"/>
      <c r="B5" s="81"/>
      <c r="C5" s="81" t="s">
        <v>144</v>
      </c>
      <c r="D5" s="81" t="s">
        <v>143</v>
      </c>
      <c r="E5" s="81" t="s">
        <v>205</v>
      </c>
      <c r="F5" s="81" t="s">
        <v>163</v>
      </c>
      <c r="G5" s="81" t="s">
        <v>206</v>
      </c>
      <c r="H5" s="81"/>
      <c r="I5" s="81"/>
      <c r="J5" s="81"/>
      <c r="K5" s="81"/>
      <c r="L5" s="81"/>
      <c r="M5" s="82" t="s">
        <v>52</v>
      </c>
      <c r="N5" s="82"/>
      <c r="O5" s="82"/>
      <c r="P5" s="82"/>
      <c r="Q5" s="82" t="s">
        <v>207</v>
      </c>
      <c r="R5" s="111">
        <v>45951</v>
      </c>
      <c r="S5" s="82" t="s">
        <v>20</v>
      </c>
      <c r="T5" s="81" t="s">
        <v>144</v>
      </c>
      <c r="U5" s="81"/>
    </row>
    <row r="6" spans="1:22" x14ac:dyDescent="0.25">
      <c r="A6" s="81"/>
      <c r="B6" s="81"/>
      <c r="C6" s="81" t="s">
        <v>144</v>
      </c>
      <c r="D6" s="81" t="s">
        <v>143</v>
      </c>
      <c r="E6" s="81" t="s">
        <v>208</v>
      </c>
      <c r="F6" s="81" t="s">
        <v>163</v>
      </c>
      <c r="G6" s="81" t="s">
        <v>206</v>
      </c>
      <c r="H6" s="81"/>
      <c r="I6" s="81"/>
      <c r="J6" s="81"/>
      <c r="K6" s="81"/>
      <c r="L6" s="81"/>
      <c r="M6" s="82" t="s">
        <v>52</v>
      </c>
      <c r="N6" s="82"/>
      <c r="O6" s="82"/>
      <c r="P6" s="82"/>
      <c r="Q6" s="82" t="s">
        <v>209</v>
      </c>
      <c r="R6" s="111">
        <v>45951</v>
      </c>
      <c r="S6" s="82" t="s">
        <v>20</v>
      </c>
      <c r="T6" s="81" t="s">
        <v>144</v>
      </c>
      <c r="U6" s="81"/>
    </row>
    <row r="7" spans="1:22" x14ac:dyDescent="0.25">
      <c r="A7" s="81"/>
      <c r="B7" s="81"/>
      <c r="C7" s="81" t="s">
        <v>144</v>
      </c>
      <c r="D7" s="81" t="s">
        <v>143</v>
      </c>
      <c r="E7" s="81" t="s">
        <v>210</v>
      </c>
      <c r="F7" s="81" t="s">
        <v>148</v>
      </c>
      <c r="G7" s="81" t="s">
        <v>211</v>
      </c>
      <c r="H7" s="81"/>
      <c r="I7" s="81"/>
      <c r="J7" s="81"/>
      <c r="K7" s="81"/>
      <c r="L7" s="81"/>
      <c r="M7" s="82" t="s">
        <v>52</v>
      </c>
      <c r="N7" s="82"/>
      <c r="O7" s="82"/>
      <c r="P7" s="82"/>
      <c r="Q7" s="82" t="s">
        <v>212</v>
      </c>
      <c r="R7" s="111"/>
      <c r="S7" s="82"/>
      <c r="T7" s="81" t="s">
        <v>144</v>
      </c>
      <c r="U7" s="81"/>
    </row>
    <row r="8" spans="1:22" ht="30" x14ac:dyDescent="0.25">
      <c r="A8" s="81"/>
      <c r="B8" s="81"/>
      <c r="C8" s="81" t="s">
        <v>144</v>
      </c>
      <c r="D8" s="81" t="s">
        <v>143</v>
      </c>
      <c r="E8" s="81" t="s">
        <v>213</v>
      </c>
      <c r="F8" s="81" t="s">
        <v>166</v>
      </c>
      <c r="G8" s="81" t="s">
        <v>214</v>
      </c>
      <c r="H8" s="81"/>
      <c r="I8" s="81"/>
      <c r="J8" s="81"/>
      <c r="K8" s="81"/>
      <c r="L8" s="81"/>
      <c r="M8" s="82" t="s">
        <v>52</v>
      </c>
      <c r="N8" s="82"/>
      <c r="O8" s="82"/>
      <c r="P8" s="82"/>
      <c r="Q8" s="82" t="s">
        <v>215</v>
      </c>
      <c r="R8" s="111">
        <v>45880</v>
      </c>
      <c r="S8" s="82" t="s">
        <v>23</v>
      </c>
      <c r="T8" s="81" t="s">
        <v>144</v>
      </c>
      <c r="U8" s="81"/>
    </row>
    <row r="9" spans="1:22" ht="30" x14ac:dyDescent="0.25">
      <c r="A9" s="81"/>
      <c r="B9" s="81"/>
      <c r="C9" s="81" t="s">
        <v>144</v>
      </c>
      <c r="D9" s="81" t="s">
        <v>143</v>
      </c>
      <c r="E9" s="81" t="s">
        <v>216</v>
      </c>
      <c r="F9" s="81" t="s">
        <v>163</v>
      </c>
      <c r="G9" s="81" t="s">
        <v>217</v>
      </c>
      <c r="H9" s="81"/>
      <c r="I9" s="81"/>
      <c r="J9" s="81"/>
      <c r="K9" s="81"/>
      <c r="L9" s="81"/>
      <c r="M9" s="82" t="s">
        <v>52</v>
      </c>
      <c r="N9" s="82"/>
      <c r="O9" s="82"/>
      <c r="P9" s="82"/>
      <c r="Q9" s="82" t="s">
        <v>215</v>
      </c>
      <c r="R9" s="111"/>
      <c r="S9" s="82"/>
      <c r="T9" s="81" t="s">
        <v>144</v>
      </c>
      <c r="U9" s="81"/>
    </row>
    <row r="10" spans="1:22" x14ac:dyDescent="0.25">
      <c r="A10" s="81"/>
      <c r="B10" s="81"/>
      <c r="C10" s="81" t="s">
        <v>144</v>
      </c>
      <c r="D10" s="81" t="s">
        <v>143</v>
      </c>
      <c r="E10" s="81" t="s">
        <v>218</v>
      </c>
      <c r="F10" s="81" t="s">
        <v>166</v>
      </c>
      <c r="G10" s="81" t="s">
        <v>219</v>
      </c>
      <c r="H10" s="81"/>
      <c r="I10" s="81"/>
      <c r="J10" s="81"/>
      <c r="K10" s="81"/>
      <c r="L10" s="81"/>
      <c r="M10" s="82" t="s">
        <v>52</v>
      </c>
      <c r="N10" s="82"/>
      <c r="O10" s="82"/>
      <c r="P10" s="82"/>
      <c r="Q10" s="82"/>
      <c r="R10" s="111"/>
      <c r="S10" s="82"/>
      <c r="T10" s="81" t="s">
        <v>144</v>
      </c>
      <c r="U10" s="81"/>
    </row>
    <row r="11" spans="1:22" x14ac:dyDescent="0.25">
      <c r="A11" s="81"/>
      <c r="B11" s="81"/>
      <c r="C11" s="81" t="s">
        <v>144</v>
      </c>
      <c r="D11" s="81" t="s">
        <v>143</v>
      </c>
      <c r="E11" s="81" t="s">
        <v>220</v>
      </c>
      <c r="F11" s="81" t="s">
        <v>162</v>
      </c>
      <c r="G11" s="81" t="s">
        <v>221</v>
      </c>
      <c r="H11" s="81"/>
      <c r="I11" s="81"/>
      <c r="J11" s="81"/>
      <c r="K11" s="81"/>
      <c r="L11" s="81"/>
      <c r="M11" s="82" t="s">
        <v>52</v>
      </c>
      <c r="N11" s="82"/>
      <c r="O11" s="82"/>
      <c r="P11" s="82"/>
      <c r="Q11" s="82" t="s">
        <v>222</v>
      </c>
      <c r="R11" s="111">
        <v>45825</v>
      </c>
      <c r="S11" s="82" t="s">
        <v>20</v>
      </c>
      <c r="T11" s="81" t="s">
        <v>144</v>
      </c>
      <c r="U11" s="81" t="s">
        <v>144</v>
      </c>
    </row>
    <row r="12" spans="1:22" ht="30" x14ac:dyDescent="0.25">
      <c r="A12" s="81"/>
      <c r="B12" s="81" t="s">
        <v>8</v>
      </c>
      <c r="C12" s="81" t="s">
        <v>144</v>
      </c>
      <c r="D12" s="81" t="s">
        <v>143</v>
      </c>
      <c r="E12" s="81" t="s">
        <v>223</v>
      </c>
      <c r="F12" s="81" t="s">
        <v>166</v>
      </c>
      <c r="G12" s="81" t="s">
        <v>224</v>
      </c>
      <c r="H12" s="81"/>
      <c r="I12" s="81"/>
      <c r="J12" s="81"/>
      <c r="K12" s="81"/>
      <c r="L12" s="81"/>
      <c r="M12" s="82" t="s">
        <v>52</v>
      </c>
      <c r="N12" s="82"/>
      <c r="O12" s="82"/>
      <c r="P12" s="82"/>
      <c r="Q12" s="82"/>
      <c r="R12" s="111">
        <v>45814</v>
      </c>
      <c r="S12" s="82" t="s">
        <v>23</v>
      </c>
      <c r="T12" s="81" t="s">
        <v>144</v>
      </c>
      <c r="U12" s="81" t="s">
        <v>144</v>
      </c>
    </row>
    <row r="13" spans="1:22" x14ac:dyDescent="0.25">
      <c r="A13" s="81"/>
      <c r="B13" s="81"/>
      <c r="C13" s="81" t="s">
        <v>144</v>
      </c>
      <c r="D13" s="81" t="s">
        <v>143</v>
      </c>
      <c r="E13" s="81" t="s">
        <v>225</v>
      </c>
      <c r="F13" s="81" t="s">
        <v>161</v>
      </c>
      <c r="G13" s="81" t="s">
        <v>226</v>
      </c>
      <c r="H13" s="81"/>
      <c r="I13" s="81"/>
      <c r="J13" s="81"/>
      <c r="K13" s="81"/>
      <c r="L13" s="81"/>
      <c r="M13" s="82" t="s">
        <v>52</v>
      </c>
      <c r="N13" s="82"/>
      <c r="O13" s="82"/>
      <c r="P13" s="82"/>
      <c r="Q13" s="82"/>
      <c r="R13" s="111">
        <v>45813</v>
      </c>
      <c r="S13" s="82" t="s">
        <v>227</v>
      </c>
      <c r="T13" s="81" t="s">
        <v>144</v>
      </c>
      <c r="U13" s="81" t="s">
        <v>144</v>
      </c>
    </row>
    <row r="14" spans="1:22" ht="30" x14ac:dyDescent="0.25">
      <c r="A14" s="81"/>
      <c r="B14" s="81" t="s">
        <v>8</v>
      </c>
      <c r="C14" s="81" t="s">
        <v>144</v>
      </c>
      <c r="D14" s="81" t="s">
        <v>143</v>
      </c>
      <c r="E14" s="81" t="s">
        <v>228</v>
      </c>
      <c r="F14" s="81" t="s">
        <v>166</v>
      </c>
      <c r="G14" s="81" t="s">
        <v>229</v>
      </c>
      <c r="H14" s="81"/>
      <c r="I14" s="81"/>
      <c r="J14" s="81"/>
      <c r="K14" s="81"/>
      <c r="L14" s="81"/>
      <c r="M14" s="82" t="s">
        <v>52</v>
      </c>
      <c r="N14" s="82"/>
      <c r="O14" s="82"/>
      <c r="P14" s="82"/>
      <c r="Q14" s="82"/>
      <c r="R14" s="111"/>
      <c r="S14" s="82"/>
      <c r="T14" s="81" t="s">
        <v>144</v>
      </c>
      <c r="U14" s="81" t="s">
        <v>144</v>
      </c>
    </row>
    <row r="15" spans="1:22" x14ac:dyDescent="0.25">
      <c r="A15" s="81"/>
      <c r="B15" s="81"/>
      <c r="C15" s="81" t="s">
        <v>144</v>
      </c>
      <c r="D15" s="81" t="s">
        <v>143</v>
      </c>
      <c r="E15" s="81" t="s">
        <v>230</v>
      </c>
      <c r="F15" s="81" t="s">
        <v>162</v>
      </c>
      <c r="G15" s="81" t="s">
        <v>231</v>
      </c>
      <c r="H15" s="81"/>
      <c r="I15" s="81"/>
      <c r="J15" s="81"/>
      <c r="K15" s="81"/>
      <c r="L15" s="81"/>
      <c r="M15" s="82" t="s">
        <v>52</v>
      </c>
      <c r="N15" s="82"/>
      <c r="O15" s="82"/>
      <c r="P15" s="82"/>
      <c r="Q15" s="82"/>
      <c r="R15" s="111"/>
      <c r="S15" s="82"/>
      <c r="T15" s="81" t="s">
        <v>144</v>
      </c>
      <c r="U15" s="81" t="s">
        <v>144</v>
      </c>
    </row>
    <row r="16" spans="1:22" ht="30" x14ac:dyDescent="0.25">
      <c r="A16" s="81"/>
      <c r="B16" s="81" t="s">
        <v>8</v>
      </c>
      <c r="C16" s="81" t="s">
        <v>144</v>
      </c>
      <c r="D16" s="81" t="s">
        <v>143</v>
      </c>
      <c r="E16" s="81" t="s">
        <v>232</v>
      </c>
      <c r="F16" s="81" t="s">
        <v>148</v>
      </c>
      <c r="G16" s="81" t="s">
        <v>233</v>
      </c>
      <c r="H16" s="81"/>
      <c r="I16" s="81"/>
      <c r="J16" s="81"/>
      <c r="K16" s="81"/>
      <c r="L16" s="81"/>
      <c r="M16" s="82" t="s">
        <v>52</v>
      </c>
      <c r="N16" s="82"/>
      <c r="O16" s="82"/>
      <c r="P16" s="82"/>
      <c r="Q16" s="82" t="s">
        <v>234</v>
      </c>
      <c r="R16" s="111">
        <v>45782</v>
      </c>
      <c r="S16" s="82" t="s">
        <v>11</v>
      </c>
      <c r="T16" s="81" t="s">
        <v>144</v>
      </c>
      <c r="U16" s="81" t="s">
        <v>144</v>
      </c>
    </row>
    <row r="17" spans="1:21" x14ac:dyDescent="0.25">
      <c r="A17" s="81"/>
      <c r="B17" s="81" t="s">
        <v>8</v>
      </c>
      <c r="C17" s="81" t="s">
        <v>144</v>
      </c>
      <c r="D17" s="81" t="s">
        <v>143</v>
      </c>
      <c r="E17" s="81" t="s">
        <v>235</v>
      </c>
      <c r="F17" s="81" t="s">
        <v>148</v>
      </c>
      <c r="G17" s="81" t="s">
        <v>236</v>
      </c>
      <c r="H17" s="81"/>
      <c r="I17" s="81"/>
      <c r="J17" s="81"/>
      <c r="K17" s="81"/>
      <c r="L17" s="81"/>
      <c r="M17" s="82" t="s">
        <v>52</v>
      </c>
      <c r="N17" s="82"/>
      <c r="O17" s="82"/>
      <c r="P17" s="82"/>
      <c r="Q17" s="82" t="s">
        <v>237</v>
      </c>
      <c r="R17" s="111">
        <v>45783</v>
      </c>
      <c r="S17" s="82" t="s">
        <v>238</v>
      </c>
      <c r="T17" s="81" t="s">
        <v>144</v>
      </c>
      <c r="U17" s="81" t="s">
        <v>144</v>
      </c>
    </row>
    <row r="18" spans="1:21" ht="30" x14ac:dyDescent="0.25">
      <c r="A18" s="81"/>
      <c r="B18" s="81" t="s">
        <v>8</v>
      </c>
      <c r="C18" s="81" t="s">
        <v>144</v>
      </c>
      <c r="D18" s="81" t="s">
        <v>143</v>
      </c>
      <c r="E18" s="81" t="s">
        <v>239</v>
      </c>
      <c r="F18" s="81" t="s">
        <v>162</v>
      </c>
      <c r="G18" s="81" t="s">
        <v>240</v>
      </c>
      <c r="H18" s="81"/>
      <c r="I18" s="81"/>
      <c r="J18" s="81"/>
      <c r="K18" s="81"/>
      <c r="L18" s="81"/>
      <c r="M18" s="82" t="s">
        <v>52</v>
      </c>
      <c r="N18" s="82"/>
      <c r="O18" s="82"/>
      <c r="P18" s="82"/>
      <c r="Q18" s="82" t="s">
        <v>241</v>
      </c>
      <c r="R18" s="111">
        <v>45777</v>
      </c>
      <c r="S18" s="82" t="s">
        <v>242</v>
      </c>
      <c r="T18" s="81" t="s">
        <v>144</v>
      </c>
      <c r="U18" s="81" t="s">
        <v>144</v>
      </c>
    </row>
    <row r="19" spans="1:21" ht="30" x14ac:dyDescent="0.25">
      <c r="A19" s="81"/>
      <c r="B19" s="81" t="s">
        <v>8</v>
      </c>
      <c r="C19" s="81" t="s">
        <v>144</v>
      </c>
      <c r="D19" s="81" t="s">
        <v>143</v>
      </c>
      <c r="E19" s="81" t="s">
        <v>243</v>
      </c>
      <c r="F19" s="81" t="s">
        <v>163</v>
      </c>
      <c r="G19" s="81" t="s">
        <v>244</v>
      </c>
      <c r="H19" s="81"/>
      <c r="I19" s="81"/>
      <c r="J19" s="81"/>
      <c r="K19" s="81"/>
      <c r="L19" s="81"/>
      <c r="M19" s="81" t="s">
        <v>52</v>
      </c>
      <c r="N19" s="81"/>
      <c r="O19" s="81"/>
      <c r="P19" s="81"/>
      <c r="Q19" s="81" t="s">
        <v>245</v>
      </c>
      <c r="R19" s="111">
        <v>45777</v>
      </c>
      <c r="S19" s="81" t="s">
        <v>9</v>
      </c>
      <c r="T19" s="81" t="s">
        <v>144</v>
      </c>
      <c r="U19" s="81" t="s">
        <v>144</v>
      </c>
    </row>
    <row r="20" spans="1:21" ht="30" x14ac:dyDescent="0.25">
      <c r="A20" s="81"/>
      <c r="B20" s="81" t="s">
        <v>8</v>
      </c>
      <c r="C20" s="81" t="s">
        <v>144</v>
      </c>
      <c r="D20" s="81" t="s">
        <v>143</v>
      </c>
      <c r="E20" s="81" t="s">
        <v>246</v>
      </c>
      <c r="F20" s="81" t="s">
        <v>148</v>
      </c>
      <c r="G20" s="81" t="s">
        <v>247</v>
      </c>
      <c r="H20" s="81"/>
      <c r="I20" s="81"/>
      <c r="J20" s="81"/>
      <c r="K20" s="81"/>
      <c r="L20" s="81"/>
      <c r="M20" s="82" t="s">
        <v>52</v>
      </c>
      <c r="N20" s="82"/>
      <c r="O20" s="82"/>
      <c r="P20" s="82"/>
      <c r="Q20" s="82" t="s">
        <v>52</v>
      </c>
      <c r="R20" s="111">
        <v>45764</v>
      </c>
      <c r="S20" s="82" t="s">
        <v>20</v>
      </c>
      <c r="T20" s="81" t="s">
        <v>144</v>
      </c>
      <c r="U20" s="81" t="s">
        <v>144</v>
      </c>
    </row>
    <row r="21" spans="1:21" ht="30" x14ac:dyDescent="0.25">
      <c r="A21" s="81"/>
      <c r="B21" s="81" t="s">
        <v>8</v>
      </c>
      <c r="C21" s="81" t="s">
        <v>144</v>
      </c>
      <c r="D21" s="81" t="s">
        <v>143</v>
      </c>
      <c r="E21" s="81" t="s">
        <v>248</v>
      </c>
      <c r="F21" s="81" t="s">
        <v>148</v>
      </c>
      <c r="G21" s="81" t="s">
        <v>249</v>
      </c>
      <c r="H21" s="81"/>
      <c r="I21" s="81"/>
      <c r="J21" s="81"/>
      <c r="K21" s="81"/>
      <c r="L21" s="81"/>
      <c r="M21" s="81" t="s">
        <v>52</v>
      </c>
      <c r="N21" s="81"/>
      <c r="O21" s="81"/>
      <c r="P21" s="81"/>
      <c r="Q21" s="81" t="s">
        <v>250</v>
      </c>
      <c r="R21" s="111">
        <v>45764</v>
      </c>
      <c r="S21" s="81" t="s">
        <v>20</v>
      </c>
      <c r="T21" s="81" t="s">
        <v>144</v>
      </c>
      <c r="U21" s="81" t="s">
        <v>144</v>
      </c>
    </row>
    <row r="22" spans="1:21" x14ac:dyDescent="0.25">
      <c r="A22" s="81"/>
      <c r="B22" s="81" t="s">
        <v>8</v>
      </c>
      <c r="C22" s="81" t="s">
        <v>144</v>
      </c>
      <c r="D22" s="81" t="s">
        <v>143</v>
      </c>
      <c r="E22" s="81" t="s">
        <v>251</v>
      </c>
      <c r="F22" s="81" t="s">
        <v>161</v>
      </c>
      <c r="G22" s="81" t="s">
        <v>252</v>
      </c>
      <c r="H22" s="81"/>
      <c r="I22" s="81"/>
      <c r="J22" s="81"/>
      <c r="K22" s="81"/>
      <c r="L22" s="81"/>
      <c r="M22" s="82" t="s">
        <v>52</v>
      </c>
      <c r="N22" s="82"/>
      <c r="O22" s="82"/>
      <c r="P22" s="82"/>
      <c r="Q22" s="82" t="s">
        <v>253</v>
      </c>
      <c r="R22" s="111">
        <v>45775</v>
      </c>
      <c r="S22" s="82" t="s">
        <v>254</v>
      </c>
      <c r="T22" s="81" t="s">
        <v>144</v>
      </c>
      <c r="U22" s="81" t="s">
        <v>144</v>
      </c>
    </row>
    <row r="23" spans="1:21" ht="30" x14ac:dyDescent="0.25">
      <c r="A23" s="81"/>
      <c r="B23" s="81" t="s">
        <v>8</v>
      </c>
      <c r="C23" s="81" t="s">
        <v>144</v>
      </c>
      <c r="D23" s="81" t="s">
        <v>143</v>
      </c>
      <c r="E23" s="81" t="s">
        <v>255</v>
      </c>
      <c r="F23" s="81" t="s">
        <v>161</v>
      </c>
      <c r="G23" s="81" t="s">
        <v>256</v>
      </c>
      <c r="H23" s="81"/>
      <c r="I23" s="81"/>
      <c r="J23" s="81"/>
      <c r="K23" s="81"/>
      <c r="L23" s="81"/>
      <c r="M23" s="81" t="s">
        <v>52</v>
      </c>
      <c r="N23" s="81"/>
      <c r="O23" s="81"/>
      <c r="P23" s="81"/>
      <c r="Q23" s="81" t="s">
        <v>257</v>
      </c>
      <c r="R23" s="111">
        <v>45771</v>
      </c>
      <c r="S23" s="81" t="s">
        <v>20</v>
      </c>
      <c r="T23" s="81" t="s">
        <v>144</v>
      </c>
      <c r="U23" s="81" t="s">
        <v>144</v>
      </c>
    </row>
    <row r="24" spans="1:21" ht="30" x14ac:dyDescent="0.25">
      <c r="A24" s="81"/>
      <c r="B24" s="81" t="s">
        <v>8</v>
      </c>
      <c r="C24" s="81" t="s">
        <v>144</v>
      </c>
      <c r="D24" s="81" t="s">
        <v>143</v>
      </c>
      <c r="E24" s="81" t="s">
        <v>258</v>
      </c>
      <c r="F24" s="81" t="s">
        <v>161</v>
      </c>
      <c r="G24" s="81" t="s">
        <v>259</v>
      </c>
      <c r="H24" s="81"/>
      <c r="I24" s="81"/>
      <c r="J24" s="81"/>
      <c r="K24" s="81"/>
      <c r="L24" s="81"/>
      <c r="M24" s="82" t="s">
        <v>52</v>
      </c>
      <c r="N24" s="82"/>
      <c r="O24" s="82"/>
      <c r="P24" s="82"/>
      <c r="Q24" s="82" t="s">
        <v>260</v>
      </c>
      <c r="R24" s="111">
        <v>45771</v>
      </c>
      <c r="S24" s="82" t="s">
        <v>20</v>
      </c>
      <c r="T24" s="81" t="s">
        <v>144</v>
      </c>
      <c r="U24" s="81" t="s">
        <v>144</v>
      </c>
    </row>
    <row r="25" spans="1:21" x14ac:dyDescent="0.25">
      <c r="A25" s="81"/>
      <c r="B25" s="81" t="s">
        <v>8</v>
      </c>
      <c r="C25" s="81" t="s">
        <v>144</v>
      </c>
      <c r="D25" s="81" t="s">
        <v>143</v>
      </c>
      <c r="E25" s="81" t="s">
        <v>261</v>
      </c>
      <c r="F25" s="81" t="s">
        <v>262</v>
      </c>
      <c r="G25" s="81" t="s">
        <v>263</v>
      </c>
      <c r="H25" s="81"/>
      <c r="I25" s="81"/>
      <c r="J25" s="81"/>
      <c r="K25" s="81"/>
      <c r="L25" s="81"/>
      <c r="M25" s="82" t="s">
        <v>52</v>
      </c>
      <c r="N25" s="82"/>
      <c r="O25" s="82"/>
      <c r="P25" s="82"/>
      <c r="Q25" s="82"/>
      <c r="R25" s="111"/>
      <c r="S25" s="82"/>
      <c r="T25" s="81" t="s">
        <v>144</v>
      </c>
      <c r="U25" s="81" t="s">
        <v>144</v>
      </c>
    </row>
    <row r="26" spans="1:21" ht="30" x14ac:dyDescent="0.25">
      <c r="A26" s="81"/>
      <c r="B26" s="81" t="s">
        <v>8</v>
      </c>
      <c r="C26" s="81" t="s">
        <v>144</v>
      </c>
      <c r="D26" s="81" t="s">
        <v>143</v>
      </c>
      <c r="E26" s="81" t="s">
        <v>264</v>
      </c>
      <c r="F26" s="81" t="s">
        <v>148</v>
      </c>
      <c r="G26" s="81" t="s">
        <v>265</v>
      </c>
      <c r="H26" s="81"/>
      <c r="I26" s="81"/>
      <c r="J26" s="81"/>
      <c r="K26" s="81"/>
      <c r="L26" s="81"/>
      <c r="M26" s="82" t="s">
        <v>52</v>
      </c>
      <c r="N26" s="82"/>
      <c r="O26" s="82"/>
      <c r="P26" s="82"/>
      <c r="Q26" s="82" t="s">
        <v>266</v>
      </c>
      <c r="R26" s="111">
        <v>45771</v>
      </c>
      <c r="S26" s="82" t="s">
        <v>267</v>
      </c>
      <c r="T26" s="81" t="s">
        <v>144</v>
      </c>
      <c r="U26" s="81" t="s">
        <v>144</v>
      </c>
    </row>
    <row r="27" spans="1:21" ht="30" x14ac:dyDescent="0.25">
      <c r="A27" s="81"/>
      <c r="B27" s="81" t="s">
        <v>8</v>
      </c>
      <c r="C27" s="81" t="s">
        <v>144</v>
      </c>
      <c r="D27" s="81" t="s">
        <v>143</v>
      </c>
      <c r="E27" s="81" t="s">
        <v>268</v>
      </c>
      <c r="F27" s="81" t="s">
        <v>148</v>
      </c>
      <c r="G27" s="81" t="s">
        <v>269</v>
      </c>
      <c r="H27" s="81"/>
      <c r="I27" s="81"/>
      <c r="J27" s="81"/>
      <c r="K27" s="81"/>
      <c r="L27" s="81"/>
      <c r="M27" s="82" t="s">
        <v>52</v>
      </c>
      <c r="N27" s="82"/>
      <c r="O27" s="82"/>
      <c r="P27" s="82"/>
      <c r="Q27" s="82" t="s">
        <v>270</v>
      </c>
      <c r="R27" s="111"/>
      <c r="S27" s="82"/>
      <c r="T27" s="81" t="s">
        <v>144</v>
      </c>
      <c r="U27" s="81" t="s">
        <v>144</v>
      </c>
    </row>
    <row r="28" spans="1:21" ht="30" x14ac:dyDescent="0.25">
      <c r="A28" s="81"/>
      <c r="B28" s="81" t="s">
        <v>8</v>
      </c>
      <c r="C28" s="81" t="s">
        <v>144</v>
      </c>
      <c r="D28" s="81" t="s">
        <v>143</v>
      </c>
      <c r="E28" s="81" t="s">
        <v>271</v>
      </c>
      <c r="F28" s="81" t="s">
        <v>148</v>
      </c>
      <c r="G28" s="81" t="s">
        <v>272</v>
      </c>
      <c r="H28" s="81"/>
      <c r="I28" s="81"/>
      <c r="J28" s="81"/>
      <c r="K28" s="81"/>
      <c r="L28" s="81"/>
      <c r="M28" s="82" t="s">
        <v>52</v>
      </c>
      <c r="N28" s="82"/>
      <c r="O28" s="82"/>
      <c r="P28" s="82"/>
      <c r="Q28" s="82"/>
      <c r="R28" s="111"/>
      <c r="S28" s="82"/>
      <c r="T28" s="81" t="s">
        <v>144</v>
      </c>
      <c r="U28" s="81" t="s">
        <v>144</v>
      </c>
    </row>
    <row r="29" spans="1:21" x14ac:dyDescent="0.25">
      <c r="A29" s="81"/>
      <c r="B29" s="81" t="s">
        <v>8</v>
      </c>
      <c r="C29" s="81" t="s">
        <v>144</v>
      </c>
      <c r="D29" s="81" t="s">
        <v>143</v>
      </c>
      <c r="E29" s="81" t="s">
        <v>273</v>
      </c>
      <c r="F29" s="81" t="s">
        <v>163</v>
      </c>
      <c r="G29" s="81" t="s">
        <v>274</v>
      </c>
      <c r="H29" s="81"/>
      <c r="I29" s="81"/>
      <c r="J29" s="81"/>
      <c r="K29" s="81"/>
      <c r="L29" s="81"/>
      <c r="M29" s="82" t="s">
        <v>52</v>
      </c>
      <c r="N29" s="82"/>
      <c r="O29" s="82"/>
      <c r="P29" s="82"/>
      <c r="Q29" s="82" t="s">
        <v>275</v>
      </c>
      <c r="R29" s="111">
        <v>45762</v>
      </c>
      <c r="S29" s="82" t="s">
        <v>254</v>
      </c>
      <c r="T29" s="81" t="s">
        <v>144</v>
      </c>
      <c r="U29" s="81" t="s">
        <v>144</v>
      </c>
    </row>
    <row r="30" spans="1:21" ht="30" x14ac:dyDescent="0.25">
      <c r="A30" s="81"/>
      <c r="B30" s="81" t="s">
        <v>8</v>
      </c>
      <c r="C30" s="81" t="s">
        <v>144</v>
      </c>
      <c r="D30" s="81" t="s">
        <v>143</v>
      </c>
      <c r="E30" s="81" t="s">
        <v>276</v>
      </c>
      <c r="F30" s="81" t="s">
        <v>262</v>
      </c>
      <c r="G30" s="81" t="s">
        <v>277</v>
      </c>
      <c r="H30" s="81"/>
      <c r="I30" s="81"/>
      <c r="J30" s="81"/>
      <c r="K30" s="81"/>
      <c r="L30" s="81"/>
      <c r="M30" s="82" t="s">
        <v>52</v>
      </c>
      <c r="N30" s="82"/>
      <c r="O30" s="82" t="s">
        <v>8</v>
      </c>
      <c r="P30" s="82"/>
      <c r="Q30" s="82" t="s">
        <v>278</v>
      </c>
      <c r="R30" s="111">
        <v>45680</v>
      </c>
      <c r="S30" s="82" t="s">
        <v>11</v>
      </c>
      <c r="T30" s="81" t="s">
        <v>144</v>
      </c>
      <c r="U30" s="81" t="s">
        <v>144</v>
      </c>
    </row>
    <row r="31" spans="1:21" x14ac:dyDescent="0.25">
      <c r="A31" s="81"/>
      <c r="B31" s="81" t="s">
        <v>8</v>
      </c>
      <c r="C31" s="81" t="s">
        <v>144</v>
      </c>
      <c r="D31" s="81" t="s">
        <v>143</v>
      </c>
      <c r="E31" s="81" t="s">
        <v>279</v>
      </c>
      <c r="F31" s="81" t="s">
        <v>161</v>
      </c>
      <c r="G31" s="81" t="s">
        <v>280</v>
      </c>
      <c r="H31" s="81"/>
      <c r="I31" s="81"/>
      <c r="J31" s="81"/>
      <c r="K31" s="81"/>
      <c r="L31" s="81"/>
      <c r="M31" s="82" t="s">
        <v>52</v>
      </c>
      <c r="N31" s="82"/>
      <c r="O31" s="82"/>
      <c r="P31" s="82"/>
      <c r="Q31" s="82" t="s">
        <v>281</v>
      </c>
      <c r="R31" s="111">
        <v>45715</v>
      </c>
      <c r="S31" s="82" t="s">
        <v>254</v>
      </c>
      <c r="T31" s="81" t="s">
        <v>144</v>
      </c>
      <c r="U31" s="81" t="s">
        <v>144</v>
      </c>
    </row>
    <row r="32" spans="1:21" ht="45" x14ac:dyDescent="0.25">
      <c r="A32" s="81"/>
      <c r="B32" s="81" t="s">
        <v>8</v>
      </c>
      <c r="C32" s="81" t="s">
        <v>144</v>
      </c>
      <c r="D32" s="81" t="s">
        <v>143</v>
      </c>
      <c r="E32" s="81" t="s">
        <v>282</v>
      </c>
      <c r="F32" s="81" t="s">
        <v>163</v>
      </c>
      <c r="G32" s="81" t="s">
        <v>283</v>
      </c>
      <c r="H32" s="81"/>
      <c r="I32" s="81"/>
      <c r="J32" s="81"/>
      <c r="K32" s="81"/>
      <c r="L32" s="81"/>
      <c r="M32" s="81" t="s">
        <v>52</v>
      </c>
      <c r="N32" s="81"/>
      <c r="O32" s="81"/>
      <c r="P32" s="81"/>
      <c r="Q32" s="81"/>
      <c r="R32" s="111"/>
      <c r="S32" s="81"/>
      <c r="T32" s="81" t="s">
        <v>144</v>
      </c>
      <c r="U32" s="81" t="s">
        <v>144</v>
      </c>
    </row>
    <row r="33" spans="1:21" ht="30" x14ac:dyDescent="0.25">
      <c r="A33" s="81"/>
      <c r="B33" s="81" t="s">
        <v>8</v>
      </c>
      <c r="C33" s="81" t="s">
        <v>144</v>
      </c>
      <c r="D33" s="81" t="s">
        <v>143</v>
      </c>
      <c r="E33" s="81" t="s">
        <v>284</v>
      </c>
      <c r="F33" s="81" t="s">
        <v>163</v>
      </c>
      <c r="G33" s="81" t="s">
        <v>285</v>
      </c>
      <c r="H33" s="81"/>
      <c r="I33" s="81"/>
      <c r="J33" s="81"/>
      <c r="K33" s="81"/>
      <c r="L33" s="81"/>
      <c r="M33" s="81" t="s">
        <v>52</v>
      </c>
      <c r="N33" s="81"/>
      <c r="O33" s="81"/>
      <c r="P33" s="81"/>
      <c r="Q33" s="81"/>
      <c r="R33" s="111"/>
      <c r="S33" s="81"/>
      <c r="T33" s="81" t="s">
        <v>144</v>
      </c>
      <c r="U33" s="81" t="s">
        <v>144</v>
      </c>
    </row>
    <row r="34" spans="1:21" x14ac:dyDescent="0.25">
      <c r="A34" s="81"/>
      <c r="B34" s="81" t="s">
        <v>8</v>
      </c>
      <c r="C34" s="81" t="s">
        <v>144</v>
      </c>
      <c r="D34" s="81" t="s">
        <v>143</v>
      </c>
      <c r="E34" s="81" t="s">
        <v>286</v>
      </c>
      <c r="F34" s="81" t="s">
        <v>148</v>
      </c>
      <c r="G34" s="81" t="s">
        <v>287</v>
      </c>
      <c r="H34" s="81"/>
      <c r="I34" s="81"/>
      <c r="J34" s="81"/>
      <c r="K34" s="81"/>
      <c r="L34" s="81"/>
      <c r="M34" s="81" t="s">
        <v>52</v>
      </c>
      <c r="N34" s="81"/>
      <c r="O34" s="81"/>
      <c r="P34" s="81"/>
      <c r="Q34" s="81"/>
      <c r="R34" s="111"/>
      <c r="S34" s="81"/>
      <c r="T34" s="81" t="s">
        <v>144</v>
      </c>
      <c r="U34" s="81" t="s">
        <v>144</v>
      </c>
    </row>
    <row r="35" spans="1:21" x14ac:dyDescent="0.25">
      <c r="A35" s="81"/>
      <c r="B35" s="81" t="s">
        <v>8</v>
      </c>
      <c r="C35" s="81" t="s">
        <v>144</v>
      </c>
      <c r="D35" s="81" t="s">
        <v>143</v>
      </c>
      <c r="E35" s="81" t="s">
        <v>288</v>
      </c>
      <c r="F35" s="81" t="s">
        <v>148</v>
      </c>
      <c r="G35" s="81" t="s">
        <v>289</v>
      </c>
      <c r="H35" s="81"/>
      <c r="I35" s="81"/>
      <c r="J35" s="81"/>
      <c r="K35" s="81"/>
      <c r="L35" s="81"/>
      <c r="M35" s="82" t="s">
        <v>52</v>
      </c>
      <c r="N35" s="82"/>
      <c r="O35" s="82"/>
      <c r="P35" s="82"/>
      <c r="Q35" s="82"/>
      <c r="R35" s="111"/>
      <c r="S35" s="82"/>
      <c r="T35" s="81" t="s">
        <v>144</v>
      </c>
      <c r="U35" s="81" t="s">
        <v>144</v>
      </c>
    </row>
    <row r="36" spans="1:21" ht="30" x14ac:dyDescent="0.25">
      <c r="A36" s="81"/>
      <c r="B36" s="81" t="s">
        <v>8</v>
      </c>
      <c r="C36" s="81" t="s">
        <v>144</v>
      </c>
      <c r="D36" s="81" t="s">
        <v>143</v>
      </c>
      <c r="E36" s="81" t="s">
        <v>290</v>
      </c>
      <c r="F36" s="81" t="s">
        <v>163</v>
      </c>
      <c r="G36" s="81" t="s">
        <v>291</v>
      </c>
      <c r="H36" s="81"/>
      <c r="I36" s="81"/>
      <c r="J36" s="81"/>
      <c r="K36" s="81"/>
      <c r="L36" s="81"/>
      <c r="M36" s="82" t="s">
        <v>52</v>
      </c>
      <c r="N36" s="82"/>
      <c r="O36" s="82"/>
      <c r="P36" s="82"/>
      <c r="Q36" s="82"/>
      <c r="R36" s="111"/>
      <c r="S36" s="82"/>
      <c r="T36" s="81" t="s">
        <v>144</v>
      </c>
      <c r="U36" s="81" t="s">
        <v>144</v>
      </c>
    </row>
    <row r="37" spans="1:21" x14ac:dyDescent="0.25">
      <c r="A37" s="81"/>
      <c r="B37" s="81" t="s">
        <v>8</v>
      </c>
      <c r="C37" s="81" t="s">
        <v>144</v>
      </c>
      <c r="D37" s="81" t="s">
        <v>143</v>
      </c>
      <c r="E37" s="81" t="s">
        <v>292</v>
      </c>
      <c r="F37" s="81" t="s">
        <v>148</v>
      </c>
      <c r="G37" s="81" t="s">
        <v>293</v>
      </c>
      <c r="H37" s="81"/>
      <c r="I37" s="81"/>
      <c r="J37" s="81"/>
      <c r="K37" s="81"/>
      <c r="L37" s="81"/>
      <c r="M37" s="82" t="s">
        <v>52</v>
      </c>
      <c r="N37" s="82"/>
      <c r="O37" s="82"/>
      <c r="P37" s="82"/>
      <c r="Q37" s="82"/>
      <c r="R37" s="111"/>
      <c r="S37" s="82"/>
      <c r="T37" s="81" t="s">
        <v>144</v>
      </c>
      <c r="U37" s="81" t="s">
        <v>144</v>
      </c>
    </row>
    <row r="38" spans="1:21" x14ac:dyDescent="0.25">
      <c r="A38" s="81"/>
      <c r="B38" s="81" t="s">
        <v>8</v>
      </c>
      <c r="C38" s="81" t="s">
        <v>144</v>
      </c>
      <c r="D38" s="81" t="s">
        <v>143</v>
      </c>
      <c r="E38" s="81" t="s">
        <v>294</v>
      </c>
      <c r="F38" s="81" t="s">
        <v>163</v>
      </c>
      <c r="G38" s="81" t="s">
        <v>295</v>
      </c>
      <c r="H38" s="81"/>
      <c r="I38" s="81"/>
      <c r="J38" s="81"/>
      <c r="K38" s="81"/>
      <c r="L38" s="81"/>
      <c r="M38" s="82" t="s">
        <v>52</v>
      </c>
      <c r="N38" s="82"/>
      <c r="O38" s="82"/>
      <c r="P38" s="82"/>
      <c r="Q38" s="82"/>
      <c r="R38" s="111"/>
      <c r="S38" s="82"/>
      <c r="T38" s="81" t="s">
        <v>144</v>
      </c>
      <c r="U38" s="81" t="s">
        <v>144</v>
      </c>
    </row>
    <row r="39" spans="1:21" x14ac:dyDescent="0.25">
      <c r="A39" s="81"/>
      <c r="B39" s="81" t="s">
        <v>8</v>
      </c>
      <c r="C39" s="81" t="s">
        <v>144</v>
      </c>
      <c r="D39" s="81" t="s">
        <v>143</v>
      </c>
      <c r="E39" s="81" t="s">
        <v>296</v>
      </c>
      <c r="F39" s="81" t="s">
        <v>148</v>
      </c>
      <c r="G39" s="81" t="s">
        <v>297</v>
      </c>
      <c r="H39" s="81"/>
      <c r="I39" s="81"/>
      <c r="J39" s="81"/>
      <c r="K39" s="81"/>
      <c r="L39" s="81"/>
      <c r="M39" s="82" t="s">
        <v>52</v>
      </c>
      <c r="N39" s="82"/>
      <c r="O39" s="82"/>
      <c r="P39" s="82"/>
      <c r="Q39" s="82"/>
      <c r="R39" s="111"/>
      <c r="S39" s="82"/>
      <c r="T39" s="81" t="s">
        <v>144</v>
      </c>
      <c r="U39" s="81" t="s">
        <v>144</v>
      </c>
    </row>
    <row r="40" spans="1:21" ht="30" x14ac:dyDescent="0.25">
      <c r="A40" s="81"/>
      <c r="B40" s="81" t="s">
        <v>8</v>
      </c>
      <c r="C40" s="81" t="s">
        <v>144</v>
      </c>
      <c r="D40" s="81" t="s">
        <v>143</v>
      </c>
      <c r="E40" s="81" t="s">
        <v>298</v>
      </c>
      <c r="F40" s="81" t="s">
        <v>148</v>
      </c>
      <c r="G40" s="81" t="s">
        <v>299</v>
      </c>
      <c r="H40" s="81"/>
      <c r="I40" s="81"/>
      <c r="J40" s="81"/>
      <c r="K40" s="81"/>
      <c r="L40" s="81"/>
      <c r="M40" s="81" t="s">
        <v>52</v>
      </c>
      <c r="N40" s="81"/>
      <c r="O40" s="81"/>
      <c r="P40" s="81"/>
      <c r="Q40" s="81"/>
      <c r="R40" s="111"/>
      <c r="S40" s="81"/>
      <c r="T40" s="81" t="s">
        <v>144</v>
      </c>
      <c r="U40" s="81" t="s">
        <v>144</v>
      </c>
    </row>
    <row r="41" spans="1:21" x14ac:dyDescent="0.25">
      <c r="A41" s="81"/>
      <c r="B41" s="81" t="s">
        <v>8</v>
      </c>
      <c r="C41" s="81" t="s">
        <v>144</v>
      </c>
      <c r="D41" s="81" t="s">
        <v>143</v>
      </c>
      <c r="E41" s="81" t="s">
        <v>300</v>
      </c>
      <c r="F41" s="81" t="s">
        <v>262</v>
      </c>
      <c r="G41" s="81" t="s">
        <v>301</v>
      </c>
      <c r="H41" s="81"/>
      <c r="I41" s="81"/>
      <c r="J41" s="81"/>
      <c r="K41" s="81"/>
      <c r="L41" s="81"/>
      <c r="M41" s="82" t="s">
        <v>52</v>
      </c>
      <c r="N41" s="82"/>
      <c r="O41" s="82"/>
      <c r="P41" s="82"/>
      <c r="Q41" s="82"/>
      <c r="R41" s="111"/>
      <c r="S41" s="82"/>
      <c r="T41" s="81" t="s">
        <v>144</v>
      </c>
      <c r="U41" s="81" t="s">
        <v>144</v>
      </c>
    </row>
    <row r="42" spans="1:21" x14ac:dyDescent="0.25">
      <c r="A42" s="81"/>
      <c r="B42" s="81" t="s">
        <v>8</v>
      </c>
      <c r="C42" s="81" t="s">
        <v>144</v>
      </c>
      <c r="D42" s="81" t="s">
        <v>143</v>
      </c>
      <c r="E42" s="81" t="s">
        <v>302</v>
      </c>
      <c r="F42" s="81" t="s">
        <v>161</v>
      </c>
      <c r="G42" s="81" t="s">
        <v>303</v>
      </c>
      <c r="H42" s="81"/>
      <c r="I42" s="81"/>
      <c r="J42" s="81"/>
      <c r="K42" s="81"/>
      <c r="L42" s="81"/>
      <c r="M42" s="82" t="s">
        <v>52</v>
      </c>
      <c r="N42" s="82"/>
      <c r="O42" s="82"/>
      <c r="P42" s="82"/>
      <c r="Q42" s="82"/>
      <c r="R42" s="111"/>
      <c r="S42" s="82"/>
      <c r="T42" s="81" t="s">
        <v>144</v>
      </c>
      <c r="U42" s="81" t="s">
        <v>144</v>
      </c>
    </row>
    <row r="43" spans="1:21" ht="30" x14ac:dyDescent="0.25">
      <c r="A43" s="81"/>
      <c r="B43" s="81" t="s">
        <v>8</v>
      </c>
      <c r="C43" s="81" t="s">
        <v>144</v>
      </c>
      <c r="D43" s="81" t="s">
        <v>143</v>
      </c>
      <c r="E43" s="81" t="s">
        <v>304</v>
      </c>
      <c r="F43" s="81" t="s">
        <v>148</v>
      </c>
      <c r="G43" s="81" t="s">
        <v>305</v>
      </c>
      <c r="H43" s="81"/>
      <c r="I43" s="81"/>
      <c r="J43" s="81"/>
      <c r="K43" s="81"/>
      <c r="L43" s="81"/>
      <c r="M43" s="82" t="s">
        <v>52</v>
      </c>
      <c r="N43" s="82"/>
      <c r="O43" s="82"/>
      <c r="P43" s="82"/>
      <c r="Q43" s="82"/>
      <c r="R43" s="111"/>
      <c r="S43" s="82"/>
      <c r="T43" s="81" t="s">
        <v>144</v>
      </c>
      <c r="U43" s="81" t="s">
        <v>144</v>
      </c>
    </row>
    <row r="44" spans="1:21" ht="30" x14ac:dyDescent="0.25">
      <c r="A44" s="81"/>
      <c r="B44" s="81" t="s">
        <v>8</v>
      </c>
      <c r="C44" s="81" t="s">
        <v>144</v>
      </c>
      <c r="D44" s="81" t="s">
        <v>143</v>
      </c>
      <c r="E44" s="81" t="s">
        <v>306</v>
      </c>
      <c r="F44" s="81" t="s">
        <v>162</v>
      </c>
      <c r="G44" s="81" t="s">
        <v>307</v>
      </c>
      <c r="H44" s="81"/>
      <c r="I44" s="81"/>
      <c r="J44" s="81"/>
      <c r="K44" s="81"/>
      <c r="L44" s="81"/>
      <c r="M44" s="82" t="s">
        <v>52</v>
      </c>
      <c r="N44" s="82"/>
      <c r="O44" s="82"/>
      <c r="P44" s="82"/>
      <c r="Q44" s="82"/>
      <c r="R44" s="111"/>
      <c r="S44" s="82"/>
      <c r="T44" s="81" t="s">
        <v>144</v>
      </c>
      <c r="U44" s="81" t="s">
        <v>144</v>
      </c>
    </row>
    <row r="45" spans="1:21" ht="30" x14ac:dyDescent="0.25">
      <c r="A45" s="81"/>
      <c r="B45" s="81" t="s">
        <v>8</v>
      </c>
      <c r="C45" s="81" t="s">
        <v>144</v>
      </c>
      <c r="D45" s="81" t="s">
        <v>143</v>
      </c>
      <c r="E45" s="81" t="s">
        <v>308</v>
      </c>
      <c r="F45" s="81" t="s">
        <v>163</v>
      </c>
      <c r="G45" s="81" t="s">
        <v>309</v>
      </c>
      <c r="H45" s="81"/>
      <c r="I45" s="81"/>
      <c r="J45" s="81"/>
      <c r="K45" s="81"/>
      <c r="L45" s="81"/>
      <c r="M45" s="81" t="s">
        <v>52</v>
      </c>
      <c r="N45" s="81"/>
      <c r="O45" s="81"/>
      <c r="P45" s="81"/>
      <c r="Q45" s="81" t="s">
        <v>310</v>
      </c>
      <c r="R45" s="111">
        <v>45720</v>
      </c>
      <c r="S45" s="81" t="s">
        <v>254</v>
      </c>
      <c r="T45" s="81" t="s">
        <v>144</v>
      </c>
      <c r="U45" s="81" t="s">
        <v>144</v>
      </c>
    </row>
    <row r="46" spans="1:21" ht="30" x14ac:dyDescent="0.25">
      <c r="A46" s="81"/>
      <c r="B46" s="81" t="s">
        <v>8</v>
      </c>
      <c r="C46" s="81" t="s">
        <v>144</v>
      </c>
      <c r="D46" s="81" t="s">
        <v>143</v>
      </c>
      <c r="E46" s="81" t="s">
        <v>311</v>
      </c>
      <c r="F46" s="81" t="s">
        <v>163</v>
      </c>
      <c r="G46" s="81" t="s">
        <v>312</v>
      </c>
      <c r="H46" s="81"/>
      <c r="I46" s="81"/>
      <c r="J46" s="81"/>
      <c r="K46" s="81"/>
      <c r="L46" s="81"/>
      <c r="M46" s="82" t="s">
        <v>52</v>
      </c>
      <c r="N46" s="82"/>
      <c r="O46" s="82"/>
      <c r="P46" s="82"/>
      <c r="Q46" s="82" t="s">
        <v>310</v>
      </c>
      <c r="R46" s="111">
        <v>45720</v>
      </c>
      <c r="S46" s="82" t="s">
        <v>254</v>
      </c>
      <c r="T46" s="81" t="s">
        <v>144</v>
      </c>
      <c r="U46" s="81" t="s">
        <v>144</v>
      </c>
    </row>
    <row r="47" spans="1:21" ht="30" x14ac:dyDescent="0.25">
      <c r="A47" s="81"/>
      <c r="B47" s="81" t="s">
        <v>8</v>
      </c>
      <c r="C47" s="81" t="s">
        <v>144</v>
      </c>
      <c r="D47" s="81" t="s">
        <v>143</v>
      </c>
      <c r="E47" s="81" t="s">
        <v>313</v>
      </c>
      <c r="F47" s="81" t="s">
        <v>163</v>
      </c>
      <c r="G47" s="81" t="s">
        <v>314</v>
      </c>
      <c r="H47" s="81"/>
      <c r="I47" s="81"/>
      <c r="J47" s="81"/>
      <c r="K47" s="81"/>
      <c r="L47" s="81"/>
      <c r="M47" s="82" t="s">
        <v>52</v>
      </c>
      <c r="N47" s="82"/>
      <c r="O47" s="82"/>
      <c r="P47" s="82"/>
      <c r="Q47" s="82" t="s">
        <v>310</v>
      </c>
      <c r="R47" s="111">
        <v>45720</v>
      </c>
      <c r="S47" s="82" t="s">
        <v>254</v>
      </c>
      <c r="T47" s="81" t="s">
        <v>144</v>
      </c>
      <c r="U47" s="81" t="s">
        <v>144</v>
      </c>
    </row>
    <row r="48" spans="1:21" ht="30" x14ac:dyDescent="0.25">
      <c r="A48" s="81"/>
      <c r="B48" s="81" t="s">
        <v>8</v>
      </c>
      <c r="C48" s="81" t="s">
        <v>144</v>
      </c>
      <c r="D48" s="81" t="s">
        <v>143</v>
      </c>
      <c r="E48" s="81" t="s">
        <v>315</v>
      </c>
      <c r="F48" s="81" t="s">
        <v>161</v>
      </c>
      <c r="G48" s="81" t="s">
        <v>316</v>
      </c>
      <c r="H48" s="81"/>
      <c r="I48" s="81"/>
      <c r="J48" s="81"/>
      <c r="K48" s="81"/>
      <c r="L48" s="81"/>
      <c r="M48" s="82" t="s">
        <v>52</v>
      </c>
      <c r="N48" s="82"/>
      <c r="O48" s="82"/>
      <c r="P48" s="82"/>
      <c r="Q48" s="82" t="s">
        <v>317</v>
      </c>
      <c r="R48" s="111">
        <v>45762</v>
      </c>
      <c r="S48" s="82" t="s">
        <v>318</v>
      </c>
      <c r="T48" s="81" t="s">
        <v>144</v>
      </c>
      <c r="U48" s="81" t="s">
        <v>144</v>
      </c>
    </row>
    <row r="49" spans="1:21" ht="30" x14ac:dyDescent="0.25">
      <c r="A49" s="81"/>
      <c r="B49" s="81" t="s">
        <v>8</v>
      </c>
      <c r="C49" s="81" t="s">
        <v>144</v>
      </c>
      <c r="D49" s="81" t="s">
        <v>143</v>
      </c>
      <c r="E49" s="81" t="s">
        <v>319</v>
      </c>
      <c r="F49" s="81" t="s">
        <v>163</v>
      </c>
      <c r="G49" s="81" t="s">
        <v>320</v>
      </c>
      <c r="H49" s="81"/>
      <c r="I49" s="81"/>
      <c r="J49" s="81"/>
      <c r="K49" s="81"/>
      <c r="L49" s="81"/>
      <c r="M49" s="82" t="s">
        <v>52</v>
      </c>
      <c r="N49" s="82"/>
      <c r="O49" s="82"/>
      <c r="P49" s="82"/>
      <c r="Q49" s="82" t="s">
        <v>321</v>
      </c>
      <c r="R49" s="111">
        <v>45762</v>
      </c>
      <c r="S49" s="82" t="s">
        <v>322</v>
      </c>
      <c r="T49" s="81" t="s">
        <v>144</v>
      </c>
      <c r="U49" s="81" t="s">
        <v>144</v>
      </c>
    </row>
    <row r="50" spans="1:21" ht="30" x14ac:dyDescent="0.25">
      <c r="A50" s="81"/>
      <c r="B50" s="81" t="s">
        <v>8</v>
      </c>
      <c r="C50" s="81" t="s">
        <v>144</v>
      </c>
      <c r="D50" s="81" t="s">
        <v>143</v>
      </c>
      <c r="E50" s="81" t="s">
        <v>323</v>
      </c>
      <c r="F50" s="81" t="s">
        <v>161</v>
      </c>
      <c r="G50" s="81" t="s">
        <v>324</v>
      </c>
      <c r="H50" s="81"/>
      <c r="I50" s="81"/>
      <c r="J50" s="81"/>
      <c r="K50" s="81"/>
      <c r="L50" s="81"/>
      <c r="M50" s="82" t="s">
        <v>52</v>
      </c>
      <c r="N50" s="82"/>
      <c r="O50" s="82"/>
      <c r="P50" s="82"/>
      <c r="Q50" s="82"/>
      <c r="R50" s="111">
        <v>45757</v>
      </c>
      <c r="S50" s="82" t="s">
        <v>45</v>
      </c>
      <c r="T50" s="81" t="s">
        <v>144</v>
      </c>
      <c r="U50" s="81" t="s">
        <v>144</v>
      </c>
    </row>
    <row r="51" spans="1:21" x14ac:dyDescent="0.25">
      <c r="A51" s="81"/>
      <c r="B51" s="81" t="s">
        <v>8</v>
      </c>
      <c r="C51" s="81" t="s">
        <v>144</v>
      </c>
      <c r="D51" s="81" t="s">
        <v>143</v>
      </c>
      <c r="E51" s="81" t="s">
        <v>325</v>
      </c>
      <c r="F51" s="81" t="s">
        <v>148</v>
      </c>
      <c r="G51" s="81" t="s">
        <v>326</v>
      </c>
      <c r="H51" s="81"/>
      <c r="I51" s="81"/>
      <c r="J51" s="81"/>
      <c r="K51" s="81"/>
      <c r="L51" s="81"/>
      <c r="M51" s="82" t="s">
        <v>52</v>
      </c>
      <c r="N51" s="82"/>
      <c r="O51" s="82"/>
      <c r="P51" s="82"/>
      <c r="Q51" s="82"/>
      <c r="R51" s="111">
        <v>45755</v>
      </c>
      <c r="S51" s="82" t="s">
        <v>20</v>
      </c>
      <c r="T51" s="81" t="s">
        <v>144</v>
      </c>
      <c r="U51" s="81" t="s">
        <v>144</v>
      </c>
    </row>
    <row r="52" spans="1:21" ht="30" x14ac:dyDescent="0.25">
      <c r="A52" s="81"/>
      <c r="B52" s="81" t="s">
        <v>8</v>
      </c>
      <c r="C52" s="81" t="s">
        <v>144</v>
      </c>
      <c r="D52" s="81" t="s">
        <v>143</v>
      </c>
      <c r="E52" s="81" t="s">
        <v>327</v>
      </c>
      <c r="F52" s="81" t="s">
        <v>163</v>
      </c>
      <c r="G52" s="81" t="s">
        <v>328</v>
      </c>
      <c r="H52" s="81"/>
      <c r="I52" s="81"/>
      <c r="J52" s="81"/>
      <c r="K52" s="81"/>
      <c r="L52" s="81"/>
      <c r="M52" s="81" t="s">
        <v>52</v>
      </c>
      <c r="N52" s="81"/>
      <c r="O52" s="81"/>
      <c r="P52" s="81"/>
      <c r="Q52" s="81" t="s">
        <v>329</v>
      </c>
      <c r="R52" s="111">
        <v>45747</v>
      </c>
      <c r="S52" s="81" t="s">
        <v>254</v>
      </c>
      <c r="T52" s="81" t="s">
        <v>144</v>
      </c>
      <c r="U52" s="81" t="s">
        <v>144</v>
      </c>
    </row>
    <row r="53" spans="1:21" ht="30" x14ac:dyDescent="0.25">
      <c r="A53" s="81"/>
      <c r="B53" s="81" t="s">
        <v>8</v>
      </c>
      <c r="C53" s="81" t="s">
        <v>144</v>
      </c>
      <c r="D53" s="81" t="s">
        <v>143</v>
      </c>
      <c r="E53" s="81" t="s">
        <v>330</v>
      </c>
      <c r="F53" s="81" t="s">
        <v>163</v>
      </c>
      <c r="G53" s="81" t="s">
        <v>331</v>
      </c>
      <c r="H53" s="81"/>
      <c r="I53" s="81"/>
      <c r="J53" s="81"/>
      <c r="K53" s="81"/>
      <c r="L53" s="81"/>
      <c r="M53" s="82" t="s">
        <v>52</v>
      </c>
      <c r="N53" s="82"/>
      <c r="O53" s="82"/>
      <c r="P53" s="82"/>
      <c r="Q53" s="82" t="s">
        <v>329</v>
      </c>
      <c r="R53" s="111">
        <v>45747</v>
      </c>
      <c r="S53" s="82" t="s">
        <v>254</v>
      </c>
      <c r="T53" s="81" t="s">
        <v>144</v>
      </c>
      <c r="U53" s="81" t="s">
        <v>144</v>
      </c>
    </row>
    <row r="54" spans="1:21" ht="30" x14ac:dyDescent="0.25">
      <c r="A54" s="81"/>
      <c r="B54" s="81" t="s">
        <v>8</v>
      </c>
      <c r="C54" s="81" t="s">
        <v>144</v>
      </c>
      <c r="D54" s="81" t="s">
        <v>143</v>
      </c>
      <c r="E54" s="81" t="s">
        <v>332</v>
      </c>
      <c r="F54" s="81" t="s">
        <v>163</v>
      </c>
      <c r="G54" s="81" t="s">
        <v>333</v>
      </c>
      <c r="H54" s="81"/>
      <c r="I54" s="81"/>
      <c r="J54" s="81"/>
      <c r="K54" s="81"/>
      <c r="L54" s="81"/>
      <c r="M54" s="82" t="s">
        <v>52</v>
      </c>
      <c r="N54" s="82"/>
      <c r="O54" s="82"/>
      <c r="P54" s="82"/>
      <c r="Q54" s="82" t="s">
        <v>329</v>
      </c>
      <c r="R54" s="111">
        <v>45747</v>
      </c>
      <c r="S54" s="82" t="s">
        <v>254</v>
      </c>
      <c r="T54" s="81" t="s">
        <v>144</v>
      </c>
      <c r="U54" s="81" t="s">
        <v>144</v>
      </c>
    </row>
    <row r="55" spans="1:21" ht="30" x14ac:dyDescent="0.25">
      <c r="A55" s="81"/>
      <c r="B55" s="81" t="s">
        <v>8</v>
      </c>
      <c r="C55" s="81" t="s">
        <v>144</v>
      </c>
      <c r="D55" s="81" t="s">
        <v>143</v>
      </c>
      <c r="E55" s="81" t="s">
        <v>334</v>
      </c>
      <c r="F55" s="81" t="s">
        <v>161</v>
      </c>
      <c r="G55" s="81" t="s">
        <v>335</v>
      </c>
      <c r="H55" s="81"/>
      <c r="I55" s="81"/>
      <c r="J55" s="81"/>
      <c r="K55" s="81"/>
      <c r="L55" s="81"/>
      <c r="M55" s="82" t="s">
        <v>52</v>
      </c>
      <c r="N55" s="82"/>
      <c r="O55" s="82"/>
      <c r="P55" s="82"/>
      <c r="Q55" s="82"/>
      <c r="R55" s="111"/>
      <c r="S55" s="82"/>
      <c r="T55" s="81" t="s">
        <v>144</v>
      </c>
      <c r="U55" s="81" t="s">
        <v>144</v>
      </c>
    </row>
    <row r="56" spans="1:21" ht="30" x14ac:dyDescent="0.25">
      <c r="A56" s="81"/>
      <c r="B56" s="81" t="s">
        <v>8</v>
      </c>
      <c r="C56" s="81" t="s">
        <v>144</v>
      </c>
      <c r="D56" s="81" t="s">
        <v>143</v>
      </c>
      <c r="E56" s="81" t="s">
        <v>336</v>
      </c>
      <c r="F56" s="81" t="s">
        <v>161</v>
      </c>
      <c r="G56" s="81" t="s">
        <v>337</v>
      </c>
      <c r="H56" s="81"/>
      <c r="I56" s="81"/>
      <c r="J56" s="81"/>
      <c r="K56" s="81"/>
      <c r="L56" s="81"/>
      <c r="M56" s="81" t="s">
        <v>52</v>
      </c>
      <c r="N56" s="81"/>
      <c r="O56" s="81"/>
      <c r="P56" s="81"/>
      <c r="Q56" s="81"/>
      <c r="R56" s="111">
        <v>45727</v>
      </c>
      <c r="S56" s="81" t="s">
        <v>20</v>
      </c>
      <c r="T56" s="81" t="s">
        <v>144</v>
      </c>
      <c r="U56" s="81" t="s">
        <v>144</v>
      </c>
    </row>
    <row r="57" spans="1:21" ht="30" x14ac:dyDescent="0.25">
      <c r="A57" s="81"/>
      <c r="B57" s="81" t="s">
        <v>8</v>
      </c>
      <c r="C57" s="81" t="s">
        <v>144</v>
      </c>
      <c r="D57" s="81" t="s">
        <v>143</v>
      </c>
      <c r="E57" s="81" t="s">
        <v>338</v>
      </c>
      <c r="F57" s="81" t="s">
        <v>161</v>
      </c>
      <c r="G57" s="81" t="s">
        <v>339</v>
      </c>
      <c r="H57" s="81"/>
      <c r="I57" s="81"/>
      <c r="J57" s="81"/>
      <c r="K57" s="81"/>
      <c r="L57" s="81"/>
      <c r="M57" s="82" t="s">
        <v>52</v>
      </c>
      <c r="N57" s="82"/>
      <c r="O57" s="82"/>
      <c r="P57" s="82"/>
      <c r="Q57" s="82" t="s">
        <v>340</v>
      </c>
      <c r="R57" s="111">
        <v>45727</v>
      </c>
      <c r="S57" s="82" t="s">
        <v>20</v>
      </c>
      <c r="T57" s="81" t="s">
        <v>144</v>
      </c>
      <c r="U57" s="81" t="s">
        <v>144</v>
      </c>
    </row>
    <row r="58" spans="1:21" ht="30" x14ac:dyDescent="0.25">
      <c r="A58" s="81"/>
      <c r="B58" s="81" t="s">
        <v>8</v>
      </c>
      <c r="C58" s="81" t="s">
        <v>144</v>
      </c>
      <c r="D58" s="81" t="s">
        <v>143</v>
      </c>
      <c r="E58" s="81" t="s">
        <v>341</v>
      </c>
      <c r="F58" s="81" t="s">
        <v>161</v>
      </c>
      <c r="G58" s="81" t="s">
        <v>342</v>
      </c>
      <c r="H58" s="81"/>
      <c r="I58" s="81"/>
      <c r="J58" s="81"/>
      <c r="K58" s="81"/>
      <c r="L58" s="81"/>
      <c r="M58" s="82" t="s">
        <v>52</v>
      </c>
      <c r="N58" s="82"/>
      <c r="O58" s="82"/>
      <c r="P58" s="82"/>
      <c r="Q58" s="82"/>
      <c r="R58" s="111">
        <v>45727</v>
      </c>
      <c r="S58" s="82" t="s">
        <v>20</v>
      </c>
      <c r="T58" s="81" t="s">
        <v>144</v>
      </c>
      <c r="U58" s="81" t="s">
        <v>144</v>
      </c>
    </row>
    <row r="59" spans="1:21" x14ac:dyDescent="0.25">
      <c r="A59" s="81"/>
      <c r="B59" s="81" t="s">
        <v>8</v>
      </c>
      <c r="C59" s="81" t="s">
        <v>144</v>
      </c>
      <c r="D59" s="81" t="s">
        <v>143</v>
      </c>
      <c r="E59" s="81" t="s">
        <v>343</v>
      </c>
      <c r="F59" s="81" t="s">
        <v>163</v>
      </c>
      <c r="G59" s="81" t="s">
        <v>344</v>
      </c>
      <c r="H59" s="81"/>
      <c r="I59" s="81"/>
      <c r="J59" s="81"/>
      <c r="K59" s="81"/>
      <c r="L59" s="81"/>
      <c r="M59" s="81" t="s">
        <v>52</v>
      </c>
      <c r="N59" s="81"/>
      <c r="O59" s="81"/>
      <c r="P59" s="81"/>
      <c r="Q59" s="81" t="s">
        <v>345</v>
      </c>
      <c r="R59" s="111">
        <v>45736</v>
      </c>
      <c r="S59" s="81" t="s">
        <v>238</v>
      </c>
      <c r="T59" s="81" t="s">
        <v>144</v>
      </c>
      <c r="U59" s="81" t="s">
        <v>144</v>
      </c>
    </row>
    <row r="60" spans="1:21" ht="30" x14ac:dyDescent="0.25">
      <c r="A60" s="81"/>
      <c r="B60" s="81" t="s">
        <v>8</v>
      </c>
      <c r="C60" s="81" t="s">
        <v>144</v>
      </c>
      <c r="D60" s="81" t="s">
        <v>143</v>
      </c>
      <c r="E60" s="81" t="s">
        <v>346</v>
      </c>
      <c r="F60" s="81" t="s">
        <v>166</v>
      </c>
      <c r="G60" s="81" t="s">
        <v>347</v>
      </c>
      <c r="H60" s="81"/>
      <c r="I60" s="81"/>
      <c r="J60" s="81"/>
      <c r="K60" s="81"/>
      <c r="L60" s="81"/>
      <c r="M60" s="82" t="s">
        <v>52</v>
      </c>
      <c r="N60" s="82"/>
      <c r="O60" s="82"/>
      <c r="P60" s="82"/>
      <c r="Q60" s="82" t="s">
        <v>348</v>
      </c>
      <c r="R60" s="111">
        <v>45722</v>
      </c>
      <c r="S60" s="82" t="s">
        <v>254</v>
      </c>
      <c r="T60" s="81" t="s">
        <v>144</v>
      </c>
      <c r="U60" s="81" t="s">
        <v>144</v>
      </c>
    </row>
    <row r="61" spans="1:21" ht="30" x14ac:dyDescent="0.25">
      <c r="A61" s="81"/>
      <c r="B61" s="81" t="s">
        <v>8</v>
      </c>
      <c r="C61" s="81" t="s">
        <v>144</v>
      </c>
      <c r="D61" s="81" t="s">
        <v>143</v>
      </c>
      <c r="E61" s="81" t="s">
        <v>349</v>
      </c>
      <c r="F61" s="81" t="s">
        <v>148</v>
      </c>
      <c r="G61" s="81" t="s">
        <v>350</v>
      </c>
      <c r="H61" s="81"/>
      <c r="I61" s="81"/>
      <c r="J61" s="81"/>
      <c r="K61" s="81"/>
      <c r="L61" s="81"/>
      <c r="M61" s="82" t="s">
        <v>52</v>
      </c>
      <c r="N61" s="82"/>
      <c r="O61" s="82"/>
      <c r="P61" s="82"/>
      <c r="Q61" s="82"/>
      <c r="R61" s="111">
        <v>45734</v>
      </c>
      <c r="S61" s="82" t="s">
        <v>38</v>
      </c>
      <c r="T61" s="81" t="s">
        <v>144</v>
      </c>
      <c r="U61" s="81" t="s">
        <v>144</v>
      </c>
    </row>
    <row r="62" spans="1:21" ht="45" x14ac:dyDescent="0.25">
      <c r="A62" s="81"/>
      <c r="B62" s="81" t="s">
        <v>8</v>
      </c>
      <c r="C62" s="81" t="s">
        <v>144</v>
      </c>
      <c r="D62" s="81" t="s">
        <v>143</v>
      </c>
      <c r="E62" s="81" t="s">
        <v>351</v>
      </c>
      <c r="F62" s="81" t="s">
        <v>163</v>
      </c>
      <c r="G62" s="81" t="s">
        <v>352</v>
      </c>
      <c r="H62" s="81"/>
      <c r="I62" s="81"/>
      <c r="J62" s="81"/>
      <c r="K62" s="81"/>
      <c r="L62" s="81"/>
      <c r="M62" s="82" t="s">
        <v>52</v>
      </c>
      <c r="N62" s="82"/>
      <c r="O62" s="82"/>
      <c r="P62" s="82"/>
      <c r="Q62" s="82" t="s">
        <v>353</v>
      </c>
      <c r="R62" s="111">
        <v>45733</v>
      </c>
      <c r="S62" s="82" t="s">
        <v>38</v>
      </c>
      <c r="T62" s="81" t="s">
        <v>144</v>
      </c>
      <c r="U62" s="81" t="s">
        <v>144</v>
      </c>
    </row>
    <row r="63" spans="1:21" x14ac:dyDescent="0.25">
      <c r="A63" s="81"/>
      <c r="B63" s="81" t="s">
        <v>8</v>
      </c>
      <c r="C63" s="81" t="s">
        <v>144</v>
      </c>
      <c r="D63" s="81" t="s">
        <v>143</v>
      </c>
      <c r="E63" s="81" t="s">
        <v>354</v>
      </c>
      <c r="F63" s="81" t="s">
        <v>161</v>
      </c>
      <c r="G63" s="81" t="s">
        <v>355</v>
      </c>
      <c r="H63" s="81"/>
      <c r="I63" s="81"/>
      <c r="J63" s="81"/>
      <c r="K63" s="81"/>
      <c r="L63" s="81"/>
      <c r="M63" s="82" t="s">
        <v>52</v>
      </c>
      <c r="N63" s="82"/>
      <c r="O63" s="82"/>
      <c r="P63" s="82"/>
      <c r="Q63" s="82"/>
      <c r="R63" s="111">
        <v>45733</v>
      </c>
      <c r="S63" s="82" t="s">
        <v>254</v>
      </c>
      <c r="T63" s="81" t="s">
        <v>144</v>
      </c>
      <c r="U63" s="81" t="s">
        <v>144</v>
      </c>
    </row>
    <row r="64" spans="1:21" x14ac:dyDescent="0.25">
      <c r="A64" s="127"/>
      <c r="B64" s="128" t="s">
        <v>8</v>
      </c>
      <c r="C64" s="127" t="s">
        <v>144</v>
      </c>
      <c r="D64" s="121" t="s">
        <v>143</v>
      </c>
      <c r="E64" s="121" t="s">
        <v>356</v>
      </c>
      <c r="F64" s="121" t="s">
        <v>161</v>
      </c>
      <c r="G64" s="121" t="s">
        <v>357</v>
      </c>
      <c r="H64" s="121"/>
      <c r="I64" s="121"/>
      <c r="J64" s="121"/>
      <c r="K64" s="121"/>
      <c r="L64" s="121"/>
      <c r="M64" s="129" t="s">
        <v>52</v>
      </c>
      <c r="N64" s="129"/>
      <c r="O64" s="129"/>
      <c r="P64" s="129"/>
      <c r="Q64" s="129"/>
      <c r="R64" s="130"/>
      <c r="S64" s="129"/>
      <c r="T64" s="127" t="s">
        <v>144</v>
      </c>
      <c r="U64" s="131" t="s">
        <v>144</v>
      </c>
    </row>
    <row r="65" spans="1:21" ht="30" x14ac:dyDescent="0.25">
      <c r="A65" s="81"/>
      <c r="B65" s="81" t="s">
        <v>8</v>
      </c>
      <c r="C65" s="81" t="s">
        <v>144</v>
      </c>
      <c r="D65" s="81" t="s">
        <v>143</v>
      </c>
      <c r="E65" s="81" t="s">
        <v>358</v>
      </c>
      <c r="F65" s="81" t="s">
        <v>162</v>
      </c>
      <c r="G65" s="81" t="s">
        <v>359</v>
      </c>
      <c r="H65" s="81"/>
      <c r="I65" s="81"/>
      <c r="J65" s="81"/>
      <c r="K65" s="81"/>
      <c r="L65" s="81"/>
      <c r="M65" s="81" t="s">
        <v>52</v>
      </c>
      <c r="N65" s="81"/>
      <c r="O65" s="81"/>
      <c r="P65" s="81"/>
      <c r="Q65" s="81"/>
      <c r="R65" s="111"/>
      <c r="S65" s="81"/>
      <c r="T65" s="81" t="s">
        <v>144</v>
      </c>
      <c r="U65" s="81" t="s">
        <v>144</v>
      </c>
    </row>
    <row r="66" spans="1:21" x14ac:dyDescent="0.25">
      <c r="A66" s="81"/>
      <c r="B66" s="81" t="s">
        <v>8</v>
      </c>
      <c r="C66" s="81" t="s">
        <v>144</v>
      </c>
      <c r="D66" s="81" t="s">
        <v>143</v>
      </c>
      <c r="E66" s="81" t="s">
        <v>360</v>
      </c>
      <c r="F66" s="81" t="s">
        <v>162</v>
      </c>
      <c r="G66" s="81" t="s">
        <v>361</v>
      </c>
      <c r="H66" s="81"/>
      <c r="I66" s="81"/>
      <c r="J66" s="81"/>
      <c r="K66" s="81"/>
      <c r="L66" s="81"/>
      <c r="M66" s="82" t="s">
        <v>52</v>
      </c>
      <c r="N66" s="82"/>
      <c r="O66" s="82"/>
      <c r="P66" s="82"/>
      <c r="Q66" s="82"/>
      <c r="R66" s="111"/>
      <c r="S66" s="82"/>
      <c r="T66" s="81" t="s">
        <v>144</v>
      </c>
      <c r="U66" s="81" t="s">
        <v>144</v>
      </c>
    </row>
    <row r="67" spans="1:21" x14ac:dyDescent="0.25">
      <c r="A67" s="81"/>
      <c r="B67" s="81" t="s">
        <v>8</v>
      </c>
      <c r="C67" s="81" t="s">
        <v>144</v>
      </c>
      <c r="D67" s="81" t="s">
        <v>143</v>
      </c>
      <c r="E67" s="81" t="s">
        <v>362</v>
      </c>
      <c r="F67" s="81" t="s">
        <v>166</v>
      </c>
      <c r="G67" s="81" t="s">
        <v>363</v>
      </c>
      <c r="H67" s="81"/>
      <c r="I67" s="81"/>
      <c r="J67" s="81"/>
      <c r="K67" s="81"/>
      <c r="L67" s="81"/>
      <c r="M67" s="82" t="s">
        <v>52</v>
      </c>
      <c r="N67" s="82"/>
      <c r="O67" s="82"/>
      <c r="P67" s="82"/>
      <c r="Q67" s="82"/>
      <c r="R67" s="111"/>
      <c r="S67" s="82"/>
      <c r="T67" s="81" t="s">
        <v>144</v>
      </c>
      <c r="U67" s="81" t="s">
        <v>144</v>
      </c>
    </row>
    <row r="68" spans="1:21" x14ac:dyDescent="0.25">
      <c r="A68" s="81"/>
      <c r="B68" s="81" t="s">
        <v>8</v>
      </c>
      <c r="C68" s="81" t="s">
        <v>144</v>
      </c>
      <c r="D68" s="81" t="s">
        <v>143</v>
      </c>
      <c r="E68" s="81" t="s">
        <v>364</v>
      </c>
      <c r="F68" s="81" t="s">
        <v>148</v>
      </c>
      <c r="G68" s="81" t="s">
        <v>365</v>
      </c>
      <c r="H68" s="81"/>
      <c r="I68" s="81"/>
      <c r="J68" s="81"/>
      <c r="K68" s="81"/>
      <c r="L68" s="81"/>
      <c r="M68" s="82" t="s">
        <v>52</v>
      </c>
      <c r="N68" s="82"/>
      <c r="O68" s="82"/>
      <c r="P68" s="82"/>
      <c r="Q68" s="82" t="s">
        <v>366</v>
      </c>
      <c r="R68" s="111">
        <v>45728</v>
      </c>
      <c r="S68" s="82" t="s">
        <v>20</v>
      </c>
      <c r="T68" s="81" t="s">
        <v>144</v>
      </c>
      <c r="U68" s="81" t="s">
        <v>144</v>
      </c>
    </row>
    <row r="69" spans="1:21" ht="30" x14ac:dyDescent="0.25">
      <c r="A69" s="81"/>
      <c r="B69" s="81" t="s">
        <v>8</v>
      </c>
      <c r="C69" s="81" t="s">
        <v>144</v>
      </c>
      <c r="D69" s="81" t="s">
        <v>143</v>
      </c>
      <c r="E69" s="81" t="s">
        <v>367</v>
      </c>
      <c r="F69" s="81" t="s">
        <v>161</v>
      </c>
      <c r="G69" s="81" t="s">
        <v>368</v>
      </c>
      <c r="H69" s="81"/>
      <c r="I69" s="81"/>
      <c r="J69" s="81"/>
      <c r="K69" s="81"/>
      <c r="L69" s="81"/>
      <c r="M69" s="82" t="s">
        <v>52</v>
      </c>
      <c r="N69" s="82"/>
      <c r="O69" s="82"/>
      <c r="P69" s="82"/>
      <c r="Q69" s="82" t="s">
        <v>369</v>
      </c>
      <c r="R69" s="111">
        <v>45726</v>
      </c>
      <c r="S69" s="82" t="s">
        <v>11</v>
      </c>
      <c r="T69" s="81" t="s">
        <v>144</v>
      </c>
      <c r="U69" s="81" t="s">
        <v>144</v>
      </c>
    </row>
    <row r="70" spans="1:21" ht="45" x14ac:dyDescent="0.25">
      <c r="A70" s="81"/>
      <c r="B70" s="81" t="s">
        <v>8</v>
      </c>
      <c r="C70" s="81" t="s">
        <v>144</v>
      </c>
      <c r="D70" s="81" t="s">
        <v>143</v>
      </c>
      <c r="E70" s="81" t="s">
        <v>370</v>
      </c>
      <c r="F70" s="81" t="s">
        <v>162</v>
      </c>
      <c r="G70" s="81" t="s">
        <v>371</v>
      </c>
      <c r="H70" s="81"/>
      <c r="I70" s="81"/>
      <c r="J70" s="81"/>
      <c r="K70" s="81"/>
      <c r="L70" s="81"/>
      <c r="M70" s="82" t="s">
        <v>52</v>
      </c>
      <c r="N70" s="82"/>
      <c r="O70" s="82"/>
      <c r="P70" s="82"/>
      <c r="Q70" s="82" t="s">
        <v>372</v>
      </c>
      <c r="R70" s="111">
        <v>45726</v>
      </c>
      <c r="S70" s="82" t="s">
        <v>254</v>
      </c>
      <c r="T70" s="81" t="s">
        <v>144</v>
      </c>
      <c r="U70" s="81" t="s">
        <v>144</v>
      </c>
    </row>
    <row r="71" spans="1:21" ht="45" x14ac:dyDescent="0.25">
      <c r="A71" s="81"/>
      <c r="B71" s="81" t="s">
        <v>8</v>
      </c>
      <c r="C71" s="81" t="s">
        <v>144</v>
      </c>
      <c r="D71" s="81" t="s">
        <v>143</v>
      </c>
      <c r="E71" s="81" t="s">
        <v>373</v>
      </c>
      <c r="F71" s="81" t="s">
        <v>166</v>
      </c>
      <c r="G71" s="81" t="s">
        <v>374</v>
      </c>
      <c r="H71" s="81"/>
      <c r="I71" s="81"/>
      <c r="J71" s="81"/>
      <c r="K71" s="81"/>
      <c r="L71" s="81"/>
      <c r="M71" s="82" t="s">
        <v>52</v>
      </c>
      <c r="N71" s="82"/>
      <c r="O71" s="82"/>
      <c r="P71" s="82"/>
      <c r="Q71" s="82" t="s">
        <v>375</v>
      </c>
      <c r="R71" s="111">
        <v>45722</v>
      </c>
      <c r="S71" s="82" t="s">
        <v>254</v>
      </c>
      <c r="T71" s="81" t="s">
        <v>144</v>
      </c>
      <c r="U71" s="81" t="s">
        <v>144</v>
      </c>
    </row>
    <row r="72" spans="1:21" ht="30" x14ac:dyDescent="0.25">
      <c r="A72" s="81"/>
      <c r="B72" s="81" t="s">
        <v>8</v>
      </c>
      <c r="C72" s="81" t="s">
        <v>144</v>
      </c>
      <c r="D72" s="81" t="s">
        <v>143</v>
      </c>
      <c r="E72" s="81" t="s">
        <v>376</v>
      </c>
      <c r="F72" s="81" t="s">
        <v>162</v>
      </c>
      <c r="G72" s="81" t="s">
        <v>377</v>
      </c>
      <c r="H72" s="81"/>
      <c r="I72" s="81"/>
      <c r="J72" s="81"/>
      <c r="K72" s="81"/>
      <c r="L72" s="81"/>
      <c r="M72" s="82" t="s">
        <v>52</v>
      </c>
      <c r="N72" s="82"/>
      <c r="O72" s="82"/>
      <c r="P72" s="82"/>
      <c r="Q72" s="82" t="s">
        <v>378</v>
      </c>
      <c r="R72" s="111">
        <v>45716</v>
      </c>
      <c r="S72" s="82" t="s">
        <v>254</v>
      </c>
      <c r="T72" s="81" t="s">
        <v>144</v>
      </c>
      <c r="U72" s="81" t="s">
        <v>144</v>
      </c>
    </row>
    <row r="73" spans="1:21" ht="30" x14ac:dyDescent="0.25">
      <c r="A73" s="81"/>
      <c r="B73" s="81" t="s">
        <v>8</v>
      </c>
      <c r="C73" s="81" t="s">
        <v>144</v>
      </c>
      <c r="D73" s="81" t="s">
        <v>143</v>
      </c>
      <c r="E73" s="81" t="s">
        <v>379</v>
      </c>
      <c r="F73" s="81" t="s">
        <v>166</v>
      </c>
      <c r="G73" s="81" t="s">
        <v>380</v>
      </c>
      <c r="H73" s="81"/>
      <c r="I73" s="81"/>
      <c r="J73" s="81"/>
      <c r="K73" s="81"/>
      <c r="L73" s="81"/>
      <c r="M73" s="82" t="s">
        <v>52</v>
      </c>
      <c r="N73" s="82"/>
      <c r="O73" s="82"/>
      <c r="P73" s="82"/>
      <c r="Q73" s="82" t="s">
        <v>381</v>
      </c>
      <c r="R73" s="111">
        <v>45716</v>
      </c>
      <c r="S73" s="82" t="s">
        <v>254</v>
      </c>
      <c r="T73" s="81" t="s">
        <v>144</v>
      </c>
      <c r="U73" s="81" t="s">
        <v>144</v>
      </c>
    </row>
    <row r="74" spans="1:21" ht="30" x14ac:dyDescent="0.25">
      <c r="A74" s="81"/>
      <c r="B74" s="81" t="s">
        <v>8</v>
      </c>
      <c r="C74" s="81" t="s">
        <v>144</v>
      </c>
      <c r="D74" s="81" t="s">
        <v>143</v>
      </c>
      <c r="E74" s="81" t="s">
        <v>382</v>
      </c>
      <c r="F74" s="81" t="s">
        <v>166</v>
      </c>
      <c r="G74" s="81" t="s">
        <v>383</v>
      </c>
      <c r="H74" s="81"/>
      <c r="I74" s="81"/>
      <c r="J74" s="81"/>
      <c r="K74" s="81"/>
      <c r="L74" s="81"/>
      <c r="M74" s="82" t="s">
        <v>52</v>
      </c>
      <c r="N74" s="82"/>
      <c r="O74" s="82"/>
      <c r="P74" s="82"/>
      <c r="Q74" s="82" t="s">
        <v>384</v>
      </c>
      <c r="R74" s="111">
        <v>45716</v>
      </c>
      <c r="S74" s="82" t="s">
        <v>254</v>
      </c>
      <c r="T74" s="81" t="s">
        <v>144</v>
      </c>
      <c r="U74" s="81" t="s">
        <v>144</v>
      </c>
    </row>
    <row r="75" spans="1:21" ht="30" x14ac:dyDescent="0.25">
      <c r="A75" s="81"/>
      <c r="B75" s="81" t="s">
        <v>8</v>
      </c>
      <c r="C75" s="81" t="s">
        <v>144</v>
      </c>
      <c r="D75" s="81" t="s">
        <v>143</v>
      </c>
      <c r="E75" s="81" t="s">
        <v>385</v>
      </c>
      <c r="F75" s="81" t="s">
        <v>148</v>
      </c>
      <c r="G75" s="81" t="s">
        <v>386</v>
      </c>
      <c r="H75" s="81"/>
      <c r="I75" s="81"/>
      <c r="J75" s="81"/>
      <c r="K75" s="81"/>
      <c r="L75" s="81"/>
      <c r="M75" s="82" t="s">
        <v>52</v>
      </c>
      <c r="N75" s="82" t="s">
        <v>8</v>
      </c>
      <c r="O75" s="82"/>
      <c r="P75" s="82"/>
      <c r="Q75" s="82" t="s">
        <v>329</v>
      </c>
      <c r="R75" s="111">
        <v>45715</v>
      </c>
      <c r="S75" s="82" t="s">
        <v>238</v>
      </c>
      <c r="T75" s="81" t="s">
        <v>144</v>
      </c>
      <c r="U75" s="81" t="s">
        <v>144</v>
      </c>
    </row>
    <row r="76" spans="1:21" ht="30" x14ac:dyDescent="0.25">
      <c r="A76" s="81"/>
      <c r="B76" s="81" t="s">
        <v>8</v>
      </c>
      <c r="C76" s="81" t="s">
        <v>144</v>
      </c>
      <c r="D76" s="81" t="s">
        <v>143</v>
      </c>
      <c r="E76" s="81" t="s">
        <v>387</v>
      </c>
      <c r="F76" s="81" t="s">
        <v>161</v>
      </c>
      <c r="G76" s="81" t="s">
        <v>388</v>
      </c>
      <c r="H76" s="81"/>
      <c r="I76" s="81"/>
      <c r="J76" s="81"/>
      <c r="K76" s="81"/>
      <c r="L76" s="81"/>
      <c r="M76" s="82" t="s">
        <v>52</v>
      </c>
      <c r="N76" s="82"/>
      <c r="O76" s="82"/>
      <c r="P76" s="82"/>
      <c r="Q76" s="82" t="s">
        <v>389</v>
      </c>
      <c r="R76" s="111">
        <v>45715</v>
      </c>
      <c r="S76" s="82" t="s">
        <v>254</v>
      </c>
      <c r="T76" s="81" t="s">
        <v>144</v>
      </c>
      <c r="U76" s="81" t="s">
        <v>144</v>
      </c>
    </row>
    <row r="77" spans="1:21" ht="30" x14ac:dyDescent="0.25">
      <c r="A77" s="81"/>
      <c r="B77" s="81" t="s">
        <v>8</v>
      </c>
      <c r="C77" s="81" t="s">
        <v>144</v>
      </c>
      <c r="D77" s="81" t="s">
        <v>143</v>
      </c>
      <c r="E77" s="81" t="s">
        <v>390</v>
      </c>
      <c r="F77" s="81" t="s">
        <v>148</v>
      </c>
      <c r="G77" s="81" t="s">
        <v>391</v>
      </c>
      <c r="H77" s="81"/>
      <c r="I77" s="81"/>
      <c r="J77" s="81"/>
      <c r="K77" s="81"/>
      <c r="L77" s="81"/>
      <c r="M77" s="82" t="s">
        <v>52</v>
      </c>
      <c r="N77" s="82"/>
      <c r="O77" s="82"/>
      <c r="P77" s="82"/>
      <c r="Q77" s="82" t="s">
        <v>392</v>
      </c>
      <c r="R77" s="111">
        <v>45713</v>
      </c>
      <c r="S77" s="82" t="s">
        <v>254</v>
      </c>
      <c r="T77" s="81" t="s">
        <v>144</v>
      </c>
      <c r="U77" s="81" t="s">
        <v>144</v>
      </c>
    </row>
    <row r="78" spans="1:21" ht="30" x14ac:dyDescent="0.25">
      <c r="A78" s="81"/>
      <c r="B78" s="81" t="s">
        <v>8</v>
      </c>
      <c r="C78" s="81" t="s">
        <v>144</v>
      </c>
      <c r="D78" s="81" t="s">
        <v>143</v>
      </c>
      <c r="E78" s="81" t="s">
        <v>393</v>
      </c>
      <c r="F78" s="81" t="s">
        <v>148</v>
      </c>
      <c r="G78" s="81" t="s">
        <v>394</v>
      </c>
      <c r="H78" s="81"/>
      <c r="I78" s="81"/>
      <c r="J78" s="81"/>
      <c r="K78" s="81"/>
      <c r="L78" s="81"/>
      <c r="M78" s="82" t="s">
        <v>52</v>
      </c>
      <c r="N78" s="82"/>
      <c r="O78" s="82"/>
      <c r="P78" s="82"/>
      <c r="Q78" s="82" t="s">
        <v>395</v>
      </c>
      <c r="R78" s="111">
        <v>45714</v>
      </c>
      <c r="S78" s="82" t="s">
        <v>11</v>
      </c>
      <c r="T78" s="81" t="s">
        <v>144</v>
      </c>
      <c r="U78" s="81" t="s">
        <v>144</v>
      </c>
    </row>
    <row r="79" spans="1:21" ht="30" x14ac:dyDescent="0.25">
      <c r="A79" s="81"/>
      <c r="B79" s="81" t="s">
        <v>8</v>
      </c>
      <c r="C79" s="81" t="s">
        <v>144</v>
      </c>
      <c r="D79" s="81" t="s">
        <v>143</v>
      </c>
      <c r="E79" s="81" t="s">
        <v>396</v>
      </c>
      <c r="F79" s="81" t="s">
        <v>148</v>
      </c>
      <c r="G79" s="81" t="s">
        <v>397</v>
      </c>
      <c r="H79" s="81"/>
      <c r="I79" s="81"/>
      <c r="J79" s="81"/>
      <c r="K79" s="81"/>
      <c r="L79" s="81"/>
      <c r="M79" s="82" t="s">
        <v>52</v>
      </c>
      <c r="N79" s="82"/>
      <c r="O79" s="82"/>
      <c r="P79" s="82"/>
      <c r="Q79" s="82" t="s">
        <v>398</v>
      </c>
      <c r="R79" s="111">
        <v>45714</v>
      </c>
      <c r="S79" s="82" t="s">
        <v>11</v>
      </c>
      <c r="T79" s="81" t="s">
        <v>144</v>
      </c>
      <c r="U79" s="81" t="s">
        <v>144</v>
      </c>
    </row>
    <row r="80" spans="1:21" ht="30" x14ac:dyDescent="0.25">
      <c r="A80" s="81"/>
      <c r="B80" s="81" t="s">
        <v>8</v>
      </c>
      <c r="C80" s="81" t="s">
        <v>144</v>
      </c>
      <c r="D80" s="81" t="s">
        <v>143</v>
      </c>
      <c r="E80" s="81" t="s">
        <v>399</v>
      </c>
      <c r="F80" s="81" t="s">
        <v>148</v>
      </c>
      <c r="G80" s="81" t="s">
        <v>400</v>
      </c>
      <c r="H80" s="81"/>
      <c r="I80" s="81"/>
      <c r="J80" s="81"/>
      <c r="K80" s="81"/>
      <c r="L80" s="81"/>
      <c r="M80" s="82" t="s">
        <v>52</v>
      </c>
      <c r="N80" s="82"/>
      <c r="O80" s="82"/>
      <c r="P80" s="82"/>
      <c r="Q80" s="82" t="s">
        <v>401</v>
      </c>
      <c r="R80" s="111">
        <v>45712</v>
      </c>
      <c r="S80" s="82" t="s">
        <v>38</v>
      </c>
      <c r="T80" s="81" t="s">
        <v>144</v>
      </c>
      <c r="U80" s="81" t="s">
        <v>144</v>
      </c>
    </row>
    <row r="81" spans="1:21" ht="30" x14ac:dyDescent="0.25">
      <c r="A81" s="81"/>
      <c r="B81" s="81" t="s">
        <v>8</v>
      </c>
      <c r="C81" s="81" t="s">
        <v>144</v>
      </c>
      <c r="D81" s="81" t="s">
        <v>143</v>
      </c>
      <c r="E81" s="81" t="s">
        <v>402</v>
      </c>
      <c r="F81" s="81" t="s">
        <v>162</v>
      </c>
      <c r="G81" s="81" t="s">
        <v>403</v>
      </c>
      <c r="H81" s="81"/>
      <c r="I81" s="81"/>
      <c r="J81" s="81"/>
      <c r="K81" s="81"/>
      <c r="L81" s="81"/>
      <c r="M81" s="81" t="s">
        <v>52</v>
      </c>
      <c r="N81" s="81"/>
      <c r="O81" s="81" t="s">
        <v>8</v>
      </c>
      <c r="P81" s="81"/>
      <c r="Q81" s="81" t="s">
        <v>404</v>
      </c>
      <c r="R81" s="111">
        <v>45712</v>
      </c>
      <c r="S81" s="81" t="s">
        <v>254</v>
      </c>
      <c r="T81" s="81" t="s">
        <v>144</v>
      </c>
      <c r="U81" s="81" t="s">
        <v>144</v>
      </c>
    </row>
    <row r="82" spans="1:21" ht="30" x14ac:dyDescent="0.25">
      <c r="A82" s="81"/>
      <c r="B82" s="81" t="s">
        <v>8</v>
      </c>
      <c r="C82" s="81" t="s">
        <v>144</v>
      </c>
      <c r="D82" s="81" t="s">
        <v>143</v>
      </c>
      <c r="E82" s="81" t="s">
        <v>405</v>
      </c>
      <c r="F82" s="81" t="s">
        <v>161</v>
      </c>
      <c r="G82" s="81" t="s">
        <v>406</v>
      </c>
      <c r="H82" s="81"/>
      <c r="I82" s="81"/>
      <c r="J82" s="81"/>
      <c r="K82" s="81"/>
      <c r="L82" s="81"/>
      <c r="M82" s="81" t="s">
        <v>52</v>
      </c>
      <c r="N82" s="81"/>
      <c r="O82" s="81"/>
      <c r="P82" s="81"/>
      <c r="Q82" s="81" t="s">
        <v>407</v>
      </c>
      <c r="R82" s="111">
        <v>45708</v>
      </c>
      <c r="S82" s="81" t="s">
        <v>408</v>
      </c>
      <c r="T82" s="81" t="s">
        <v>144</v>
      </c>
      <c r="U82" s="81" t="s">
        <v>144</v>
      </c>
    </row>
    <row r="83" spans="1:21" ht="30" x14ac:dyDescent="0.25">
      <c r="A83" s="81"/>
      <c r="B83" s="81" t="s">
        <v>8</v>
      </c>
      <c r="C83" s="81" t="s">
        <v>144</v>
      </c>
      <c r="D83" s="81" t="s">
        <v>143</v>
      </c>
      <c r="E83" s="81" t="s">
        <v>409</v>
      </c>
      <c r="F83" s="81" t="s">
        <v>166</v>
      </c>
      <c r="G83" s="81" t="s">
        <v>410</v>
      </c>
      <c r="H83" s="81"/>
      <c r="I83" s="81"/>
      <c r="J83" s="81"/>
      <c r="K83" s="81"/>
      <c r="L83" s="81"/>
      <c r="M83" s="82" t="s">
        <v>52</v>
      </c>
      <c r="N83" s="82"/>
      <c r="O83" s="82"/>
      <c r="P83" s="82"/>
      <c r="Q83" s="82" t="s">
        <v>411</v>
      </c>
      <c r="R83" s="111">
        <v>45708</v>
      </c>
      <c r="S83" s="82" t="s">
        <v>9</v>
      </c>
      <c r="T83" s="81" t="s">
        <v>144</v>
      </c>
      <c r="U83" s="81" t="s">
        <v>144</v>
      </c>
    </row>
    <row r="84" spans="1:21" ht="30" x14ac:dyDescent="0.25">
      <c r="A84" s="81"/>
      <c r="B84" s="81" t="s">
        <v>8</v>
      </c>
      <c r="C84" s="81" t="s">
        <v>144</v>
      </c>
      <c r="D84" s="81" t="s">
        <v>143</v>
      </c>
      <c r="E84" s="81" t="s">
        <v>412</v>
      </c>
      <c r="F84" s="81" t="s">
        <v>166</v>
      </c>
      <c r="G84" s="81" t="s">
        <v>413</v>
      </c>
      <c r="H84" s="81"/>
      <c r="I84" s="81"/>
      <c r="J84" s="81"/>
      <c r="K84" s="81"/>
      <c r="L84" s="81"/>
      <c r="M84" s="81" t="s">
        <v>52</v>
      </c>
      <c r="N84" s="81"/>
      <c r="O84" s="81"/>
      <c r="P84" s="81"/>
      <c r="Q84" s="81" t="s">
        <v>414</v>
      </c>
      <c r="R84" s="111">
        <v>45708</v>
      </c>
      <c r="S84" s="81" t="s">
        <v>254</v>
      </c>
      <c r="T84" s="81" t="s">
        <v>144</v>
      </c>
      <c r="U84" s="81" t="s">
        <v>144</v>
      </c>
    </row>
    <row r="85" spans="1:21" ht="30" x14ac:dyDescent="0.25">
      <c r="A85" s="81"/>
      <c r="B85" s="81" t="s">
        <v>8</v>
      </c>
      <c r="C85" s="81" t="s">
        <v>144</v>
      </c>
      <c r="D85" s="81" t="s">
        <v>143</v>
      </c>
      <c r="E85" s="81" t="s">
        <v>415</v>
      </c>
      <c r="F85" s="81" t="s">
        <v>162</v>
      </c>
      <c r="G85" s="81" t="s">
        <v>416</v>
      </c>
      <c r="H85" s="81"/>
      <c r="I85" s="81"/>
      <c r="J85" s="81"/>
      <c r="K85" s="81"/>
      <c r="L85" s="81"/>
      <c r="M85" s="82" t="s">
        <v>52</v>
      </c>
      <c r="N85" s="82"/>
      <c r="O85" s="82"/>
      <c r="P85" s="82"/>
      <c r="Q85" s="82" t="s">
        <v>417</v>
      </c>
      <c r="R85" s="111">
        <v>45706</v>
      </c>
      <c r="S85" s="82" t="s">
        <v>9</v>
      </c>
      <c r="T85" s="81" t="s">
        <v>144</v>
      </c>
      <c r="U85" s="81" t="s">
        <v>144</v>
      </c>
    </row>
    <row r="86" spans="1:21" ht="30" x14ac:dyDescent="0.25">
      <c r="A86" s="81"/>
      <c r="B86" s="81" t="s">
        <v>8</v>
      </c>
      <c r="C86" s="81" t="s">
        <v>144</v>
      </c>
      <c r="D86" s="81" t="s">
        <v>143</v>
      </c>
      <c r="E86" s="81" t="s">
        <v>418</v>
      </c>
      <c r="F86" s="81" t="s">
        <v>162</v>
      </c>
      <c r="G86" s="81" t="s">
        <v>419</v>
      </c>
      <c r="H86" s="81"/>
      <c r="I86" s="81"/>
      <c r="J86" s="81"/>
      <c r="K86" s="81"/>
      <c r="L86" s="81"/>
      <c r="M86" s="81" t="s">
        <v>52</v>
      </c>
      <c r="N86" s="81"/>
      <c r="O86" s="81"/>
      <c r="P86" s="81"/>
      <c r="Q86" s="81" t="s">
        <v>420</v>
      </c>
      <c r="R86" s="111">
        <v>45706</v>
      </c>
      <c r="S86" s="81" t="s">
        <v>9</v>
      </c>
      <c r="T86" s="81" t="s">
        <v>144</v>
      </c>
      <c r="U86" s="81" t="s">
        <v>144</v>
      </c>
    </row>
    <row r="87" spans="1:21" ht="30" x14ac:dyDescent="0.25">
      <c r="A87" s="81"/>
      <c r="B87" s="81" t="s">
        <v>8</v>
      </c>
      <c r="C87" s="81" t="s">
        <v>144</v>
      </c>
      <c r="D87" s="81" t="s">
        <v>143</v>
      </c>
      <c r="E87" s="81" t="s">
        <v>421</v>
      </c>
      <c r="F87" s="81" t="s">
        <v>148</v>
      </c>
      <c r="G87" s="81" t="s">
        <v>422</v>
      </c>
      <c r="H87" s="81"/>
      <c r="I87" s="81"/>
      <c r="J87" s="81"/>
      <c r="K87" s="81"/>
      <c r="L87" s="81"/>
      <c r="M87" s="82" t="s">
        <v>52</v>
      </c>
      <c r="N87" s="82" t="s">
        <v>8</v>
      </c>
      <c r="O87" s="82"/>
      <c r="P87" s="82"/>
      <c r="Q87" s="82" t="s">
        <v>329</v>
      </c>
      <c r="R87" s="111"/>
      <c r="S87" s="82" t="s">
        <v>238</v>
      </c>
      <c r="T87" s="81" t="s">
        <v>144</v>
      </c>
      <c r="U87" s="81" t="s">
        <v>144</v>
      </c>
    </row>
    <row r="88" spans="1:21" x14ac:dyDescent="0.25">
      <c r="A88" s="81"/>
      <c r="B88" s="81" t="s">
        <v>8</v>
      </c>
      <c r="C88" s="81" t="s">
        <v>144</v>
      </c>
      <c r="D88" s="81" t="s">
        <v>143</v>
      </c>
      <c r="E88" s="81" t="s">
        <v>423</v>
      </c>
      <c r="F88" s="81" t="s">
        <v>148</v>
      </c>
      <c r="G88" s="81" t="s">
        <v>424</v>
      </c>
      <c r="H88" s="81"/>
      <c r="I88" s="81"/>
      <c r="J88" s="81"/>
      <c r="K88" s="81"/>
      <c r="L88" s="81"/>
      <c r="M88" s="81" t="s">
        <v>52</v>
      </c>
      <c r="N88" s="81"/>
      <c r="O88" s="81"/>
      <c r="P88" s="81"/>
      <c r="Q88" s="81"/>
      <c r="R88" s="111"/>
      <c r="S88" s="81" t="s">
        <v>238</v>
      </c>
      <c r="T88" s="81" t="s">
        <v>144</v>
      </c>
      <c r="U88" s="81" t="s">
        <v>144</v>
      </c>
    </row>
    <row r="89" spans="1:21" ht="30" x14ac:dyDescent="0.25">
      <c r="A89" s="81"/>
      <c r="B89" s="81" t="s">
        <v>8</v>
      </c>
      <c r="C89" s="81" t="s">
        <v>144</v>
      </c>
      <c r="D89" s="81" t="s">
        <v>143</v>
      </c>
      <c r="E89" s="81" t="s">
        <v>425</v>
      </c>
      <c r="F89" s="81" t="s">
        <v>148</v>
      </c>
      <c r="G89" s="81" t="s">
        <v>426</v>
      </c>
      <c r="H89" s="81"/>
      <c r="I89" s="81"/>
      <c r="J89" s="81"/>
      <c r="K89" s="81"/>
      <c r="L89" s="81"/>
      <c r="M89" s="82" t="s">
        <v>52</v>
      </c>
      <c r="N89" s="82"/>
      <c r="O89" s="82"/>
      <c r="P89" s="82"/>
      <c r="Q89" s="82" t="s">
        <v>427</v>
      </c>
      <c r="R89" s="111">
        <v>45705</v>
      </c>
      <c r="S89" s="82" t="s">
        <v>428</v>
      </c>
      <c r="T89" s="81" t="s">
        <v>144</v>
      </c>
      <c r="U89" s="81" t="s">
        <v>144</v>
      </c>
    </row>
    <row r="90" spans="1:21" x14ac:dyDescent="0.25">
      <c r="A90" s="81"/>
      <c r="B90" s="81" t="s">
        <v>8</v>
      </c>
      <c r="C90" s="81" t="s">
        <v>144</v>
      </c>
      <c r="D90" s="81" t="s">
        <v>143</v>
      </c>
      <c r="E90" s="81" t="s">
        <v>429</v>
      </c>
      <c r="F90" s="81" t="s">
        <v>166</v>
      </c>
      <c r="G90" s="81" t="s">
        <v>430</v>
      </c>
      <c r="H90" s="81"/>
      <c r="I90" s="81"/>
      <c r="J90" s="81"/>
      <c r="K90" s="81"/>
      <c r="L90" s="81"/>
      <c r="M90" s="82" t="s">
        <v>52</v>
      </c>
      <c r="N90" s="82"/>
      <c r="O90" s="82"/>
      <c r="P90" s="82"/>
      <c r="Q90" s="82" t="s">
        <v>431</v>
      </c>
      <c r="R90" s="111">
        <v>45705</v>
      </c>
      <c r="S90" s="82" t="s">
        <v>254</v>
      </c>
      <c r="T90" s="81" t="s">
        <v>144</v>
      </c>
      <c r="U90" s="81" t="s">
        <v>144</v>
      </c>
    </row>
    <row r="91" spans="1:21" ht="30" x14ac:dyDescent="0.25">
      <c r="A91" s="81"/>
      <c r="B91" s="81" t="s">
        <v>8</v>
      </c>
      <c r="C91" s="81" t="s">
        <v>144</v>
      </c>
      <c r="D91" s="81" t="s">
        <v>143</v>
      </c>
      <c r="E91" s="81" t="s">
        <v>432</v>
      </c>
      <c r="F91" s="81" t="s">
        <v>148</v>
      </c>
      <c r="G91" s="81" t="s">
        <v>433</v>
      </c>
      <c r="H91" s="81"/>
      <c r="I91" s="81"/>
      <c r="J91" s="81"/>
      <c r="K91" s="81"/>
      <c r="L91" s="81"/>
      <c r="M91" s="82" t="s">
        <v>52</v>
      </c>
      <c r="N91" s="82"/>
      <c r="O91" s="82"/>
      <c r="P91" s="82"/>
      <c r="Q91" s="82" t="s">
        <v>434</v>
      </c>
      <c r="R91" s="111"/>
      <c r="S91" s="82"/>
      <c r="T91" s="81" t="s">
        <v>144</v>
      </c>
      <c r="U91" s="81" t="s">
        <v>144</v>
      </c>
    </row>
    <row r="92" spans="1:21" ht="30" x14ac:dyDescent="0.25">
      <c r="A92" s="81"/>
      <c r="B92" s="81" t="s">
        <v>8</v>
      </c>
      <c r="C92" s="81" t="s">
        <v>144</v>
      </c>
      <c r="D92" s="81" t="s">
        <v>143</v>
      </c>
      <c r="E92" s="81" t="s">
        <v>435</v>
      </c>
      <c r="F92" s="81" t="s">
        <v>262</v>
      </c>
      <c r="G92" s="81" t="s">
        <v>436</v>
      </c>
      <c r="H92" s="81"/>
      <c r="I92" s="81"/>
      <c r="J92" s="81"/>
      <c r="K92" s="81"/>
      <c r="L92" s="81"/>
      <c r="M92" s="82" t="s">
        <v>52</v>
      </c>
      <c r="N92" s="82"/>
      <c r="O92" s="82"/>
      <c r="P92" s="82"/>
      <c r="Q92" s="82" t="s">
        <v>434</v>
      </c>
      <c r="R92" s="111"/>
      <c r="S92" s="82"/>
      <c r="T92" s="81" t="s">
        <v>144</v>
      </c>
      <c r="U92" s="81" t="s">
        <v>144</v>
      </c>
    </row>
    <row r="93" spans="1:21" ht="30" x14ac:dyDescent="0.25">
      <c r="A93" s="81"/>
      <c r="B93" s="81" t="s">
        <v>8</v>
      </c>
      <c r="C93" s="81" t="s">
        <v>144</v>
      </c>
      <c r="D93" s="81" t="s">
        <v>143</v>
      </c>
      <c r="E93" s="81" t="s">
        <v>437</v>
      </c>
      <c r="F93" s="81" t="s">
        <v>148</v>
      </c>
      <c r="G93" s="81" t="s">
        <v>438</v>
      </c>
      <c r="H93" s="81"/>
      <c r="I93" s="81"/>
      <c r="J93" s="81"/>
      <c r="K93" s="81"/>
      <c r="L93" s="81"/>
      <c r="M93" s="82" t="s">
        <v>52</v>
      </c>
      <c r="N93" s="82"/>
      <c r="O93" s="82"/>
      <c r="P93" s="82"/>
      <c r="Q93" s="82" t="s">
        <v>434</v>
      </c>
      <c r="R93" s="111"/>
      <c r="S93" s="82"/>
      <c r="T93" s="81" t="s">
        <v>144</v>
      </c>
      <c r="U93" s="81" t="s">
        <v>144</v>
      </c>
    </row>
    <row r="94" spans="1:21" ht="30" x14ac:dyDescent="0.25">
      <c r="A94" s="81"/>
      <c r="B94" s="81" t="s">
        <v>8</v>
      </c>
      <c r="C94" s="81" t="s">
        <v>144</v>
      </c>
      <c r="D94" s="81" t="s">
        <v>143</v>
      </c>
      <c r="E94" s="81" t="s">
        <v>439</v>
      </c>
      <c r="F94" s="81" t="s">
        <v>148</v>
      </c>
      <c r="G94" s="81" t="s">
        <v>440</v>
      </c>
      <c r="H94" s="81"/>
      <c r="I94" s="81"/>
      <c r="J94" s="81"/>
      <c r="K94" s="81"/>
      <c r="L94" s="81"/>
      <c r="M94" s="82" t="s">
        <v>52</v>
      </c>
      <c r="N94" s="82"/>
      <c r="O94" s="82"/>
      <c r="P94" s="82"/>
      <c r="Q94" s="82"/>
      <c r="R94" s="111"/>
      <c r="S94" s="82"/>
      <c r="T94" s="81" t="s">
        <v>144</v>
      </c>
      <c r="U94" s="81" t="s">
        <v>144</v>
      </c>
    </row>
    <row r="95" spans="1:21" ht="60" x14ac:dyDescent="0.25">
      <c r="A95" s="81"/>
      <c r="B95" s="81" t="s">
        <v>8</v>
      </c>
      <c r="C95" s="81" t="s">
        <v>144</v>
      </c>
      <c r="D95" s="81" t="s">
        <v>143</v>
      </c>
      <c r="E95" s="81" t="s">
        <v>441</v>
      </c>
      <c r="F95" s="81" t="s">
        <v>161</v>
      </c>
      <c r="G95" s="81" t="s">
        <v>442</v>
      </c>
      <c r="H95" s="81"/>
      <c r="I95" s="81"/>
      <c r="J95" s="81"/>
      <c r="K95" s="81"/>
      <c r="L95" s="81"/>
      <c r="M95" s="82" t="s">
        <v>52</v>
      </c>
      <c r="N95" s="82"/>
      <c r="O95" s="82"/>
      <c r="P95" s="82"/>
      <c r="Q95" s="82" t="s">
        <v>443</v>
      </c>
      <c r="R95" s="111">
        <v>45701</v>
      </c>
      <c r="S95" s="82" t="s">
        <v>227</v>
      </c>
      <c r="T95" s="81" t="s">
        <v>144</v>
      </c>
      <c r="U95" s="81" t="s">
        <v>144</v>
      </c>
    </row>
    <row r="96" spans="1:21" ht="90" x14ac:dyDescent="0.25">
      <c r="A96" s="81"/>
      <c r="B96" s="81" t="s">
        <v>8</v>
      </c>
      <c r="C96" s="81" t="s">
        <v>144</v>
      </c>
      <c r="D96" s="81" t="s">
        <v>143</v>
      </c>
      <c r="E96" s="81" t="s">
        <v>444</v>
      </c>
      <c r="F96" s="81" t="s">
        <v>162</v>
      </c>
      <c r="G96" s="81" t="s">
        <v>445</v>
      </c>
      <c r="H96" s="81"/>
      <c r="I96" s="81"/>
      <c r="J96" s="81"/>
      <c r="K96" s="81"/>
      <c r="L96" s="81"/>
      <c r="M96" s="82" t="s">
        <v>52</v>
      </c>
      <c r="N96" s="82"/>
      <c r="O96" s="82"/>
      <c r="P96" s="82"/>
      <c r="Q96" s="82" t="s">
        <v>446</v>
      </c>
      <c r="R96" s="111">
        <v>45811</v>
      </c>
      <c r="S96" s="82" t="s">
        <v>447</v>
      </c>
      <c r="T96" s="81" t="s">
        <v>144</v>
      </c>
      <c r="U96" s="81" t="s">
        <v>144</v>
      </c>
    </row>
    <row r="97" spans="1:21" ht="30" x14ac:dyDescent="0.25">
      <c r="A97" s="81"/>
      <c r="B97" s="81" t="s">
        <v>8</v>
      </c>
      <c r="C97" s="81" t="s">
        <v>144</v>
      </c>
      <c r="D97" s="81" t="s">
        <v>143</v>
      </c>
      <c r="E97" s="81" t="s">
        <v>448</v>
      </c>
      <c r="F97" s="81" t="s">
        <v>262</v>
      </c>
      <c r="G97" s="81" t="s">
        <v>449</v>
      </c>
      <c r="H97" s="81"/>
      <c r="I97" s="81"/>
      <c r="J97" s="81"/>
      <c r="K97" s="81"/>
      <c r="L97" s="81"/>
      <c r="M97" s="82" t="s">
        <v>52</v>
      </c>
      <c r="N97" s="82"/>
      <c r="O97" s="82"/>
      <c r="P97" s="82"/>
      <c r="Q97" s="82"/>
      <c r="R97" s="111"/>
      <c r="S97" s="82"/>
      <c r="T97" s="81" t="s">
        <v>144</v>
      </c>
      <c r="U97" s="81" t="s">
        <v>144</v>
      </c>
    </row>
    <row r="98" spans="1:21" ht="30" x14ac:dyDescent="0.25">
      <c r="A98" s="81"/>
      <c r="B98" s="81" t="s">
        <v>8</v>
      </c>
      <c r="C98" s="81" t="s">
        <v>144</v>
      </c>
      <c r="D98" s="81" t="s">
        <v>143</v>
      </c>
      <c r="E98" s="81" t="s">
        <v>450</v>
      </c>
      <c r="F98" s="81" t="s">
        <v>262</v>
      </c>
      <c r="G98" s="81" t="s">
        <v>451</v>
      </c>
      <c r="H98" s="81"/>
      <c r="I98" s="81"/>
      <c r="J98" s="81"/>
      <c r="K98" s="81"/>
      <c r="L98" s="81"/>
      <c r="M98" s="82" t="s">
        <v>52</v>
      </c>
      <c r="N98" s="82"/>
      <c r="O98" s="82"/>
      <c r="P98" s="82"/>
      <c r="Q98" s="82"/>
      <c r="R98" s="111"/>
      <c r="S98" s="82"/>
      <c r="T98" s="81" t="s">
        <v>144</v>
      </c>
      <c r="U98" s="81" t="s">
        <v>144</v>
      </c>
    </row>
    <row r="99" spans="1:21" ht="30" x14ac:dyDescent="0.25">
      <c r="A99" s="81"/>
      <c r="B99" s="81" t="s">
        <v>8</v>
      </c>
      <c r="C99" s="81" t="s">
        <v>144</v>
      </c>
      <c r="D99" s="81" t="s">
        <v>143</v>
      </c>
      <c r="E99" s="81" t="s">
        <v>452</v>
      </c>
      <c r="F99" s="81" t="s">
        <v>166</v>
      </c>
      <c r="G99" s="81" t="s">
        <v>453</v>
      </c>
      <c r="H99" s="81"/>
      <c r="I99" s="81"/>
      <c r="J99" s="81"/>
      <c r="K99" s="81"/>
      <c r="L99" s="81"/>
      <c r="M99" s="82" t="s">
        <v>52</v>
      </c>
      <c r="N99" s="82"/>
      <c r="O99" s="82"/>
      <c r="P99" s="82"/>
      <c r="Q99" s="82" t="s">
        <v>454</v>
      </c>
      <c r="R99" s="111">
        <v>45694</v>
      </c>
      <c r="S99" s="82" t="s">
        <v>9</v>
      </c>
      <c r="T99" s="81" t="s">
        <v>144</v>
      </c>
      <c r="U99" s="81" t="s">
        <v>144</v>
      </c>
    </row>
    <row r="100" spans="1:21" ht="30" x14ac:dyDescent="0.25">
      <c r="A100" s="81"/>
      <c r="B100" s="81" t="s">
        <v>8</v>
      </c>
      <c r="C100" s="81" t="s">
        <v>144</v>
      </c>
      <c r="D100" s="81" t="s">
        <v>143</v>
      </c>
      <c r="E100" s="81" t="s">
        <v>455</v>
      </c>
      <c r="F100" s="81" t="s">
        <v>161</v>
      </c>
      <c r="G100" s="81" t="s">
        <v>456</v>
      </c>
      <c r="H100" s="81"/>
      <c r="I100" s="81"/>
      <c r="J100" s="81"/>
      <c r="K100" s="81"/>
      <c r="L100" s="81"/>
      <c r="M100" s="82" t="s">
        <v>52</v>
      </c>
      <c r="N100" s="82"/>
      <c r="O100" s="82"/>
      <c r="P100" s="82"/>
      <c r="Q100" s="82" t="s">
        <v>457</v>
      </c>
      <c r="R100" s="111">
        <v>45691</v>
      </c>
      <c r="S100" s="82" t="s">
        <v>11</v>
      </c>
      <c r="T100" s="81" t="s">
        <v>144</v>
      </c>
      <c r="U100" s="81" t="s">
        <v>144</v>
      </c>
    </row>
    <row r="101" spans="1:21" ht="45" x14ac:dyDescent="0.25">
      <c r="A101" s="81"/>
      <c r="B101" s="81" t="s">
        <v>8</v>
      </c>
      <c r="C101" s="81" t="s">
        <v>144</v>
      </c>
      <c r="D101" s="81" t="s">
        <v>143</v>
      </c>
      <c r="E101" s="81" t="s">
        <v>458</v>
      </c>
      <c r="F101" s="81" t="s">
        <v>166</v>
      </c>
      <c r="G101" s="81" t="s">
        <v>459</v>
      </c>
      <c r="H101" s="81"/>
      <c r="I101" s="81"/>
      <c r="J101" s="81"/>
      <c r="K101" s="81"/>
      <c r="L101" s="81"/>
      <c r="M101" s="82" t="s">
        <v>52</v>
      </c>
      <c r="N101" s="82"/>
      <c r="O101" s="82"/>
      <c r="P101" s="82"/>
      <c r="Q101" s="82" t="s">
        <v>460</v>
      </c>
      <c r="R101" s="111">
        <v>45692</v>
      </c>
      <c r="S101" s="82" t="s">
        <v>461</v>
      </c>
      <c r="T101" s="81" t="s">
        <v>144</v>
      </c>
      <c r="U101" s="81" t="s">
        <v>144</v>
      </c>
    </row>
    <row r="102" spans="1:21" ht="45" x14ac:dyDescent="0.25">
      <c r="A102" s="81"/>
      <c r="B102" s="81" t="s">
        <v>8</v>
      </c>
      <c r="C102" s="81" t="s">
        <v>144</v>
      </c>
      <c r="D102" s="81" t="s">
        <v>143</v>
      </c>
      <c r="E102" s="81" t="s">
        <v>462</v>
      </c>
      <c r="F102" s="81" t="s">
        <v>166</v>
      </c>
      <c r="G102" s="81" t="s">
        <v>463</v>
      </c>
      <c r="H102" s="81"/>
      <c r="I102" s="81"/>
      <c r="J102" s="81"/>
      <c r="K102" s="81"/>
      <c r="L102" s="81"/>
      <c r="M102" s="82" t="s">
        <v>52</v>
      </c>
      <c r="N102" s="82"/>
      <c r="O102" s="82"/>
      <c r="P102" s="82"/>
      <c r="Q102" s="82" t="s">
        <v>464</v>
      </c>
      <c r="R102" s="111">
        <v>45692</v>
      </c>
      <c r="S102" s="82" t="s">
        <v>461</v>
      </c>
      <c r="T102" s="81" t="s">
        <v>144</v>
      </c>
      <c r="U102" s="81" t="s">
        <v>144</v>
      </c>
    </row>
    <row r="103" spans="1:21" ht="30" x14ac:dyDescent="0.25">
      <c r="A103" s="81"/>
      <c r="B103" s="81" t="s">
        <v>8</v>
      </c>
      <c r="C103" s="81" t="s">
        <v>144</v>
      </c>
      <c r="D103" s="81" t="s">
        <v>143</v>
      </c>
      <c r="E103" s="81" t="s">
        <v>465</v>
      </c>
      <c r="F103" s="81" t="s">
        <v>163</v>
      </c>
      <c r="G103" s="81" t="s">
        <v>466</v>
      </c>
      <c r="H103" s="81"/>
      <c r="I103" s="81"/>
      <c r="J103" s="81"/>
      <c r="K103" s="81"/>
      <c r="L103" s="81"/>
      <c r="M103" s="82" t="s">
        <v>52</v>
      </c>
      <c r="N103" s="82"/>
      <c r="O103" s="82"/>
      <c r="P103" s="82"/>
      <c r="Q103" s="82" t="s">
        <v>467</v>
      </c>
      <c r="R103" s="111">
        <v>45692</v>
      </c>
      <c r="S103" s="82" t="s">
        <v>461</v>
      </c>
      <c r="T103" s="81" t="s">
        <v>144</v>
      </c>
      <c r="U103" s="81" t="s">
        <v>144</v>
      </c>
    </row>
    <row r="104" spans="1:21" ht="30" x14ac:dyDescent="0.25">
      <c r="A104" s="81"/>
      <c r="B104" s="81" t="s">
        <v>8</v>
      </c>
      <c r="C104" s="81" t="s">
        <v>144</v>
      </c>
      <c r="D104" s="81" t="s">
        <v>143</v>
      </c>
      <c r="E104" s="81" t="s">
        <v>468</v>
      </c>
      <c r="F104" s="81" t="s">
        <v>161</v>
      </c>
      <c r="G104" s="81" t="s">
        <v>469</v>
      </c>
      <c r="H104" s="81"/>
      <c r="I104" s="81"/>
      <c r="J104" s="81"/>
      <c r="K104" s="81"/>
      <c r="L104" s="81"/>
      <c r="M104" s="82" t="s">
        <v>52</v>
      </c>
      <c r="N104" s="82"/>
      <c r="O104" s="82"/>
      <c r="P104" s="82"/>
      <c r="Q104" s="82" t="s">
        <v>470</v>
      </c>
      <c r="R104" s="111">
        <v>45686</v>
      </c>
      <c r="S104" s="82" t="s">
        <v>11</v>
      </c>
      <c r="T104" s="81" t="s">
        <v>144</v>
      </c>
      <c r="U104" s="81" t="s">
        <v>144</v>
      </c>
    </row>
    <row r="105" spans="1:21" ht="75" x14ac:dyDescent="0.25">
      <c r="A105" s="81"/>
      <c r="B105" s="81" t="s">
        <v>8</v>
      </c>
      <c r="C105" s="81" t="s">
        <v>144</v>
      </c>
      <c r="D105" s="81" t="s">
        <v>143</v>
      </c>
      <c r="E105" s="81" t="s">
        <v>471</v>
      </c>
      <c r="F105" s="81" t="s">
        <v>166</v>
      </c>
      <c r="G105" s="81" t="s">
        <v>472</v>
      </c>
      <c r="H105" s="81"/>
      <c r="I105" s="81"/>
      <c r="J105" s="81"/>
      <c r="K105" s="81"/>
      <c r="L105" s="81"/>
      <c r="M105" s="82" t="s">
        <v>52</v>
      </c>
      <c r="N105" s="82"/>
      <c r="O105" s="82"/>
      <c r="P105" s="82"/>
      <c r="Q105" s="82" t="s">
        <v>473</v>
      </c>
      <c r="R105" s="111">
        <v>45693</v>
      </c>
      <c r="S105" s="82" t="s">
        <v>11</v>
      </c>
      <c r="T105" s="81" t="s">
        <v>144</v>
      </c>
      <c r="U105" s="81" t="s">
        <v>144</v>
      </c>
    </row>
    <row r="106" spans="1:21" ht="30" x14ac:dyDescent="0.25">
      <c r="A106" s="81"/>
      <c r="B106" s="81" t="s">
        <v>8</v>
      </c>
      <c r="C106" s="81" t="s">
        <v>144</v>
      </c>
      <c r="D106" s="81" t="s">
        <v>143</v>
      </c>
      <c r="E106" s="81" t="s">
        <v>474</v>
      </c>
      <c r="F106" s="81" t="s">
        <v>166</v>
      </c>
      <c r="G106" s="81" t="s">
        <v>475</v>
      </c>
      <c r="H106" s="81"/>
      <c r="I106" s="81"/>
      <c r="J106" s="81"/>
      <c r="K106" s="81"/>
      <c r="L106" s="81"/>
      <c r="M106" s="82" t="s">
        <v>52</v>
      </c>
      <c r="N106" s="82"/>
      <c r="O106" s="82"/>
      <c r="P106" s="82"/>
      <c r="Q106" s="82" t="s">
        <v>427</v>
      </c>
      <c r="R106" s="111">
        <v>45687</v>
      </c>
      <c r="S106" s="82" t="s">
        <v>9</v>
      </c>
      <c r="T106" s="81" t="s">
        <v>144</v>
      </c>
      <c r="U106" s="81" t="s">
        <v>144</v>
      </c>
    </row>
    <row r="107" spans="1:21" ht="45" x14ac:dyDescent="0.25">
      <c r="A107" s="81"/>
      <c r="B107" s="81" t="s">
        <v>8</v>
      </c>
      <c r="C107" s="81" t="s">
        <v>144</v>
      </c>
      <c r="D107" s="81" t="s">
        <v>143</v>
      </c>
      <c r="E107" s="81" t="s">
        <v>476</v>
      </c>
      <c r="F107" s="81" t="s">
        <v>161</v>
      </c>
      <c r="G107" s="81" t="s">
        <v>477</v>
      </c>
      <c r="H107" s="81"/>
      <c r="I107" s="81"/>
      <c r="J107" s="81"/>
      <c r="K107" s="81"/>
      <c r="L107" s="81"/>
      <c r="M107" s="82" t="s">
        <v>52</v>
      </c>
      <c r="N107" s="82"/>
      <c r="O107" s="82"/>
      <c r="P107" s="82"/>
      <c r="Q107" s="82" t="s">
        <v>478</v>
      </c>
      <c r="R107" s="111">
        <v>45687</v>
      </c>
      <c r="S107" s="82" t="s">
        <v>11</v>
      </c>
      <c r="T107" s="81" t="s">
        <v>144</v>
      </c>
      <c r="U107" s="81" t="s">
        <v>144</v>
      </c>
    </row>
    <row r="108" spans="1:21" ht="30" x14ac:dyDescent="0.25">
      <c r="A108" s="81"/>
      <c r="B108" s="81" t="s">
        <v>8</v>
      </c>
      <c r="C108" s="81" t="s">
        <v>144</v>
      </c>
      <c r="D108" s="81" t="s">
        <v>143</v>
      </c>
      <c r="E108" s="81" t="s">
        <v>479</v>
      </c>
      <c r="F108" s="81" t="s">
        <v>163</v>
      </c>
      <c r="G108" s="81" t="s">
        <v>480</v>
      </c>
      <c r="H108" s="81"/>
      <c r="I108" s="81"/>
      <c r="J108" s="81"/>
      <c r="K108" s="81"/>
      <c r="L108" s="81"/>
      <c r="M108" s="82" t="s">
        <v>52</v>
      </c>
      <c r="N108" s="82"/>
      <c r="O108" s="82"/>
      <c r="P108" s="82"/>
      <c r="Q108" s="82" t="s">
        <v>481</v>
      </c>
      <c r="R108" s="111">
        <v>45687</v>
      </c>
      <c r="S108" s="82" t="s">
        <v>11</v>
      </c>
      <c r="T108" s="81" t="s">
        <v>144</v>
      </c>
      <c r="U108" s="81" t="s">
        <v>144</v>
      </c>
    </row>
    <row r="109" spans="1:21" x14ac:dyDescent="0.25">
      <c r="A109" s="81"/>
      <c r="B109" s="81" t="s">
        <v>8</v>
      </c>
      <c r="C109" s="81" t="s">
        <v>144</v>
      </c>
      <c r="D109" s="81" t="s">
        <v>143</v>
      </c>
      <c r="E109" s="81" t="s">
        <v>482</v>
      </c>
      <c r="F109" s="81" t="s">
        <v>148</v>
      </c>
      <c r="G109" s="81" t="s">
        <v>483</v>
      </c>
      <c r="H109" s="81"/>
      <c r="I109" s="81"/>
      <c r="J109" s="81"/>
      <c r="K109" s="81"/>
      <c r="L109" s="81"/>
      <c r="M109" s="82" t="s">
        <v>52</v>
      </c>
      <c r="N109" s="82"/>
      <c r="O109" s="82"/>
      <c r="P109" s="82"/>
      <c r="Q109" s="82" t="s">
        <v>484</v>
      </c>
      <c r="R109" s="111">
        <v>45686</v>
      </c>
      <c r="S109" s="82" t="s">
        <v>38</v>
      </c>
      <c r="T109" s="81" t="s">
        <v>144</v>
      </c>
      <c r="U109" s="81" t="s">
        <v>144</v>
      </c>
    </row>
    <row r="110" spans="1:21" ht="30" x14ac:dyDescent="0.25">
      <c r="A110" s="81"/>
      <c r="B110" s="81" t="s">
        <v>8</v>
      </c>
      <c r="C110" s="81" t="s">
        <v>144</v>
      </c>
      <c r="D110" s="81" t="s">
        <v>143</v>
      </c>
      <c r="E110" s="81" t="s">
        <v>485</v>
      </c>
      <c r="F110" s="81" t="s">
        <v>148</v>
      </c>
      <c r="G110" s="81" t="s">
        <v>486</v>
      </c>
      <c r="H110" s="81"/>
      <c r="I110" s="81"/>
      <c r="J110" s="81"/>
      <c r="K110" s="81"/>
      <c r="L110" s="81"/>
      <c r="M110" s="82" t="s">
        <v>52</v>
      </c>
      <c r="N110" s="82"/>
      <c r="O110" s="82"/>
      <c r="P110" s="82"/>
      <c r="Q110" s="82" t="s">
        <v>487</v>
      </c>
      <c r="R110" s="111">
        <v>45685</v>
      </c>
      <c r="S110" s="82" t="s">
        <v>20</v>
      </c>
      <c r="T110" s="81" t="s">
        <v>144</v>
      </c>
      <c r="U110" s="81" t="s">
        <v>144</v>
      </c>
    </row>
    <row r="111" spans="1:21" ht="30" x14ac:dyDescent="0.25">
      <c r="A111" s="81"/>
      <c r="B111" s="81" t="s">
        <v>8</v>
      </c>
      <c r="C111" s="81" t="s">
        <v>144</v>
      </c>
      <c r="D111" s="81" t="s">
        <v>143</v>
      </c>
      <c r="E111" s="81" t="s">
        <v>488</v>
      </c>
      <c r="F111" s="81" t="s">
        <v>161</v>
      </c>
      <c r="G111" s="81" t="s">
        <v>489</v>
      </c>
      <c r="H111" s="81"/>
      <c r="I111" s="81"/>
      <c r="J111" s="81"/>
      <c r="K111" s="81"/>
      <c r="L111" s="81"/>
      <c r="M111" s="82" t="s">
        <v>52</v>
      </c>
      <c r="N111" s="82"/>
      <c r="O111" s="82"/>
      <c r="P111" s="82"/>
      <c r="Q111" s="82" t="s">
        <v>490</v>
      </c>
      <c r="R111" s="111"/>
      <c r="S111" s="82" t="s">
        <v>38</v>
      </c>
      <c r="T111" s="81" t="s">
        <v>144</v>
      </c>
      <c r="U111" s="81" t="s">
        <v>144</v>
      </c>
    </row>
    <row r="112" spans="1:21" x14ac:dyDescent="0.25">
      <c r="A112" s="81"/>
      <c r="B112" s="81" t="s">
        <v>8</v>
      </c>
      <c r="C112" s="81" t="s">
        <v>144</v>
      </c>
      <c r="D112" s="81" t="s">
        <v>143</v>
      </c>
      <c r="E112" s="81" t="s">
        <v>491</v>
      </c>
      <c r="F112" s="81" t="s">
        <v>148</v>
      </c>
      <c r="G112" s="81" t="s">
        <v>492</v>
      </c>
      <c r="H112" s="81"/>
      <c r="I112" s="81"/>
      <c r="J112" s="81"/>
      <c r="K112" s="81"/>
      <c r="L112" s="81"/>
      <c r="M112" s="82" t="s">
        <v>52</v>
      </c>
      <c r="N112" s="82"/>
      <c r="O112" s="82"/>
      <c r="P112" s="82"/>
      <c r="Q112" s="82" t="s">
        <v>493</v>
      </c>
      <c r="R112" s="111">
        <v>45684</v>
      </c>
      <c r="S112" s="82" t="s">
        <v>238</v>
      </c>
      <c r="T112" s="81" t="s">
        <v>144</v>
      </c>
      <c r="U112" s="81" t="s">
        <v>144</v>
      </c>
    </row>
    <row r="113" spans="1:21" ht="45" x14ac:dyDescent="0.25">
      <c r="A113" s="81"/>
      <c r="B113" s="81" t="s">
        <v>8</v>
      </c>
      <c r="C113" s="81" t="s">
        <v>144</v>
      </c>
      <c r="D113" s="81" t="s">
        <v>143</v>
      </c>
      <c r="E113" s="81" t="s">
        <v>494</v>
      </c>
      <c r="F113" s="81" t="s">
        <v>166</v>
      </c>
      <c r="G113" s="81" t="s">
        <v>495</v>
      </c>
      <c r="H113" s="81"/>
      <c r="I113" s="81"/>
      <c r="J113" s="81"/>
      <c r="K113" s="81"/>
      <c r="L113" s="81"/>
      <c r="M113" s="82" t="s">
        <v>52</v>
      </c>
      <c r="N113" s="82"/>
      <c r="O113" s="82"/>
      <c r="P113" s="82"/>
      <c r="Q113" s="82" t="s">
        <v>496</v>
      </c>
      <c r="R113" s="111"/>
      <c r="S113" s="82"/>
      <c r="T113" s="81" t="s">
        <v>144</v>
      </c>
      <c r="U113" s="81" t="s">
        <v>144</v>
      </c>
    </row>
    <row r="114" spans="1:21" ht="30" x14ac:dyDescent="0.25">
      <c r="A114" s="81"/>
      <c r="B114" s="81" t="s">
        <v>8</v>
      </c>
      <c r="C114" s="81" t="s">
        <v>144</v>
      </c>
      <c r="D114" s="81" t="s">
        <v>143</v>
      </c>
      <c r="E114" s="81" t="s">
        <v>497</v>
      </c>
      <c r="F114" s="81" t="s">
        <v>161</v>
      </c>
      <c r="G114" s="81" t="s">
        <v>498</v>
      </c>
      <c r="H114" s="81"/>
      <c r="I114" s="81"/>
      <c r="J114" s="81"/>
      <c r="K114" s="81"/>
      <c r="L114" s="81"/>
      <c r="M114" s="82" t="s">
        <v>52</v>
      </c>
      <c r="N114" s="82"/>
      <c r="O114" s="82"/>
      <c r="P114" s="82"/>
      <c r="Q114" s="82" t="s">
        <v>499</v>
      </c>
      <c r="R114" s="111">
        <v>45678</v>
      </c>
      <c r="S114" s="82" t="s">
        <v>238</v>
      </c>
      <c r="T114" s="81" t="s">
        <v>144</v>
      </c>
      <c r="U114" s="81" t="s">
        <v>144</v>
      </c>
    </row>
    <row r="115" spans="1:21" ht="30" x14ac:dyDescent="0.25">
      <c r="A115" s="81"/>
      <c r="B115" s="81" t="s">
        <v>8</v>
      </c>
      <c r="C115" s="81" t="s">
        <v>144</v>
      </c>
      <c r="D115" s="81" t="s">
        <v>143</v>
      </c>
      <c r="E115" s="81" t="s">
        <v>500</v>
      </c>
      <c r="F115" s="81" t="s">
        <v>161</v>
      </c>
      <c r="G115" s="81" t="s">
        <v>501</v>
      </c>
      <c r="H115" s="81"/>
      <c r="I115" s="81"/>
      <c r="J115" s="81"/>
      <c r="K115" s="81"/>
      <c r="L115" s="81"/>
      <c r="M115" s="82" t="s">
        <v>52</v>
      </c>
      <c r="N115" s="82"/>
      <c r="O115" s="82"/>
      <c r="P115" s="82"/>
      <c r="Q115" s="82" t="s">
        <v>502</v>
      </c>
      <c r="R115" s="111">
        <v>45678</v>
      </c>
      <c r="S115" s="82" t="s">
        <v>238</v>
      </c>
      <c r="T115" s="81" t="s">
        <v>144</v>
      </c>
      <c r="U115" s="81" t="s">
        <v>144</v>
      </c>
    </row>
    <row r="116" spans="1:21" ht="30" x14ac:dyDescent="0.25">
      <c r="A116" s="81"/>
      <c r="B116" s="81" t="s">
        <v>8</v>
      </c>
      <c r="C116" s="81" t="s">
        <v>144</v>
      </c>
      <c r="D116" s="81" t="s">
        <v>143</v>
      </c>
      <c r="E116" s="81" t="s">
        <v>503</v>
      </c>
      <c r="F116" s="81" t="s">
        <v>161</v>
      </c>
      <c r="G116" s="81" t="s">
        <v>504</v>
      </c>
      <c r="H116" s="81"/>
      <c r="I116" s="81"/>
      <c r="J116" s="81"/>
      <c r="K116" s="81"/>
      <c r="L116" s="81"/>
      <c r="M116" s="82" t="s">
        <v>52</v>
      </c>
      <c r="N116" s="82"/>
      <c r="O116" s="82"/>
      <c r="P116" s="82"/>
      <c r="Q116" s="82" t="s">
        <v>505</v>
      </c>
      <c r="R116" s="111">
        <v>45677</v>
      </c>
      <c r="S116" s="82" t="s">
        <v>20</v>
      </c>
      <c r="T116" s="81" t="s">
        <v>144</v>
      </c>
      <c r="U116" s="81" t="s">
        <v>144</v>
      </c>
    </row>
    <row r="117" spans="1:21" ht="30" x14ac:dyDescent="0.25">
      <c r="A117" s="81"/>
      <c r="B117" s="81" t="s">
        <v>8</v>
      </c>
      <c r="C117" s="81" t="s">
        <v>144</v>
      </c>
      <c r="D117" s="81" t="s">
        <v>143</v>
      </c>
      <c r="E117" s="81" t="s">
        <v>506</v>
      </c>
      <c r="F117" s="81" t="s">
        <v>161</v>
      </c>
      <c r="G117" s="81" t="s">
        <v>507</v>
      </c>
      <c r="H117" s="81"/>
      <c r="I117" s="81"/>
      <c r="J117" s="81"/>
      <c r="K117" s="81"/>
      <c r="L117" s="81"/>
      <c r="M117" s="82" t="s">
        <v>52</v>
      </c>
      <c r="N117" s="82"/>
      <c r="O117" s="82"/>
      <c r="P117" s="82"/>
      <c r="Q117" s="82" t="s">
        <v>420</v>
      </c>
      <c r="R117" s="111">
        <v>45677</v>
      </c>
      <c r="S117" s="82" t="s">
        <v>20</v>
      </c>
      <c r="T117" s="81" t="s">
        <v>144</v>
      </c>
      <c r="U117" s="81" t="s">
        <v>144</v>
      </c>
    </row>
    <row r="118" spans="1:21" ht="30" x14ac:dyDescent="0.25">
      <c r="A118" s="81"/>
      <c r="B118" s="81" t="s">
        <v>8</v>
      </c>
      <c r="C118" s="81" t="s">
        <v>144</v>
      </c>
      <c r="D118" s="81" t="s">
        <v>143</v>
      </c>
      <c r="E118" s="81" t="s">
        <v>508</v>
      </c>
      <c r="F118" s="81" t="s">
        <v>162</v>
      </c>
      <c r="G118" s="81" t="s">
        <v>509</v>
      </c>
      <c r="H118" s="81"/>
      <c r="I118" s="81"/>
      <c r="J118" s="81"/>
      <c r="K118" s="81"/>
      <c r="L118" s="81"/>
      <c r="M118" s="82" t="s">
        <v>52</v>
      </c>
      <c r="N118" s="82"/>
      <c r="O118" s="82"/>
      <c r="P118" s="82"/>
      <c r="Q118" s="82" t="s">
        <v>510</v>
      </c>
      <c r="R118" s="111">
        <v>45677</v>
      </c>
      <c r="S118" s="82" t="s">
        <v>9</v>
      </c>
      <c r="T118" s="81" t="s">
        <v>144</v>
      </c>
      <c r="U118" s="81" t="s">
        <v>144</v>
      </c>
    </row>
    <row r="119" spans="1:21" ht="30" x14ac:dyDescent="0.25">
      <c r="A119" s="81"/>
      <c r="B119" s="81" t="s">
        <v>8</v>
      </c>
      <c r="C119" s="81" t="s">
        <v>144</v>
      </c>
      <c r="D119" s="81" t="s">
        <v>143</v>
      </c>
      <c r="E119" s="81" t="s">
        <v>511</v>
      </c>
      <c r="F119" s="81" t="s">
        <v>148</v>
      </c>
      <c r="G119" s="81" t="s">
        <v>512</v>
      </c>
      <c r="H119" s="81"/>
      <c r="I119" s="81"/>
      <c r="J119" s="81"/>
      <c r="K119" s="81"/>
      <c r="L119" s="81"/>
      <c r="M119" s="82" t="s">
        <v>52</v>
      </c>
      <c r="N119" s="82"/>
      <c r="O119" s="82"/>
      <c r="P119" s="82"/>
      <c r="Q119" s="82" t="s">
        <v>513</v>
      </c>
      <c r="R119" s="111">
        <v>45656</v>
      </c>
      <c r="S119" s="82" t="s">
        <v>20</v>
      </c>
      <c r="T119" s="81" t="s">
        <v>144</v>
      </c>
      <c r="U119" s="81" t="s">
        <v>144</v>
      </c>
    </row>
    <row r="120" spans="1:21" ht="30" x14ac:dyDescent="0.25">
      <c r="A120" s="81"/>
      <c r="B120" s="81" t="s">
        <v>8</v>
      </c>
      <c r="C120" s="81" t="s">
        <v>144</v>
      </c>
      <c r="D120" s="81" t="s">
        <v>143</v>
      </c>
      <c r="E120" s="81" t="s">
        <v>514</v>
      </c>
      <c r="F120" s="81" t="s">
        <v>166</v>
      </c>
      <c r="G120" s="81" t="s">
        <v>515</v>
      </c>
      <c r="H120" s="81"/>
      <c r="I120" s="81"/>
      <c r="J120" s="81"/>
      <c r="K120" s="81"/>
      <c r="L120" s="81"/>
      <c r="M120" s="82" t="s">
        <v>52</v>
      </c>
      <c r="N120" s="82"/>
      <c r="O120" s="82"/>
      <c r="P120" s="82"/>
      <c r="Q120" s="82" t="s">
        <v>516</v>
      </c>
      <c r="R120" s="111">
        <v>45672</v>
      </c>
      <c r="S120" s="82" t="s">
        <v>517</v>
      </c>
      <c r="T120" s="81" t="s">
        <v>144</v>
      </c>
      <c r="U120" s="81" t="s">
        <v>144</v>
      </c>
    </row>
    <row r="121" spans="1:21" ht="45" x14ac:dyDescent="0.25">
      <c r="A121" s="81"/>
      <c r="B121" s="81" t="s">
        <v>8</v>
      </c>
      <c r="C121" s="81" t="s">
        <v>144</v>
      </c>
      <c r="D121" s="81" t="s">
        <v>143</v>
      </c>
      <c r="E121" s="81" t="s">
        <v>518</v>
      </c>
      <c r="F121" s="81" t="s">
        <v>148</v>
      </c>
      <c r="G121" s="81" t="s">
        <v>519</v>
      </c>
      <c r="H121" s="81"/>
      <c r="I121" s="81"/>
      <c r="J121" s="81"/>
      <c r="K121" s="81"/>
      <c r="L121" s="81"/>
      <c r="M121" s="82" t="s">
        <v>52</v>
      </c>
      <c r="N121" s="82"/>
      <c r="O121" s="82"/>
      <c r="P121" s="82"/>
      <c r="Q121" s="82" t="s">
        <v>520</v>
      </c>
      <c r="R121" s="111">
        <v>45672</v>
      </c>
      <c r="S121" s="82" t="s">
        <v>521</v>
      </c>
      <c r="T121" s="81" t="s">
        <v>144</v>
      </c>
      <c r="U121" s="81" t="s">
        <v>144</v>
      </c>
    </row>
    <row r="122" spans="1:21" ht="30" x14ac:dyDescent="0.25">
      <c r="A122" s="81"/>
      <c r="B122" s="81" t="s">
        <v>8</v>
      </c>
      <c r="C122" s="81" t="s">
        <v>144</v>
      </c>
      <c r="D122" s="81" t="s">
        <v>143</v>
      </c>
      <c r="E122" s="81" t="s">
        <v>522</v>
      </c>
      <c r="F122" s="81" t="s">
        <v>148</v>
      </c>
      <c r="G122" s="81" t="s">
        <v>523</v>
      </c>
      <c r="H122" s="81"/>
      <c r="I122" s="81"/>
      <c r="J122" s="81"/>
      <c r="K122" s="81"/>
      <c r="L122" s="81"/>
      <c r="M122" s="82" t="s">
        <v>52</v>
      </c>
      <c r="N122" s="82"/>
      <c r="O122" s="82"/>
      <c r="P122" s="82"/>
      <c r="Q122" s="82" t="s">
        <v>524</v>
      </c>
      <c r="R122" s="111">
        <v>45672</v>
      </c>
      <c r="S122" s="82" t="s">
        <v>521</v>
      </c>
      <c r="T122" s="81" t="s">
        <v>144</v>
      </c>
      <c r="U122" s="81" t="s">
        <v>144</v>
      </c>
    </row>
    <row r="123" spans="1:21" ht="45" x14ac:dyDescent="0.25">
      <c r="A123" s="81"/>
      <c r="B123" s="81" t="s">
        <v>8</v>
      </c>
      <c r="C123" s="81" t="s">
        <v>144</v>
      </c>
      <c r="D123" s="81" t="s">
        <v>143</v>
      </c>
      <c r="E123" s="81" t="s">
        <v>525</v>
      </c>
      <c r="F123" s="81" t="s">
        <v>148</v>
      </c>
      <c r="G123" s="81" t="s">
        <v>526</v>
      </c>
      <c r="H123" s="81"/>
      <c r="I123" s="81"/>
      <c r="J123" s="81"/>
      <c r="K123" s="81"/>
      <c r="L123" s="81"/>
      <c r="M123" s="82" t="s">
        <v>52</v>
      </c>
      <c r="N123" s="82"/>
      <c r="O123" s="82"/>
      <c r="P123" s="82"/>
      <c r="Q123" s="82" t="s">
        <v>527</v>
      </c>
      <c r="R123" s="111">
        <v>45672</v>
      </c>
      <c r="S123" s="82" t="s">
        <v>517</v>
      </c>
      <c r="T123" s="81" t="s">
        <v>144</v>
      </c>
      <c r="U123" s="81" t="s">
        <v>144</v>
      </c>
    </row>
    <row r="124" spans="1:21" ht="30" x14ac:dyDescent="0.25">
      <c r="A124" s="81"/>
      <c r="B124" s="81" t="s">
        <v>8</v>
      </c>
      <c r="C124" s="81" t="s">
        <v>144</v>
      </c>
      <c r="D124" s="81" t="s">
        <v>143</v>
      </c>
      <c r="E124" s="81" t="s">
        <v>528</v>
      </c>
      <c r="F124" s="81" t="s">
        <v>148</v>
      </c>
      <c r="G124" s="81" t="s">
        <v>529</v>
      </c>
      <c r="H124" s="81"/>
      <c r="I124" s="81"/>
      <c r="J124" s="81"/>
      <c r="K124" s="81"/>
      <c r="L124" s="81"/>
      <c r="M124" s="82" t="s">
        <v>52</v>
      </c>
      <c r="N124" s="82"/>
      <c r="O124" s="82"/>
      <c r="P124" s="82"/>
      <c r="Q124" s="82" t="s">
        <v>530</v>
      </c>
      <c r="R124" s="111">
        <v>45671</v>
      </c>
      <c r="S124" s="82" t="s">
        <v>318</v>
      </c>
      <c r="T124" s="81" t="s">
        <v>144</v>
      </c>
      <c r="U124" s="81" t="s">
        <v>3303</v>
      </c>
    </row>
    <row r="125" spans="1:21" x14ac:dyDescent="0.25">
      <c r="A125" s="81"/>
      <c r="B125" s="81" t="s">
        <v>8</v>
      </c>
      <c r="C125" s="81" t="s">
        <v>144</v>
      </c>
      <c r="D125" s="81" t="s">
        <v>143</v>
      </c>
      <c r="E125" s="81" t="s">
        <v>531</v>
      </c>
      <c r="F125" s="81" t="s">
        <v>148</v>
      </c>
      <c r="G125" s="81" t="s">
        <v>532</v>
      </c>
      <c r="H125" s="81"/>
      <c r="I125" s="81"/>
      <c r="J125" s="81"/>
      <c r="K125" s="81"/>
      <c r="L125" s="81"/>
      <c r="M125" s="82" t="s">
        <v>52</v>
      </c>
      <c r="N125" s="82"/>
      <c r="O125" s="82"/>
      <c r="P125" s="82"/>
      <c r="Q125" s="82"/>
      <c r="R125" s="111">
        <v>45656</v>
      </c>
      <c r="S125" s="82" t="s">
        <v>20</v>
      </c>
      <c r="T125" s="81" t="s">
        <v>144</v>
      </c>
      <c r="U125" s="81" t="s">
        <v>144</v>
      </c>
    </row>
    <row r="126" spans="1:21" ht="30" x14ac:dyDescent="0.25">
      <c r="A126" s="81"/>
      <c r="B126" s="81" t="s">
        <v>8</v>
      </c>
      <c r="C126" s="81" t="s">
        <v>144</v>
      </c>
      <c r="D126" s="81" t="s">
        <v>143</v>
      </c>
      <c r="E126" s="81" t="s">
        <v>533</v>
      </c>
      <c r="F126" s="81" t="s">
        <v>166</v>
      </c>
      <c r="G126" s="81" t="s">
        <v>534</v>
      </c>
      <c r="H126" s="81"/>
      <c r="I126" s="81"/>
      <c r="J126" s="81"/>
      <c r="K126" s="81"/>
      <c r="L126" s="81"/>
      <c r="M126" s="82" t="s">
        <v>52</v>
      </c>
      <c r="N126" s="82"/>
      <c r="O126" s="82"/>
      <c r="P126" s="82"/>
      <c r="Q126" s="82"/>
      <c r="R126" s="111">
        <v>45649</v>
      </c>
      <c r="S126" s="82" t="s">
        <v>535</v>
      </c>
      <c r="T126" s="81" t="s">
        <v>144</v>
      </c>
      <c r="U126" s="81" t="s">
        <v>144</v>
      </c>
    </row>
    <row r="127" spans="1:21" x14ac:dyDescent="0.25">
      <c r="A127" s="81"/>
      <c r="B127" s="81" t="s">
        <v>8</v>
      </c>
      <c r="C127" s="81" t="s">
        <v>144</v>
      </c>
      <c r="D127" s="81" t="s">
        <v>143</v>
      </c>
      <c r="E127" s="81" t="s">
        <v>536</v>
      </c>
      <c r="F127" s="81" t="s">
        <v>148</v>
      </c>
      <c r="G127" s="81" t="s">
        <v>537</v>
      </c>
      <c r="H127" s="81"/>
      <c r="I127" s="81"/>
      <c r="J127" s="81"/>
      <c r="K127" s="81"/>
      <c r="L127" s="81"/>
      <c r="M127" s="82" t="s">
        <v>52</v>
      </c>
      <c r="N127" s="82"/>
      <c r="O127" s="82"/>
      <c r="P127" s="82"/>
      <c r="Q127" s="82"/>
      <c r="R127" s="111">
        <v>45646</v>
      </c>
      <c r="S127" s="82" t="s">
        <v>20</v>
      </c>
      <c r="T127" s="81" t="s">
        <v>144</v>
      </c>
      <c r="U127" s="81" t="s">
        <v>144</v>
      </c>
    </row>
    <row r="128" spans="1:21" x14ac:dyDescent="0.25">
      <c r="A128" s="81"/>
      <c r="B128" s="81" t="s">
        <v>8</v>
      </c>
      <c r="C128" s="81" t="s">
        <v>144</v>
      </c>
      <c r="D128" s="81" t="s">
        <v>143</v>
      </c>
      <c r="E128" s="81" t="s">
        <v>538</v>
      </c>
      <c r="F128" s="81" t="s">
        <v>148</v>
      </c>
      <c r="G128" s="81" t="s">
        <v>539</v>
      </c>
      <c r="H128" s="81"/>
      <c r="I128" s="81"/>
      <c r="J128" s="81"/>
      <c r="K128" s="81"/>
      <c r="L128" s="81"/>
      <c r="M128" s="82" t="s">
        <v>52</v>
      </c>
      <c r="N128" s="82"/>
      <c r="O128" s="82"/>
      <c r="P128" s="82"/>
      <c r="Q128" s="82"/>
      <c r="R128" s="111">
        <v>45646</v>
      </c>
      <c r="S128" s="82" t="s">
        <v>20</v>
      </c>
      <c r="T128" s="81" t="s">
        <v>144</v>
      </c>
      <c r="U128" s="81" t="s">
        <v>144</v>
      </c>
    </row>
    <row r="129" spans="1:21" x14ac:dyDescent="0.25">
      <c r="A129" s="81"/>
      <c r="B129" s="81" t="s">
        <v>8</v>
      </c>
      <c r="C129" s="81" t="s">
        <v>144</v>
      </c>
      <c r="D129" s="81" t="s">
        <v>143</v>
      </c>
      <c r="E129" s="81" t="s">
        <v>540</v>
      </c>
      <c r="F129" s="81" t="s">
        <v>162</v>
      </c>
      <c r="G129" s="81" t="s">
        <v>541</v>
      </c>
      <c r="H129" s="81"/>
      <c r="I129" s="81"/>
      <c r="J129" s="81"/>
      <c r="K129" s="81"/>
      <c r="L129" s="81"/>
      <c r="M129" s="82" t="s">
        <v>52</v>
      </c>
      <c r="N129" s="82"/>
      <c r="O129" s="82"/>
      <c r="P129" s="82"/>
      <c r="Q129" s="82"/>
      <c r="R129" s="111"/>
      <c r="S129" s="82"/>
      <c r="T129" s="81" t="s">
        <v>144</v>
      </c>
      <c r="U129" s="81" t="s">
        <v>144</v>
      </c>
    </row>
    <row r="130" spans="1:21" x14ac:dyDescent="0.25">
      <c r="A130" s="81"/>
      <c r="B130" s="81" t="s">
        <v>8</v>
      </c>
      <c r="C130" s="81" t="s">
        <v>144</v>
      </c>
      <c r="D130" s="81" t="s">
        <v>143</v>
      </c>
      <c r="E130" s="81" t="s">
        <v>542</v>
      </c>
      <c r="F130" s="81" t="s">
        <v>166</v>
      </c>
      <c r="G130" s="81" t="s">
        <v>543</v>
      </c>
      <c r="H130" s="81"/>
      <c r="I130" s="81"/>
      <c r="J130" s="81"/>
      <c r="K130" s="81"/>
      <c r="L130" s="81"/>
      <c r="M130" s="82" t="s">
        <v>52</v>
      </c>
      <c r="N130" s="82"/>
      <c r="O130" s="82"/>
      <c r="P130" s="82"/>
      <c r="Q130" s="82"/>
      <c r="R130" s="111"/>
      <c r="S130" s="82"/>
      <c r="T130" s="81" t="s">
        <v>144</v>
      </c>
      <c r="U130" s="81" t="s">
        <v>144</v>
      </c>
    </row>
    <row r="131" spans="1:21" ht="30" x14ac:dyDescent="0.25">
      <c r="A131" s="81"/>
      <c r="B131" s="81" t="s">
        <v>8</v>
      </c>
      <c r="C131" s="81" t="s">
        <v>144</v>
      </c>
      <c r="D131" s="81" t="s">
        <v>143</v>
      </c>
      <c r="E131" s="81" t="s">
        <v>544</v>
      </c>
      <c r="F131" s="81" t="s">
        <v>163</v>
      </c>
      <c r="G131" s="81" t="s">
        <v>545</v>
      </c>
      <c r="H131" s="81"/>
      <c r="I131" s="81"/>
      <c r="J131" s="81"/>
      <c r="K131" s="81"/>
      <c r="L131" s="81"/>
      <c r="M131" s="82" t="s">
        <v>52</v>
      </c>
      <c r="N131" s="82"/>
      <c r="O131" s="82"/>
      <c r="P131" s="82"/>
      <c r="Q131" s="82"/>
      <c r="R131" s="111">
        <v>45609</v>
      </c>
      <c r="S131" s="82" t="s">
        <v>546</v>
      </c>
      <c r="T131" s="81" t="s">
        <v>144</v>
      </c>
      <c r="U131" s="81" t="s">
        <v>144</v>
      </c>
    </row>
    <row r="132" spans="1:21" ht="30" x14ac:dyDescent="0.25">
      <c r="A132" s="81"/>
      <c r="B132" s="81" t="s">
        <v>8</v>
      </c>
      <c r="C132" s="81" t="s">
        <v>144</v>
      </c>
      <c r="D132" s="81" t="s">
        <v>143</v>
      </c>
      <c r="E132" s="81" t="s">
        <v>547</v>
      </c>
      <c r="F132" s="81" t="s">
        <v>163</v>
      </c>
      <c r="G132" s="81" t="s">
        <v>548</v>
      </c>
      <c r="H132" s="81"/>
      <c r="I132" s="81"/>
      <c r="J132" s="81"/>
      <c r="K132" s="81"/>
      <c r="L132" s="81"/>
      <c r="M132" s="82" t="s">
        <v>52</v>
      </c>
      <c r="N132" s="82"/>
      <c r="O132" s="82"/>
      <c r="P132" s="82"/>
      <c r="Q132" s="82"/>
      <c r="R132" s="111">
        <v>45609</v>
      </c>
      <c r="S132" s="82" t="s">
        <v>546</v>
      </c>
      <c r="T132" s="81" t="s">
        <v>144</v>
      </c>
      <c r="U132" s="81" t="s">
        <v>144</v>
      </c>
    </row>
    <row r="133" spans="1:21" ht="30" x14ac:dyDescent="0.25">
      <c r="A133" s="81"/>
      <c r="B133" s="81" t="s">
        <v>8</v>
      </c>
      <c r="C133" s="81" t="s">
        <v>144</v>
      </c>
      <c r="D133" s="81" t="s">
        <v>143</v>
      </c>
      <c r="E133" s="81" t="s">
        <v>549</v>
      </c>
      <c r="F133" s="81" t="s">
        <v>162</v>
      </c>
      <c r="G133" s="81" t="s">
        <v>550</v>
      </c>
      <c r="H133" s="81"/>
      <c r="I133" s="81"/>
      <c r="J133" s="81"/>
      <c r="K133" s="81"/>
      <c r="L133" s="81"/>
      <c r="M133" s="82" t="s">
        <v>52</v>
      </c>
      <c r="N133" s="82"/>
      <c r="O133" s="82"/>
      <c r="P133" s="82"/>
      <c r="Q133" s="82"/>
      <c r="R133" s="111"/>
      <c r="S133" s="82"/>
      <c r="T133" s="81" t="s">
        <v>144</v>
      </c>
      <c r="U133" s="81" t="s">
        <v>144</v>
      </c>
    </row>
    <row r="134" spans="1:21" ht="30" x14ac:dyDescent="0.25">
      <c r="A134" s="81"/>
      <c r="B134" s="81" t="s">
        <v>8</v>
      </c>
      <c r="C134" s="81" t="s">
        <v>144</v>
      </c>
      <c r="D134" s="81" t="s">
        <v>143</v>
      </c>
      <c r="E134" s="81" t="s">
        <v>551</v>
      </c>
      <c r="F134" s="81" t="s">
        <v>148</v>
      </c>
      <c r="G134" s="81" t="s">
        <v>552</v>
      </c>
      <c r="H134" s="81"/>
      <c r="I134" s="81"/>
      <c r="J134" s="81"/>
      <c r="K134" s="81"/>
      <c r="L134" s="81"/>
      <c r="M134" s="82" t="s">
        <v>52</v>
      </c>
      <c r="N134" s="82"/>
      <c r="O134" s="82"/>
      <c r="P134" s="82"/>
      <c r="Q134" s="82"/>
      <c r="R134" s="111"/>
      <c r="S134" s="82"/>
      <c r="T134" s="81" t="s">
        <v>144</v>
      </c>
      <c r="U134" s="81" t="s">
        <v>144</v>
      </c>
    </row>
    <row r="135" spans="1:21" x14ac:dyDescent="0.25">
      <c r="A135" s="81"/>
      <c r="B135" s="81" t="s">
        <v>8</v>
      </c>
      <c r="C135" s="81" t="s">
        <v>144</v>
      </c>
      <c r="D135" s="81" t="s">
        <v>143</v>
      </c>
      <c r="E135" s="81" t="s">
        <v>553</v>
      </c>
      <c r="F135" s="81" t="s">
        <v>148</v>
      </c>
      <c r="G135" s="81" t="s">
        <v>554</v>
      </c>
      <c r="H135" s="81"/>
      <c r="I135" s="81"/>
      <c r="J135" s="81"/>
      <c r="K135" s="81"/>
      <c r="L135" s="81"/>
      <c r="M135" s="82" t="s">
        <v>52</v>
      </c>
      <c r="N135" s="82"/>
      <c r="O135" s="82"/>
      <c r="P135" s="82"/>
      <c r="Q135" s="82"/>
      <c r="R135" s="111"/>
      <c r="S135" s="82"/>
      <c r="T135" s="81" t="s">
        <v>144</v>
      </c>
      <c r="U135" s="81" t="s">
        <v>144</v>
      </c>
    </row>
    <row r="136" spans="1:21" x14ac:dyDescent="0.25">
      <c r="A136" s="81"/>
      <c r="B136" s="81" t="s">
        <v>8</v>
      </c>
      <c r="C136" s="81" t="s">
        <v>144</v>
      </c>
      <c r="D136" s="81" t="s">
        <v>143</v>
      </c>
      <c r="E136" s="81" t="s">
        <v>555</v>
      </c>
      <c r="F136" s="81" t="s">
        <v>163</v>
      </c>
      <c r="G136" s="81" t="s">
        <v>556</v>
      </c>
      <c r="H136" s="81"/>
      <c r="I136" s="81"/>
      <c r="J136" s="81"/>
      <c r="K136" s="81"/>
      <c r="L136" s="81"/>
      <c r="M136" s="82" t="s">
        <v>52</v>
      </c>
      <c r="N136" s="82"/>
      <c r="O136" s="82"/>
      <c r="P136" s="82"/>
      <c r="Q136" s="82"/>
      <c r="R136" s="111"/>
      <c r="S136" s="82"/>
      <c r="T136" s="81" t="s">
        <v>144</v>
      </c>
      <c r="U136" s="81" t="s">
        <v>144</v>
      </c>
    </row>
    <row r="137" spans="1:21" x14ac:dyDescent="0.25">
      <c r="A137" s="81"/>
      <c r="B137" s="81" t="s">
        <v>8</v>
      </c>
      <c r="C137" s="81" t="s">
        <v>144</v>
      </c>
      <c r="D137" s="81" t="s">
        <v>143</v>
      </c>
      <c r="E137" s="81" t="s">
        <v>557</v>
      </c>
      <c r="F137" s="81" t="s">
        <v>163</v>
      </c>
      <c r="G137" s="81" t="s">
        <v>558</v>
      </c>
      <c r="H137" s="81"/>
      <c r="I137" s="81"/>
      <c r="J137" s="81"/>
      <c r="K137" s="81"/>
      <c r="L137" s="81"/>
      <c r="M137" s="82" t="s">
        <v>52</v>
      </c>
      <c r="N137" s="82"/>
      <c r="O137" s="82"/>
      <c r="P137" s="82"/>
      <c r="Q137" s="82"/>
      <c r="R137" s="111"/>
      <c r="S137" s="82"/>
      <c r="T137" s="81" t="s">
        <v>144</v>
      </c>
      <c r="U137" s="81" t="s">
        <v>144</v>
      </c>
    </row>
    <row r="138" spans="1:21" x14ac:dyDescent="0.25">
      <c r="A138" s="81"/>
      <c r="B138" s="81" t="s">
        <v>8</v>
      </c>
      <c r="C138" s="81" t="s">
        <v>144</v>
      </c>
      <c r="D138" s="81" t="s">
        <v>143</v>
      </c>
      <c r="E138" s="81" t="s">
        <v>559</v>
      </c>
      <c r="F138" s="81" t="s">
        <v>163</v>
      </c>
      <c r="G138" s="81" t="s">
        <v>560</v>
      </c>
      <c r="H138" s="81"/>
      <c r="I138" s="81"/>
      <c r="J138" s="81"/>
      <c r="K138" s="81"/>
      <c r="L138" s="81"/>
      <c r="M138" s="82" t="s">
        <v>52</v>
      </c>
      <c r="N138" s="82"/>
      <c r="O138" s="82"/>
      <c r="P138" s="82"/>
      <c r="Q138" s="82"/>
      <c r="R138" s="111"/>
      <c r="S138" s="82"/>
      <c r="T138" s="81" t="s">
        <v>144</v>
      </c>
      <c r="U138" s="81" t="s">
        <v>144</v>
      </c>
    </row>
    <row r="139" spans="1:21" x14ac:dyDescent="0.25">
      <c r="A139" s="81"/>
      <c r="B139" s="81" t="s">
        <v>8</v>
      </c>
      <c r="C139" s="81" t="s">
        <v>144</v>
      </c>
      <c r="D139" s="81" t="s">
        <v>143</v>
      </c>
      <c r="E139" s="81" t="s">
        <v>561</v>
      </c>
      <c r="F139" s="81" t="s">
        <v>163</v>
      </c>
      <c r="G139" s="81" t="s">
        <v>562</v>
      </c>
      <c r="H139" s="81"/>
      <c r="I139" s="81"/>
      <c r="J139" s="81"/>
      <c r="K139" s="81"/>
      <c r="L139" s="81"/>
      <c r="M139" s="82" t="s">
        <v>52</v>
      </c>
      <c r="N139" s="82"/>
      <c r="O139" s="82"/>
      <c r="P139" s="82"/>
      <c r="Q139" s="82"/>
      <c r="R139" s="111"/>
      <c r="S139" s="82"/>
      <c r="T139" s="81" t="s">
        <v>144</v>
      </c>
      <c r="U139" s="81" t="s">
        <v>144</v>
      </c>
    </row>
    <row r="140" spans="1:21" x14ac:dyDescent="0.25">
      <c r="A140" s="81"/>
      <c r="B140" s="81" t="s">
        <v>8</v>
      </c>
      <c r="C140" s="81" t="s">
        <v>144</v>
      </c>
      <c r="D140" s="81" t="s">
        <v>143</v>
      </c>
      <c r="E140" s="81" t="s">
        <v>563</v>
      </c>
      <c r="F140" s="81" t="s">
        <v>162</v>
      </c>
      <c r="G140" s="81" t="s">
        <v>564</v>
      </c>
      <c r="H140" s="81"/>
      <c r="I140" s="81"/>
      <c r="J140" s="81"/>
      <c r="K140" s="81"/>
      <c r="L140" s="81"/>
      <c r="M140" s="82" t="s">
        <v>52</v>
      </c>
      <c r="N140" s="82"/>
      <c r="O140" s="82"/>
      <c r="P140" s="82"/>
      <c r="Q140" s="82"/>
      <c r="R140" s="111"/>
      <c r="S140" s="82"/>
      <c r="T140" s="81" t="s">
        <v>144</v>
      </c>
      <c r="U140" s="81" t="s">
        <v>144</v>
      </c>
    </row>
    <row r="141" spans="1:21" x14ac:dyDescent="0.25">
      <c r="A141" s="81"/>
      <c r="B141" s="81" t="s">
        <v>8</v>
      </c>
      <c r="C141" s="81" t="s">
        <v>144</v>
      </c>
      <c r="D141" s="81" t="s">
        <v>143</v>
      </c>
      <c r="E141" s="81" t="s">
        <v>565</v>
      </c>
      <c r="F141" s="81" t="s">
        <v>162</v>
      </c>
      <c r="G141" s="81" t="s">
        <v>566</v>
      </c>
      <c r="H141" s="81"/>
      <c r="I141" s="81"/>
      <c r="J141" s="81"/>
      <c r="K141" s="81"/>
      <c r="L141" s="81"/>
      <c r="M141" s="82" t="s">
        <v>52</v>
      </c>
      <c r="N141" s="82"/>
      <c r="O141" s="82"/>
      <c r="P141" s="82"/>
      <c r="Q141" s="82"/>
      <c r="R141" s="111"/>
      <c r="S141" s="82"/>
      <c r="T141" s="81" t="s">
        <v>144</v>
      </c>
      <c r="U141" s="81" t="s">
        <v>144</v>
      </c>
    </row>
    <row r="142" spans="1:21" ht="30" x14ac:dyDescent="0.25">
      <c r="A142" s="81"/>
      <c r="B142" s="81" t="s">
        <v>8</v>
      </c>
      <c r="C142" s="81" t="s">
        <v>144</v>
      </c>
      <c r="D142" s="81" t="s">
        <v>143</v>
      </c>
      <c r="E142" s="81" t="s">
        <v>567</v>
      </c>
      <c r="F142" s="81" t="s">
        <v>148</v>
      </c>
      <c r="G142" s="81" t="s">
        <v>568</v>
      </c>
      <c r="H142" s="81"/>
      <c r="I142" s="81"/>
      <c r="J142" s="81"/>
      <c r="K142" s="81"/>
      <c r="L142" s="81"/>
      <c r="M142" s="82" t="s">
        <v>52</v>
      </c>
      <c r="N142" s="82"/>
      <c r="O142" s="82"/>
      <c r="P142" s="82"/>
      <c r="Q142" s="82" t="s">
        <v>569</v>
      </c>
      <c r="R142" s="111"/>
      <c r="S142" s="82"/>
      <c r="T142" s="81" t="s">
        <v>144</v>
      </c>
      <c r="U142" s="81" t="s">
        <v>144</v>
      </c>
    </row>
    <row r="143" spans="1:21" ht="30" x14ac:dyDescent="0.25">
      <c r="A143" s="81"/>
      <c r="B143" s="81" t="s">
        <v>8</v>
      </c>
      <c r="C143" s="81" t="s">
        <v>144</v>
      </c>
      <c r="D143" s="81" t="s">
        <v>143</v>
      </c>
      <c r="E143" s="81" t="s">
        <v>570</v>
      </c>
      <c r="F143" s="81" t="s">
        <v>148</v>
      </c>
      <c r="G143" s="81" t="s">
        <v>571</v>
      </c>
      <c r="H143" s="81"/>
      <c r="I143" s="81"/>
      <c r="J143" s="81"/>
      <c r="K143" s="81"/>
      <c r="L143" s="81"/>
      <c r="M143" s="82" t="s">
        <v>52</v>
      </c>
      <c r="N143" s="82"/>
      <c r="O143" s="82"/>
      <c r="P143" s="82"/>
      <c r="Q143" s="82" t="s">
        <v>572</v>
      </c>
      <c r="R143" s="111">
        <v>45602</v>
      </c>
      <c r="S143" s="82" t="s">
        <v>9</v>
      </c>
      <c r="T143" s="81" t="s">
        <v>144</v>
      </c>
      <c r="U143" s="81" t="s">
        <v>144</v>
      </c>
    </row>
    <row r="144" spans="1:21" ht="30" x14ac:dyDescent="0.25">
      <c r="A144" s="81"/>
      <c r="B144" s="81" t="s">
        <v>8</v>
      </c>
      <c r="C144" s="81" t="s">
        <v>144</v>
      </c>
      <c r="D144" s="81" t="s">
        <v>143</v>
      </c>
      <c r="E144" s="81" t="s">
        <v>573</v>
      </c>
      <c r="F144" s="81" t="s">
        <v>148</v>
      </c>
      <c r="G144" s="81" t="s">
        <v>574</v>
      </c>
      <c r="H144" s="81"/>
      <c r="I144" s="81"/>
      <c r="J144" s="81"/>
      <c r="K144" s="81"/>
      <c r="L144" s="81"/>
      <c r="M144" s="82" t="s">
        <v>52</v>
      </c>
      <c r="N144" s="82"/>
      <c r="O144" s="82"/>
      <c r="P144" s="82"/>
      <c r="Q144" s="82"/>
      <c r="R144" s="111">
        <v>45629</v>
      </c>
      <c r="S144" s="82" t="s">
        <v>20</v>
      </c>
      <c r="T144" s="81" t="s">
        <v>144</v>
      </c>
      <c r="U144" s="81" t="s">
        <v>144</v>
      </c>
    </row>
    <row r="145" spans="1:21" ht="30" x14ac:dyDescent="0.25">
      <c r="A145" s="81"/>
      <c r="B145" s="81" t="s">
        <v>8</v>
      </c>
      <c r="C145" s="81" t="s">
        <v>144</v>
      </c>
      <c r="D145" s="81" t="s">
        <v>143</v>
      </c>
      <c r="E145" s="81" t="s">
        <v>575</v>
      </c>
      <c r="F145" s="81" t="s">
        <v>162</v>
      </c>
      <c r="G145" s="81" t="s">
        <v>576</v>
      </c>
      <c r="H145" s="81"/>
      <c r="I145" s="81"/>
      <c r="J145" s="81"/>
      <c r="K145" s="81"/>
      <c r="L145" s="81"/>
      <c r="M145" s="82" t="s">
        <v>52</v>
      </c>
      <c r="N145" s="82"/>
      <c r="O145" s="82"/>
      <c r="P145" s="82"/>
      <c r="Q145" s="82"/>
      <c r="R145" s="111">
        <v>45622</v>
      </c>
      <c r="S145" s="82" t="s">
        <v>546</v>
      </c>
      <c r="T145" s="81" t="s">
        <v>144</v>
      </c>
      <c r="U145" s="81" t="s">
        <v>144</v>
      </c>
    </row>
    <row r="146" spans="1:21" ht="30" x14ac:dyDescent="0.25">
      <c r="A146" s="81"/>
      <c r="B146" s="81" t="s">
        <v>8</v>
      </c>
      <c r="C146" s="81" t="s">
        <v>144</v>
      </c>
      <c r="D146" s="81" t="s">
        <v>143</v>
      </c>
      <c r="E146" s="81" t="s">
        <v>577</v>
      </c>
      <c r="F146" s="81" t="s">
        <v>148</v>
      </c>
      <c r="G146" s="81" t="s">
        <v>578</v>
      </c>
      <c r="H146" s="81"/>
      <c r="I146" s="81"/>
      <c r="J146" s="81"/>
      <c r="K146" s="81"/>
      <c r="L146" s="81"/>
      <c r="M146" s="82" t="s">
        <v>52</v>
      </c>
      <c r="N146" s="82"/>
      <c r="O146" s="82"/>
      <c r="P146" s="82"/>
      <c r="Q146" s="82"/>
      <c r="R146" s="111"/>
      <c r="S146" s="82" t="s">
        <v>546</v>
      </c>
      <c r="T146" s="81" t="s">
        <v>144</v>
      </c>
      <c r="U146" s="81" t="s">
        <v>144</v>
      </c>
    </row>
    <row r="147" spans="1:21" ht="30" x14ac:dyDescent="0.25">
      <c r="A147" s="81"/>
      <c r="B147" s="81" t="s">
        <v>8</v>
      </c>
      <c r="C147" s="81" t="s">
        <v>144</v>
      </c>
      <c r="D147" s="81" t="s">
        <v>143</v>
      </c>
      <c r="E147" s="81" t="s">
        <v>579</v>
      </c>
      <c r="F147" s="81" t="s">
        <v>148</v>
      </c>
      <c r="G147" s="81" t="s">
        <v>580</v>
      </c>
      <c r="H147" s="81"/>
      <c r="I147" s="81"/>
      <c r="J147" s="81"/>
      <c r="K147" s="81"/>
      <c r="L147" s="81"/>
      <c r="M147" s="82" t="s">
        <v>52</v>
      </c>
      <c r="N147" s="82"/>
      <c r="O147" s="82"/>
      <c r="P147" s="82"/>
      <c r="Q147" s="82"/>
      <c r="R147" s="111"/>
      <c r="S147" s="82" t="s">
        <v>546</v>
      </c>
      <c r="T147" s="81" t="s">
        <v>144</v>
      </c>
      <c r="U147" s="81" t="s">
        <v>144</v>
      </c>
    </row>
    <row r="148" spans="1:21" x14ac:dyDescent="0.25">
      <c r="A148" s="81"/>
      <c r="B148" s="81" t="s">
        <v>8</v>
      </c>
      <c r="C148" s="81" t="s">
        <v>144</v>
      </c>
      <c r="D148" s="81" t="s">
        <v>143</v>
      </c>
      <c r="E148" s="81" t="s">
        <v>581</v>
      </c>
      <c r="F148" s="81" t="s">
        <v>161</v>
      </c>
      <c r="G148" s="81" t="s">
        <v>582</v>
      </c>
      <c r="H148" s="81"/>
      <c r="I148" s="81"/>
      <c r="J148" s="81"/>
      <c r="K148" s="81"/>
      <c r="L148" s="81"/>
      <c r="M148" s="82" t="s">
        <v>52</v>
      </c>
      <c r="N148" s="82"/>
      <c r="O148" s="82"/>
      <c r="P148" s="82"/>
      <c r="Q148" s="82" t="s">
        <v>583</v>
      </c>
      <c r="R148" s="111"/>
      <c r="S148" s="82"/>
      <c r="T148" s="81" t="s">
        <v>144</v>
      </c>
      <c r="U148" s="81" t="s">
        <v>144</v>
      </c>
    </row>
    <row r="149" spans="1:21" ht="30" x14ac:dyDescent="0.25">
      <c r="A149" s="81"/>
      <c r="B149" s="81" t="s">
        <v>8</v>
      </c>
      <c r="C149" s="81" t="s">
        <v>144</v>
      </c>
      <c r="D149" s="81" t="s">
        <v>143</v>
      </c>
      <c r="E149" s="81" t="s">
        <v>584</v>
      </c>
      <c r="F149" s="81" t="s">
        <v>166</v>
      </c>
      <c r="G149" s="81" t="s">
        <v>585</v>
      </c>
      <c r="H149" s="81"/>
      <c r="I149" s="81"/>
      <c r="J149" s="81"/>
      <c r="K149" s="81"/>
      <c r="L149" s="81"/>
      <c r="M149" s="82" t="s">
        <v>52</v>
      </c>
      <c r="N149" s="82"/>
      <c r="O149" s="82"/>
      <c r="P149" s="82"/>
      <c r="Q149" s="82"/>
      <c r="R149" s="111"/>
      <c r="S149" s="82"/>
      <c r="T149" s="81" t="s">
        <v>144</v>
      </c>
      <c r="U149" s="81" t="s">
        <v>144</v>
      </c>
    </row>
    <row r="150" spans="1:21" ht="30" x14ac:dyDescent="0.25">
      <c r="A150" s="81"/>
      <c r="B150" s="81" t="s">
        <v>8</v>
      </c>
      <c r="C150" s="81" t="s">
        <v>144</v>
      </c>
      <c r="D150" s="81" t="s">
        <v>143</v>
      </c>
      <c r="E150" s="81" t="s">
        <v>586</v>
      </c>
      <c r="F150" s="81" t="s">
        <v>166</v>
      </c>
      <c r="G150" s="81" t="s">
        <v>587</v>
      </c>
      <c r="H150" s="81"/>
      <c r="I150" s="81"/>
      <c r="J150" s="81"/>
      <c r="K150" s="81"/>
      <c r="L150" s="81"/>
      <c r="M150" s="82" t="s">
        <v>52</v>
      </c>
      <c r="N150" s="82"/>
      <c r="O150" s="82"/>
      <c r="P150" s="82"/>
      <c r="Q150" s="82"/>
      <c r="R150" s="111">
        <v>45615</v>
      </c>
      <c r="S150" s="82" t="s">
        <v>546</v>
      </c>
      <c r="T150" s="81" t="s">
        <v>144</v>
      </c>
      <c r="U150" s="81" t="s">
        <v>144</v>
      </c>
    </row>
    <row r="151" spans="1:21" x14ac:dyDescent="0.25">
      <c r="A151" s="81"/>
      <c r="B151" s="81" t="s">
        <v>8</v>
      </c>
      <c r="C151" s="81" t="s">
        <v>144</v>
      </c>
      <c r="D151" s="81" t="s">
        <v>143</v>
      </c>
      <c r="E151" s="81" t="s">
        <v>588</v>
      </c>
      <c r="F151" s="81" t="s">
        <v>162</v>
      </c>
      <c r="G151" s="81" t="s">
        <v>589</v>
      </c>
      <c r="H151" s="81"/>
      <c r="I151" s="81"/>
      <c r="J151" s="81"/>
      <c r="K151" s="81"/>
      <c r="L151" s="81"/>
      <c r="M151" s="82" t="s">
        <v>52</v>
      </c>
      <c r="N151" s="82"/>
      <c r="O151" s="82"/>
      <c r="P151" s="82"/>
      <c r="Q151" s="82"/>
      <c r="R151" s="111"/>
      <c r="S151" s="82"/>
      <c r="T151" s="81" t="s">
        <v>144</v>
      </c>
      <c r="U151" s="81" t="s">
        <v>144</v>
      </c>
    </row>
    <row r="152" spans="1:21" ht="30" x14ac:dyDescent="0.25">
      <c r="A152" s="81"/>
      <c r="B152" s="81" t="s">
        <v>8</v>
      </c>
      <c r="C152" s="81" t="s">
        <v>144</v>
      </c>
      <c r="D152" s="81" t="s">
        <v>143</v>
      </c>
      <c r="E152" s="81" t="s">
        <v>590</v>
      </c>
      <c r="F152" s="81" t="s">
        <v>163</v>
      </c>
      <c r="G152" s="81" t="s">
        <v>591</v>
      </c>
      <c r="H152" s="81"/>
      <c r="I152" s="81"/>
      <c r="J152" s="81"/>
      <c r="K152" s="81"/>
      <c r="L152" s="81"/>
      <c r="M152" s="82" t="s">
        <v>52</v>
      </c>
      <c r="N152" s="82"/>
      <c r="O152" s="82"/>
      <c r="P152" s="82"/>
      <c r="Q152" s="82" t="s">
        <v>592</v>
      </c>
      <c r="R152" s="111">
        <v>45609</v>
      </c>
      <c r="S152" s="82" t="s">
        <v>546</v>
      </c>
      <c r="T152" s="81" t="s">
        <v>144</v>
      </c>
      <c r="U152" s="81" t="s">
        <v>144</v>
      </c>
    </row>
    <row r="153" spans="1:21" ht="30" x14ac:dyDescent="0.25">
      <c r="A153" s="81"/>
      <c r="B153" s="81" t="s">
        <v>8</v>
      </c>
      <c r="C153" s="81" t="s">
        <v>144</v>
      </c>
      <c r="D153" s="81" t="s">
        <v>143</v>
      </c>
      <c r="E153" s="81" t="s">
        <v>593</v>
      </c>
      <c r="F153" s="81" t="s">
        <v>161</v>
      </c>
      <c r="G153" s="81" t="s">
        <v>594</v>
      </c>
      <c r="H153" s="81"/>
      <c r="I153" s="81"/>
      <c r="J153" s="81"/>
      <c r="K153" s="81"/>
      <c r="L153" s="81"/>
      <c r="M153" s="82" t="s">
        <v>52</v>
      </c>
      <c r="N153" s="82"/>
      <c r="O153" s="82"/>
      <c r="P153" s="82"/>
      <c r="Q153" s="82" t="s">
        <v>595</v>
      </c>
      <c r="R153" s="111">
        <v>45600</v>
      </c>
      <c r="S153" s="82" t="s">
        <v>546</v>
      </c>
      <c r="T153" s="81" t="s">
        <v>144</v>
      </c>
      <c r="U153" s="81" t="s">
        <v>144</v>
      </c>
    </row>
    <row r="154" spans="1:21" ht="30" x14ac:dyDescent="0.25">
      <c r="A154" s="81"/>
      <c r="B154" s="81" t="s">
        <v>8</v>
      </c>
      <c r="C154" s="81" t="s">
        <v>144</v>
      </c>
      <c r="D154" s="81" t="s">
        <v>143</v>
      </c>
      <c r="E154" s="81" t="s">
        <v>596</v>
      </c>
      <c r="F154" s="81" t="s">
        <v>161</v>
      </c>
      <c r="G154" s="81" t="s">
        <v>597</v>
      </c>
      <c r="H154" s="81"/>
      <c r="I154" s="81"/>
      <c r="J154" s="81"/>
      <c r="K154" s="81"/>
      <c r="L154" s="81"/>
      <c r="M154" s="82" t="s">
        <v>52</v>
      </c>
      <c r="N154" s="82"/>
      <c r="O154" s="82"/>
      <c r="P154" s="82"/>
      <c r="Q154" s="82" t="s">
        <v>595</v>
      </c>
      <c r="R154" s="111">
        <v>45600</v>
      </c>
      <c r="S154" s="82" t="s">
        <v>546</v>
      </c>
      <c r="T154" s="81" t="s">
        <v>144</v>
      </c>
      <c r="U154" s="81" t="s">
        <v>144</v>
      </c>
    </row>
    <row r="155" spans="1:21" x14ac:dyDescent="0.25">
      <c r="A155" s="81"/>
      <c r="B155" s="81" t="s">
        <v>8</v>
      </c>
      <c r="C155" s="81" t="s">
        <v>144</v>
      </c>
      <c r="D155" s="81" t="s">
        <v>143</v>
      </c>
      <c r="E155" s="81" t="s">
        <v>598</v>
      </c>
      <c r="F155" s="81" t="s">
        <v>148</v>
      </c>
      <c r="G155" s="81" t="s">
        <v>599</v>
      </c>
      <c r="H155" s="81"/>
      <c r="I155" s="81"/>
      <c r="J155" s="81"/>
      <c r="K155" s="81"/>
      <c r="L155" s="81"/>
      <c r="M155" s="82" t="s">
        <v>52</v>
      </c>
      <c r="N155" s="82"/>
      <c r="O155" s="82"/>
      <c r="P155" s="82"/>
      <c r="Q155" s="82" t="s">
        <v>600</v>
      </c>
      <c r="R155" s="111"/>
      <c r="S155" s="82"/>
      <c r="T155" s="81" t="s">
        <v>144</v>
      </c>
      <c r="U155" s="81" t="s">
        <v>144</v>
      </c>
    </row>
    <row r="156" spans="1:21" x14ac:dyDescent="0.25">
      <c r="A156" s="81"/>
      <c r="B156" s="81" t="s">
        <v>8</v>
      </c>
      <c r="C156" s="81" t="s">
        <v>144</v>
      </c>
      <c r="D156" s="81" t="s">
        <v>143</v>
      </c>
      <c r="E156" s="81" t="s">
        <v>601</v>
      </c>
      <c r="F156" s="81" t="s">
        <v>148</v>
      </c>
      <c r="G156" s="81" t="s">
        <v>602</v>
      </c>
      <c r="H156" s="81"/>
      <c r="I156" s="81"/>
      <c r="J156" s="81"/>
      <c r="K156" s="81"/>
      <c r="L156" s="81"/>
      <c r="M156" s="82" t="s">
        <v>52</v>
      </c>
      <c r="N156" s="82"/>
      <c r="O156" s="82"/>
      <c r="P156" s="82"/>
      <c r="Q156" s="82" t="s">
        <v>603</v>
      </c>
      <c r="R156" s="111"/>
      <c r="S156" s="82"/>
      <c r="T156" s="81" t="s">
        <v>144</v>
      </c>
      <c r="U156" s="81" t="s">
        <v>144</v>
      </c>
    </row>
    <row r="157" spans="1:21" ht="30" x14ac:dyDescent="0.25">
      <c r="A157" s="81"/>
      <c r="B157" s="81" t="s">
        <v>8</v>
      </c>
      <c r="C157" s="81" t="s">
        <v>144</v>
      </c>
      <c r="D157" s="81" t="s">
        <v>143</v>
      </c>
      <c r="E157" s="81" t="s">
        <v>604</v>
      </c>
      <c r="F157" s="81" t="s">
        <v>148</v>
      </c>
      <c r="G157" s="81" t="s">
        <v>605</v>
      </c>
      <c r="H157" s="81"/>
      <c r="I157" s="81"/>
      <c r="J157" s="81"/>
      <c r="K157" s="81"/>
      <c r="L157" s="81"/>
      <c r="M157" s="82" t="s">
        <v>52</v>
      </c>
      <c r="N157" s="82"/>
      <c r="O157" s="82"/>
      <c r="P157" s="82"/>
      <c r="Q157" s="82" t="s">
        <v>606</v>
      </c>
      <c r="R157" s="111">
        <v>45602</v>
      </c>
      <c r="S157" s="82" t="s">
        <v>9</v>
      </c>
      <c r="T157" s="81" t="s">
        <v>144</v>
      </c>
      <c r="U157" s="81" t="s">
        <v>144</v>
      </c>
    </row>
    <row r="158" spans="1:21" ht="30" x14ac:dyDescent="0.25">
      <c r="A158" s="81"/>
      <c r="B158" s="81" t="s">
        <v>8</v>
      </c>
      <c r="C158" s="81" t="s">
        <v>144</v>
      </c>
      <c r="D158" s="81" t="s">
        <v>143</v>
      </c>
      <c r="E158" s="81" t="s">
        <v>607</v>
      </c>
      <c r="F158" s="81" t="s">
        <v>166</v>
      </c>
      <c r="G158" s="81" t="s">
        <v>608</v>
      </c>
      <c r="H158" s="81"/>
      <c r="I158" s="81"/>
      <c r="J158" s="81"/>
      <c r="K158" s="81"/>
      <c r="L158" s="81"/>
      <c r="M158" s="82" t="s">
        <v>52</v>
      </c>
      <c r="N158" s="82"/>
      <c r="O158" s="82"/>
      <c r="P158" s="82"/>
      <c r="Q158" s="82" t="s">
        <v>609</v>
      </c>
      <c r="R158" s="111">
        <v>45788</v>
      </c>
      <c r="S158" s="82" t="s">
        <v>610</v>
      </c>
      <c r="T158" s="81" t="s">
        <v>144</v>
      </c>
      <c r="U158" s="81" t="s">
        <v>144</v>
      </c>
    </row>
    <row r="159" spans="1:21" ht="30" x14ac:dyDescent="0.25">
      <c r="A159" s="81"/>
      <c r="B159" s="81"/>
      <c r="C159" s="81" t="s">
        <v>144</v>
      </c>
      <c r="D159" s="81" t="s">
        <v>143</v>
      </c>
      <c r="E159" s="81" t="s">
        <v>611</v>
      </c>
      <c r="F159" s="81" t="s">
        <v>166</v>
      </c>
      <c r="G159" s="81" t="s">
        <v>612</v>
      </c>
      <c r="H159" s="81"/>
      <c r="I159" s="81"/>
      <c r="J159" s="81"/>
      <c r="K159" s="81"/>
      <c r="L159" s="81"/>
      <c r="M159" s="82" t="s">
        <v>52</v>
      </c>
      <c r="N159" s="82"/>
      <c r="O159" s="82"/>
      <c r="P159" s="82"/>
      <c r="Q159" s="82" t="s">
        <v>613</v>
      </c>
      <c r="R159" s="111"/>
      <c r="S159" s="82" t="s">
        <v>614</v>
      </c>
      <c r="T159" s="81" t="s">
        <v>144</v>
      </c>
      <c r="U159" s="81" t="s">
        <v>144</v>
      </c>
    </row>
    <row r="160" spans="1:21" x14ac:dyDescent="0.25">
      <c r="A160" s="81"/>
      <c r="B160" s="81"/>
      <c r="C160" s="81" t="s">
        <v>144</v>
      </c>
      <c r="D160" s="81" t="s">
        <v>143</v>
      </c>
      <c r="E160" s="81" t="s">
        <v>615</v>
      </c>
      <c r="F160" s="81" t="s">
        <v>166</v>
      </c>
      <c r="G160" s="81" t="s">
        <v>616</v>
      </c>
      <c r="H160" s="81"/>
      <c r="I160" s="81"/>
      <c r="J160" s="81"/>
      <c r="K160" s="81"/>
      <c r="L160" s="81"/>
      <c r="M160" s="82" t="s">
        <v>52</v>
      </c>
      <c r="N160" s="82"/>
      <c r="O160" s="82"/>
      <c r="P160" s="82"/>
      <c r="Q160" s="82"/>
      <c r="R160" s="111"/>
      <c r="S160" s="82"/>
      <c r="T160" s="81" t="s">
        <v>144</v>
      </c>
      <c r="U160" s="81" t="s">
        <v>144</v>
      </c>
    </row>
    <row r="161" spans="1:21" ht="30" x14ac:dyDescent="0.25">
      <c r="A161" s="81"/>
      <c r="B161" s="81" t="s">
        <v>8</v>
      </c>
      <c r="C161" s="81" t="s">
        <v>144</v>
      </c>
      <c r="D161" s="81" t="s">
        <v>143</v>
      </c>
      <c r="E161" s="81" t="s">
        <v>617</v>
      </c>
      <c r="F161" s="81" t="s">
        <v>148</v>
      </c>
      <c r="G161" s="81" t="s">
        <v>618</v>
      </c>
      <c r="H161" s="81"/>
      <c r="I161" s="81"/>
      <c r="J161" s="81"/>
      <c r="K161" s="81"/>
      <c r="L161" s="81"/>
      <c r="M161" s="82" t="s">
        <v>52</v>
      </c>
      <c r="N161" s="82"/>
      <c r="O161" s="82"/>
      <c r="P161" s="82"/>
      <c r="Q161" s="82"/>
      <c r="R161" s="111">
        <v>45800</v>
      </c>
      <c r="S161" s="82" t="s">
        <v>619</v>
      </c>
      <c r="T161" s="81" t="s">
        <v>144</v>
      </c>
      <c r="U161" s="81" t="s">
        <v>144</v>
      </c>
    </row>
    <row r="162" spans="1:21" ht="30" x14ac:dyDescent="0.25">
      <c r="A162" s="81"/>
      <c r="B162" s="81"/>
      <c r="C162" s="81" t="s">
        <v>144</v>
      </c>
      <c r="D162" s="81" t="s">
        <v>143</v>
      </c>
      <c r="E162" s="81" t="s">
        <v>620</v>
      </c>
      <c r="F162" s="81" t="s">
        <v>162</v>
      </c>
      <c r="G162" s="81" t="s">
        <v>621</v>
      </c>
      <c r="H162" s="81"/>
      <c r="I162" s="81"/>
      <c r="J162" s="81"/>
      <c r="K162" s="81"/>
      <c r="L162" s="81"/>
      <c r="M162" s="82" t="s">
        <v>52</v>
      </c>
      <c r="N162" s="82"/>
      <c r="O162" s="82"/>
      <c r="P162" s="82"/>
      <c r="Q162" s="82" t="s">
        <v>622</v>
      </c>
      <c r="R162" s="111">
        <v>45803</v>
      </c>
      <c r="S162" s="82" t="s">
        <v>623</v>
      </c>
      <c r="T162" s="81" t="s">
        <v>144</v>
      </c>
      <c r="U162" s="81" t="s">
        <v>144</v>
      </c>
    </row>
    <row r="163" spans="1:21" ht="30" x14ac:dyDescent="0.25">
      <c r="A163" s="81"/>
      <c r="B163" s="81"/>
      <c r="C163" s="81" t="s">
        <v>144</v>
      </c>
      <c r="D163" s="81" t="s">
        <v>143</v>
      </c>
      <c r="E163" s="81" t="s">
        <v>624</v>
      </c>
      <c r="F163" s="81" t="s">
        <v>166</v>
      </c>
      <c r="G163" s="81" t="s">
        <v>625</v>
      </c>
      <c r="H163" s="81"/>
      <c r="I163" s="81"/>
      <c r="J163" s="81"/>
      <c r="K163" s="81"/>
      <c r="L163" s="81"/>
      <c r="M163" s="82" t="s">
        <v>52</v>
      </c>
      <c r="N163" s="82"/>
      <c r="O163" s="82"/>
      <c r="P163" s="82"/>
      <c r="Q163" s="82" t="s">
        <v>626</v>
      </c>
      <c r="R163" s="111">
        <v>45804</v>
      </c>
      <c r="S163" s="82" t="s">
        <v>627</v>
      </c>
      <c r="T163" s="81" t="s">
        <v>144</v>
      </c>
      <c r="U163" s="81" t="s">
        <v>144</v>
      </c>
    </row>
    <row r="164" spans="1:21" ht="30" x14ac:dyDescent="0.25">
      <c r="A164" s="81"/>
      <c r="B164" s="81"/>
      <c r="C164" s="81" t="s">
        <v>144</v>
      </c>
      <c r="D164" s="81" t="s">
        <v>143</v>
      </c>
      <c r="E164" s="81" t="s">
        <v>628</v>
      </c>
      <c r="F164" s="81" t="s">
        <v>166</v>
      </c>
      <c r="G164" s="81" t="s">
        <v>629</v>
      </c>
      <c r="H164" s="81"/>
      <c r="I164" s="81"/>
      <c r="J164" s="81"/>
      <c r="K164" s="81"/>
      <c r="L164" s="81"/>
      <c r="M164" s="82" t="s">
        <v>52</v>
      </c>
      <c r="N164" s="82"/>
      <c r="O164" s="82"/>
      <c r="P164" s="82"/>
      <c r="Q164" s="82" t="s">
        <v>630</v>
      </c>
      <c r="R164" s="111">
        <v>45804</v>
      </c>
      <c r="S164" s="82" t="s">
        <v>627</v>
      </c>
      <c r="T164" s="81" t="s">
        <v>144</v>
      </c>
      <c r="U164" s="81" t="s">
        <v>144</v>
      </c>
    </row>
    <row r="165" spans="1:21" x14ac:dyDescent="0.25">
      <c r="A165" s="81"/>
      <c r="B165" s="81"/>
      <c r="C165" s="81" t="s">
        <v>144</v>
      </c>
      <c r="D165" s="81" t="s">
        <v>143</v>
      </c>
      <c r="E165" s="81" t="s">
        <v>631</v>
      </c>
      <c r="F165" s="81" t="s">
        <v>148</v>
      </c>
      <c r="G165" s="81" t="s">
        <v>632</v>
      </c>
      <c r="H165" s="81"/>
      <c r="I165" s="81"/>
      <c r="J165" s="81"/>
      <c r="K165" s="81"/>
      <c r="L165" s="81"/>
      <c r="M165" s="82" t="s">
        <v>52</v>
      </c>
      <c r="N165" s="82"/>
      <c r="O165" s="82"/>
      <c r="P165" s="82"/>
      <c r="Q165" s="82"/>
      <c r="R165" s="111"/>
      <c r="S165" s="82"/>
      <c r="T165" s="81" t="s">
        <v>144</v>
      </c>
      <c r="U165" s="81" t="s">
        <v>144</v>
      </c>
    </row>
    <row r="166" spans="1:21" ht="45" x14ac:dyDescent="0.25">
      <c r="A166" s="81"/>
      <c r="B166" s="81"/>
      <c r="C166" s="81" t="s">
        <v>144</v>
      </c>
      <c r="D166" s="81" t="s">
        <v>143</v>
      </c>
      <c r="E166" s="81" t="s">
        <v>633</v>
      </c>
      <c r="F166" s="81" t="s">
        <v>148</v>
      </c>
      <c r="G166" s="81" t="s">
        <v>634</v>
      </c>
      <c r="H166" s="81"/>
      <c r="I166" s="81"/>
      <c r="J166" s="81"/>
      <c r="K166" s="81"/>
      <c r="L166" s="81"/>
      <c r="M166" s="82" t="s">
        <v>52</v>
      </c>
      <c r="N166" s="82"/>
      <c r="O166" s="82"/>
      <c r="P166" s="82"/>
      <c r="Q166" s="82" t="s">
        <v>635</v>
      </c>
      <c r="R166" s="111"/>
      <c r="S166" s="82"/>
      <c r="T166" s="81" t="s">
        <v>144</v>
      </c>
      <c r="U166" s="81" t="s">
        <v>144</v>
      </c>
    </row>
    <row r="167" spans="1:21" ht="30" x14ac:dyDescent="0.25">
      <c r="A167" s="81"/>
      <c r="B167" s="81"/>
      <c r="C167" s="81" t="s">
        <v>144</v>
      </c>
      <c r="D167" s="81" t="s">
        <v>143</v>
      </c>
      <c r="E167" s="81" t="s">
        <v>636</v>
      </c>
      <c r="F167" s="81" t="s">
        <v>148</v>
      </c>
      <c r="G167" s="81" t="s">
        <v>637</v>
      </c>
      <c r="H167" s="81"/>
      <c r="I167" s="81"/>
      <c r="J167" s="81"/>
      <c r="K167" s="81"/>
      <c r="L167" s="81"/>
      <c r="M167" s="82" t="s">
        <v>52</v>
      </c>
      <c r="N167" s="82"/>
      <c r="O167" s="82"/>
      <c r="P167" s="82"/>
      <c r="Q167" s="82" t="s">
        <v>638</v>
      </c>
      <c r="R167" s="111">
        <v>45831</v>
      </c>
      <c r="S167" s="82" t="s">
        <v>639</v>
      </c>
      <c r="T167" s="81" t="s">
        <v>144</v>
      </c>
      <c r="U167" s="81" t="s">
        <v>144</v>
      </c>
    </row>
    <row r="168" spans="1:21" ht="30" x14ac:dyDescent="0.25">
      <c r="A168" s="81"/>
      <c r="B168" s="81"/>
      <c r="C168" s="81" t="s">
        <v>144</v>
      </c>
      <c r="D168" s="81" t="s">
        <v>143</v>
      </c>
      <c r="E168" s="81" t="s">
        <v>640</v>
      </c>
      <c r="F168" s="81" t="s">
        <v>148</v>
      </c>
      <c r="G168" s="81" t="s">
        <v>641</v>
      </c>
      <c r="H168" s="81"/>
      <c r="I168" s="81"/>
      <c r="J168" s="81"/>
      <c r="K168" s="81"/>
      <c r="L168" s="81"/>
      <c r="M168" s="82" t="s">
        <v>52</v>
      </c>
      <c r="N168" s="82"/>
      <c r="O168" s="82"/>
      <c r="P168" s="82"/>
      <c r="Q168" s="82" t="s">
        <v>642</v>
      </c>
      <c r="R168" s="111">
        <v>45831</v>
      </c>
      <c r="S168" s="82" t="s">
        <v>9</v>
      </c>
      <c r="T168" s="81" t="s">
        <v>144</v>
      </c>
      <c r="U168" s="81" t="s">
        <v>144</v>
      </c>
    </row>
    <row r="169" spans="1:21" x14ac:dyDescent="0.25">
      <c r="A169" s="81"/>
      <c r="B169" s="81"/>
      <c r="C169" s="81" t="s">
        <v>144</v>
      </c>
      <c r="D169" s="81" t="s">
        <v>143</v>
      </c>
      <c r="E169" s="81" t="s">
        <v>643</v>
      </c>
      <c r="F169" s="81" t="s">
        <v>148</v>
      </c>
      <c r="G169" s="81" t="s">
        <v>644</v>
      </c>
      <c r="H169" s="81"/>
      <c r="I169" s="81"/>
      <c r="J169" s="81"/>
      <c r="K169" s="81"/>
      <c r="L169" s="81"/>
      <c r="M169" s="82" t="s">
        <v>52</v>
      </c>
      <c r="N169" s="82"/>
      <c r="O169" s="82"/>
      <c r="P169" s="82"/>
      <c r="Q169" s="82" t="s">
        <v>645</v>
      </c>
      <c r="R169" s="111">
        <v>45832</v>
      </c>
      <c r="S169" s="82" t="s">
        <v>23</v>
      </c>
      <c r="T169" s="81" t="s">
        <v>144</v>
      </c>
      <c r="U169" s="81" t="s">
        <v>144</v>
      </c>
    </row>
    <row r="170" spans="1:21" x14ac:dyDescent="0.25">
      <c r="A170" s="81"/>
      <c r="B170" s="81"/>
      <c r="C170" s="81" t="s">
        <v>144</v>
      </c>
      <c r="D170" s="81" t="s">
        <v>143</v>
      </c>
      <c r="E170" s="81" t="s">
        <v>646</v>
      </c>
      <c r="F170" s="81" t="s">
        <v>166</v>
      </c>
      <c r="G170" s="81" t="s">
        <v>647</v>
      </c>
      <c r="H170" s="81"/>
      <c r="I170" s="81"/>
      <c r="J170" s="81"/>
      <c r="K170" s="81"/>
      <c r="L170" s="81"/>
      <c r="M170" s="82" t="s">
        <v>52</v>
      </c>
      <c r="N170" s="82"/>
      <c r="O170" s="82"/>
      <c r="P170" s="82"/>
      <c r="Q170" s="82" t="s">
        <v>648</v>
      </c>
      <c r="R170" s="111">
        <v>45841</v>
      </c>
      <c r="S170" s="82" t="s">
        <v>20</v>
      </c>
      <c r="T170" s="81" t="s">
        <v>144</v>
      </c>
      <c r="U170" s="81" t="s">
        <v>144</v>
      </c>
    </row>
    <row r="171" spans="1:21" ht="30" x14ac:dyDescent="0.25">
      <c r="A171" s="81"/>
      <c r="B171" s="81"/>
      <c r="C171" s="81" t="s">
        <v>144</v>
      </c>
      <c r="D171" s="81" t="s">
        <v>143</v>
      </c>
      <c r="E171" s="81" t="s">
        <v>649</v>
      </c>
      <c r="F171" s="81" t="s">
        <v>262</v>
      </c>
      <c r="G171" s="81" t="s">
        <v>650</v>
      </c>
      <c r="H171" s="81"/>
      <c r="I171" s="81"/>
      <c r="J171" s="81"/>
      <c r="K171" s="81"/>
      <c r="L171" s="81"/>
      <c r="M171" s="82" t="s">
        <v>52</v>
      </c>
      <c r="N171" s="82"/>
      <c r="O171" s="82"/>
      <c r="P171" s="82"/>
      <c r="Q171" s="82" t="s">
        <v>651</v>
      </c>
      <c r="R171" s="111">
        <v>45841</v>
      </c>
      <c r="S171" s="82" t="s">
        <v>652</v>
      </c>
      <c r="T171" s="81" t="s">
        <v>144</v>
      </c>
      <c r="U171" s="81" t="s">
        <v>144</v>
      </c>
    </row>
    <row r="172" spans="1:21" ht="45" x14ac:dyDescent="0.25">
      <c r="A172" s="81"/>
      <c r="B172" s="81"/>
      <c r="C172" s="81" t="s">
        <v>144</v>
      </c>
      <c r="D172" s="81" t="s">
        <v>143</v>
      </c>
      <c r="E172" s="81" t="s">
        <v>653</v>
      </c>
      <c r="F172" s="81" t="s">
        <v>148</v>
      </c>
      <c r="G172" s="81" t="s">
        <v>654</v>
      </c>
      <c r="H172" s="81"/>
      <c r="I172" s="81"/>
      <c r="J172" s="81"/>
      <c r="K172" s="81"/>
      <c r="L172" s="81"/>
      <c r="M172" s="82" t="s">
        <v>52</v>
      </c>
      <c r="N172" s="82"/>
      <c r="O172" s="82"/>
      <c r="P172" s="82"/>
      <c r="Q172" s="82" t="s">
        <v>655</v>
      </c>
      <c r="R172" s="111">
        <v>45847</v>
      </c>
      <c r="S172" s="82" t="s">
        <v>623</v>
      </c>
      <c r="T172" s="81" t="s">
        <v>144</v>
      </c>
      <c r="U172" s="81"/>
    </row>
    <row r="173" spans="1:21" ht="30" x14ac:dyDescent="0.25">
      <c r="A173" s="81"/>
      <c r="B173" s="81"/>
      <c r="C173" s="81" t="s">
        <v>144</v>
      </c>
      <c r="D173" s="81" t="s">
        <v>143</v>
      </c>
      <c r="E173" s="81" t="s">
        <v>656</v>
      </c>
      <c r="F173" s="81" t="s">
        <v>148</v>
      </c>
      <c r="G173" s="81" t="s">
        <v>657</v>
      </c>
      <c r="H173" s="81"/>
      <c r="I173" s="81"/>
      <c r="J173" s="81"/>
      <c r="K173" s="81"/>
      <c r="L173" s="81"/>
      <c r="M173" s="82" t="s">
        <v>52</v>
      </c>
      <c r="N173" s="82"/>
      <c r="O173" s="82"/>
      <c r="P173" s="82"/>
      <c r="Q173" s="82" t="s">
        <v>658</v>
      </c>
      <c r="R173" s="111">
        <v>45853</v>
      </c>
      <c r="S173" s="82" t="s">
        <v>38</v>
      </c>
      <c r="T173" s="81" t="s">
        <v>144</v>
      </c>
      <c r="U173" s="81"/>
    </row>
    <row r="174" spans="1:21" x14ac:dyDescent="0.25">
      <c r="A174" s="81"/>
      <c r="B174" s="81"/>
      <c r="C174" s="81" t="s">
        <v>144</v>
      </c>
      <c r="D174" s="81" t="s">
        <v>143</v>
      </c>
      <c r="E174" s="81" t="s">
        <v>659</v>
      </c>
      <c r="F174" s="81" t="s">
        <v>162</v>
      </c>
      <c r="G174" s="81" t="s">
        <v>660</v>
      </c>
      <c r="H174" s="81"/>
      <c r="I174" s="81"/>
      <c r="J174" s="81"/>
      <c r="K174" s="81"/>
      <c r="L174" s="81"/>
      <c r="M174" s="82" t="s">
        <v>52</v>
      </c>
      <c r="N174" s="82"/>
      <c r="O174" s="82"/>
      <c r="P174" s="82"/>
      <c r="Q174" s="82" t="s">
        <v>661</v>
      </c>
      <c r="R174" s="111">
        <v>45860</v>
      </c>
      <c r="S174" s="82" t="s">
        <v>23</v>
      </c>
      <c r="T174" s="81" t="s">
        <v>144</v>
      </c>
      <c r="U174" s="81"/>
    </row>
    <row r="175" spans="1:21" ht="30" x14ac:dyDescent="0.25">
      <c r="A175" s="81"/>
      <c r="B175" s="81"/>
      <c r="C175" s="81" t="s">
        <v>144</v>
      </c>
      <c r="D175" s="81" t="s">
        <v>143</v>
      </c>
      <c r="E175" s="81" t="s">
        <v>662</v>
      </c>
      <c r="F175" s="81" t="s">
        <v>262</v>
      </c>
      <c r="G175" s="81" t="s">
        <v>663</v>
      </c>
      <c r="H175" s="81"/>
      <c r="I175" s="81"/>
      <c r="J175" s="81"/>
      <c r="K175" s="81"/>
      <c r="L175" s="81"/>
      <c r="M175" s="82" t="s">
        <v>52</v>
      </c>
      <c r="N175" s="82"/>
      <c r="O175" s="82"/>
      <c r="P175" s="82"/>
      <c r="Q175" s="82" t="s">
        <v>664</v>
      </c>
      <c r="R175" s="111">
        <v>45856</v>
      </c>
      <c r="S175" s="82" t="s">
        <v>45</v>
      </c>
      <c r="T175" s="81" t="s">
        <v>144</v>
      </c>
      <c r="U175" s="81"/>
    </row>
    <row r="176" spans="1:21" x14ac:dyDescent="0.25">
      <c r="A176" s="81"/>
      <c r="B176" s="81"/>
      <c r="C176" s="81" t="s">
        <v>144</v>
      </c>
      <c r="D176" s="81" t="s">
        <v>143</v>
      </c>
      <c r="E176" s="81" t="s">
        <v>665</v>
      </c>
      <c r="F176" s="81" t="s">
        <v>161</v>
      </c>
      <c r="G176" s="81" t="s">
        <v>666</v>
      </c>
      <c r="H176" s="81"/>
      <c r="I176" s="81"/>
      <c r="J176" s="81"/>
      <c r="K176" s="81"/>
      <c r="L176" s="81"/>
      <c r="M176" s="82" t="s">
        <v>52</v>
      </c>
      <c r="N176" s="82"/>
      <c r="O176" s="82"/>
      <c r="P176" s="82"/>
      <c r="Q176" s="82" t="s">
        <v>667</v>
      </c>
      <c r="R176" s="111">
        <v>45852</v>
      </c>
      <c r="S176" s="82" t="s">
        <v>20</v>
      </c>
      <c r="T176" s="81" t="s">
        <v>144</v>
      </c>
      <c r="U176" s="81" t="s">
        <v>144</v>
      </c>
    </row>
    <row r="177" spans="1:21" x14ac:dyDescent="0.25">
      <c r="A177" s="81"/>
      <c r="B177" s="81"/>
      <c r="C177" s="81" t="s">
        <v>144</v>
      </c>
      <c r="D177" s="81" t="s">
        <v>143</v>
      </c>
      <c r="E177" s="81" t="s">
        <v>668</v>
      </c>
      <c r="F177" s="81" t="s">
        <v>166</v>
      </c>
      <c r="G177" s="81" t="s">
        <v>669</v>
      </c>
      <c r="H177" s="81"/>
      <c r="I177" s="81"/>
      <c r="J177" s="81"/>
      <c r="K177" s="81"/>
      <c r="L177" s="81"/>
      <c r="M177" s="82" t="s">
        <v>52</v>
      </c>
      <c r="N177" s="82"/>
      <c r="O177" s="82"/>
      <c r="P177" s="82"/>
      <c r="Q177" s="82" t="s">
        <v>670</v>
      </c>
      <c r="R177" s="111">
        <v>45868</v>
      </c>
      <c r="S177" s="82" t="s">
        <v>238</v>
      </c>
      <c r="T177" s="81" t="s">
        <v>144</v>
      </c>
      <c r="U177" s="81"/>
    </row>
    <row r="178" spans="1:21" ht="45" x14ac:dyDescent="0.25">
      <c r="A178" s="81"/>
      <c r="B178" s="81"/>
      <c r="C178" s="81" t="s">
        <v>144</v>
      </c>
      <c r="D178" s="81" t="s">
        <v>143</v>
      </c>
      <c r="E178" s="81" t="s">
        <v>671</v>
      </c>
      <c r="F178" s="81" t="s">
        <v>148</v>
      </c>
      <c r="G178" s="81" t="s">
        <v>672</v>
      </c>
      <c r="H178" s="81"/>
      <c r="I178" s="81"/>
      <c r="J178" s="81"/>
      <c r="K178" s="81"/>
      <c r="L178" s="81"/>
      <c r="M178" s="82" t="s">
        <v>52</v>
      </c>
      <c r="N178" s="82"/>
      <c r="O178" s="82"/>
      <c r="P178" s="82"/>
      <c r="Q178" s="82" t="s">
        <v>673</v>
      </c>
      <c r="R178" s="111">
        <v>45882</v>
      </c>
      <c r="S178" s="82" t="s">
        <v>674</v>
      </c>
      <c r="T178" s="81" t="s">
        <v>144</v>
      </c>
      <c r="U178" s="81"/>
    </row>
    <row r="179" spans="1:21" ht="30" x14ac:dyDescent="0.25">
      <c r="A179" s="81"/>
      <c r="B179" s="81"/>
      <c r="C179" s="81" t="s">
        <v>144</v>
      </c>
      <c r="D179" s="81" t="s">
        <v>143</v>
      </c>
      <c r="E179" s="81" t="s">
        <v>675</v>
      </c>
      <c r="F179" s="81" t="s">
        <v>148</v>
      </c>
      <c r="G179" s="81" t="s">
        <v>676</v>
      </c>
      <c r="H179" s="81"/>
      <c r="I179" s="81"/>
      <c r="J179" s="81"/>
      <c r="K179" s="81"/>
      <c r="L179" s="81"/>
      <c r="M179" s="82" t="s">
        <v>52</v>
      </c>
      <c r="N179" s="82"/>
      <c r="O179" s="82"/>
      <c r="P179" s="82"/>
      <c r="Q179" s="82" t="s">
        <v>677</v>
      </c>
      <c r="R179" s="111">
        <v>45882</v>
      </c>
      <c r="S179" s="82" t="s">
        <v>20</v>
      </c>
      <c r="T179" s="81" t="s">
        <v>144</v>
      </c>
      <c r="U179" s="81"/>
    </row>
    <row r="180" spans="1:21" x14ac:dyDescent="0.25">
      <c r="A180" s="81"/>
      <c r="B180" s="81"/>
      <c r="C180" s="81" t="s">
        <v>144</v>
      </c>
      <c r="D180" s="81" t="s">
        <v>143</v>
      </c>
      <c r="E180" s="81" t="s">
        <v>678</v>
      </c>
      <c r="F180" s="81" t="s">
        <v>162</v>
      </c>
      <c r="G180" s="81" t="s">
        <v>679</v>
      </c>
      <c r="H180" s="81"/>
      <c r="I180" s="81"/>
      <c r="J180" s="81"/>
      <c r="K180" s="81"/>
      <c r="L180" s="81"/>
      <c r="M180" s="82" t="s">
        <v>52</v>
      </c>
      <c r="N180" s="82"/>
      <c r="O180" s="82"/>
      <c r="P180" s="82"/>
      <c r="Q180" s="82" t="s">
        <v>680</v>
      </c>
      <c r="R180" s="111"/>
      <c r="S180" s="82"/>
      <c r="T180" s="81" t="s">
        <v>144</v>
      </c>
      <c r="U180" s="81"/>
    </row>
    <row r="181" spans="1:21" x14ac:dyDescent="0.25">
      <c r="A181" s="81"/>
      <c r="B181" s="81"/>
      <c r="C181" s="81" t="s">
        <v>144</v>
      </c>
      <c r="D181" s="81" t="s">
        <v>143</v>
      </c>
      <c r="E181" s="81" t="s">
        <v>681</v>
      </c>
      <c r="F181" s="81" t="s">
        <v>166</v>
      </c>
      <c r="G181" s="81" t="s">
        <v>682</v>
      </c>
      <c r="H181" s="81"/>
      <c r="I181" s="81"/>
      <c r="J181" s="81"/>
      <c r="K181" s="81"/>
      <c r="L181" s="81"/>
      <c r="M181" s="82" t="s">
        <v>52</v>
      </c>
      <c r="N181" s="82"/>
      <c r="O181" s="82"/>
      <c r="P181" s="82"/>
      <c r="Q181" s="82" t="s">
        <v>683</v>
      </c>
      <c r="R181" s="111">
        <v>45888</v>
      </c>
      <c r="S181" s="82" t="s">
        <v>684</v>
      </c>
      <c r="T181" s="81" t="s">
        <v>144</v>
      </c>
      <c r="U181" s="81"/>
    </row>
    <row r="182" spans="1:21" ht="45" x14ac:dyDescent="0.25">
      <c r="A182" s="81"/>
      <c r="B182" s="81"/>
      <c r="C182" s="81" t="s">
        <v>144</v>
      </c>
      <c r="D182" s="81" t="s">
        <v>143</v>
      </c>
      <c r="E182" s="81" t="s">
        <v>685</v>
      </c>
      <c r="F182" s="81" t="s">
        <v>163</v>
      </c>
      <c r="G182" s="81" t="s">
        <v>686</v>
      </c>
      <c r="H182" s="81"/>
      <c r="I182" s="81"/>
      <c r="J182" s="81"/>
      <c r="K182" s="81"/>
      <c r="L182" s="81"/>
      <c r="M182" s="82" t="s">
        <v>52</v>
      </c>
      <c r="N182" s="82"/>
      <c r="O182" s="82"/>
      <c r="P182" s="82"/>
      <c r="Q182" s="82" t="s">
        <v>687</v>
      </c>
      <c r="R182" s="111">
        <v>45888</v>
      </c>
      <c r="S182" s="82" t="s">
        <v>684</v>
      </c>
      <c r="T182" s="81" t="s">
        <v>144</v>
      </c>
      <c r="U182" s="81"/>
    </row>
    <row r="183" spans="1:21" ht="30" x14ac:dyDescent="0.25">
      <c r="A183" s="81"/>
      <c r="B183" s="81"/>
      <c r="C183" s="81" t="s">
        <v>144</v>
      </c>
      <c r="D183" s="81" t="s">
        <v>143</v>
      </c>
      <c r="E183" s="81" t="s">
        <v>688</v>
      </c>
      <c r="F183" s="81" t="s">
        <v>161</v>
      </c>
      <c r="G183" s="81" t="s">
        <v>689</v>
      </c>
      <c r="H183" s="81"/>
      <c r="I183" s="81"/>
      <c r="J183" s="81"/>
      <c r="K183" s="81"/>
      <c r="L183" s="81"/>
      <c r="M183" s="82" t="s">
        <v>52</v>
      </c>
      <c r="N183" s="82"/>
      <c r="O183" s="82"/>
      <c r="P183" s="82"/>
      <c r="Q183" s="82"/>
      <c r="R183" s="111"/>
      <c r="S183" s="82"/>
      <c r="T183" s="81" t="s">
        <v>144</v>
      </c>
      <c r="U183" s="81"/>
    </row>
    <row r="184" spans="1:21" ht="30" x14ac:dyDescent="0.25">
      <c r="A184" s="81"/>
      <c r="B184" s="81"/>
      <c r="C184" s="81" t="s">
        <v>144</v>
      </c>
      <c r="D184" s="81" t="s">
        <v>143</v>
      </c>
      <c r="E184" s="81" t="s">
        <v>690</v>
      </c>
      <c r="F184" s="81" t="s">
        <v>161</v>
      </c>
      <c r="G184" s="81" t="s">
        <v>691</v>
      </c>
      <c r="H184" s="81"/>
      <c r="I184" s="81"/>
      <c r="J184" s="81"/>
      <c r="K184" s="81"/>
      <c r="L184" s="81"/>
      <c r="M184" s="82" t="s">
        <v>52</v>
      </c>
      <c r="N184" s="82"/>
      <c r="O184" s="82"/>
      <c r="P184" s="82"/>
      <c r="Q184" s="82"/>
      <c r="R184" s="111"/>
      <c r="S184" s="82"/>
      <c r="T184" s="81" t="s">
        <v>144</v>
      </c>
      <c r="U184" s="81"/>
    </row>
    <row r="185" spans="1:21" x14ac:dyDescent="0.25">
      <c r="A185" s="81"/>
      <c r="B185" s="81"/>
      <c r="C185" s="81" t="s">
        <v>144</v>
      </c>
      <c r="D185" s="81" t="s">
        <v>143</v>
      </c>
      <c r="E185" s="81" t="s">
        <v>692</v>
      </c>
      <c r="F185" s="81" t="s">
        <v>148</v>
      </c>
      <c r="G185" s="81" t="s">
        <v>693</v>
      </c>
      <c r="H185" s="81"/>
      <c r="I185" s="81"/>
      <c r="J185" s="81"/>
      <c r="K185" s="81"/>
      <c r="L185" s="81"/>
      <c r="M185" s="82" t="s">
        <v>52</v>
      </c>
      <c r="N185" s="82"/>
      <c r="O185" s="82"/>
      <c r="P185" s="82"/>
      <c r="Q185" s="82"/>
      <c r="R185" s="111">
        <v>45895</v>
      </c>
      <c r="S185" s="82" t="s">
        <v>20</v>
      </c>
      <c r="T185" s="81" t="s">
        <v>144</v>
      </c>
      <c r="U185" s="81"/>
    </row>
    <row r="186" spans="1:21" x14ac:dyDescent="0.25">
      <c r="A186" s="81"/>
      <c r="B186" s="81"/>
      <c r="C186" s="81" t="s">
        <v>144</v>
      </c>
      <c r="D186" s="81" t="s">
        <v>143</v>
      </c>
      <c r="E186" s="81" t="s">
        <v>694</v>
      </c>
      <c r="F186" s="81" t="s">
        <v>162</v>
      </c>
      <c r="G186" s="81" t="s">
        <v>695</v>
      </c>
      <c r="H186" s="81"/>
      <c r="I186" s="81"/>
      <c r="J186" s="81"/>
      <c r="K186" s="81"/>
      <c r="L186" s="81"/>
      <c r="M186" s="82" t="s">
        <v>52</v>
      </c>
      <c r="N186" s="82"/>
      <c r="O186" s="82"/>
      <c r="P186" s="82"/>
      <c r="Q186" s="82" t="s">
        <v>696</v>
      </c>
      <c r="R186" s="111">
        <v>45896</v>
      </c>
      <c r="S186" s="82" t="s">
        <v>20</v>
      </c>
      <c r="T186" s="81" t="s">
        <v>144</v>
      </c>
      <c r="U186" s="81"/>
    </row>
    <row r="187" spans="1:21" ht="30" x14ac:dyDescent="0.25">
      <c r="A187" s="81"/>
      <c r="B187" s="81"/>
      <c r="C187" s="81" t="s">
        <v>144</v>
      </c>
      <c r="D187" s="81" t="s">
        <v>143</v>
      </c>
      <c r="E187" s="81" t="s">
        <v>697</v>
      </c>
      <c r="F187" s="81" t="s">
        <v>162</v>
      </c>
      <c r="G187" s="81" t="s">
        <v>698</v>
      </c>
      <c r="H187" s="81"/>
      <c r="I187" s="81"/>
      <c r="J187" s="81"/>
      <c r="K187" s="81"/>
      <c r="L187" s="81"/>
      <c r="M187" s="82" t="s">
        <v>52</v>
      </c>
      <c r="N187" s="82"/>
      <c r="O187" s="82"/>
      <c r="P187" s="82"/>
      <c r="Q187" s="82" t="s">
        <v>699</v>
      </c>
      <c r="R187" s="111">
        <v>45896</v>
      </c>
      <c r="S187" s="82" t="s">
        <v>20</v>
      </c>
      <c r="T187" s="81" t="s">
        <v>144</v>
      </c>
      <c r="U187" s="81"/>
    </row>
    <row r="188" spans="1:21" x14ac:dyDescent="0.25">
      <c r="A188" s="81"/>
      <c r="B188" s="81"/>
      <c r="C188" s="81" t="s">
        <v>144</v>
      </c>
      <c r="D188" s="81" t="s">
        <v>143</v>
      </c>
      <c r="E188" s="81" t="s">
        <v>700</v>
      </c>
      <c r="F188" s="81" t="s">
        <v>148</v>
      </c>
      <c r="G188" s="81" t="s">
        <v>701</v>
      </c>
      <c r="H188" s="81"/>
      <c r="I188" s="81"/>
      <c r="J188" s="81"/>
      <c r="K188" s="81"/>
      <c r="L188" s="81"/>
      <c r="M188" s="82" t="s">
        <v>52</v>
      </c>
      <c r="N188" s="82"/>
      <c r="O188" s="82"/>
      <c r="P188" s="82"/>
      <c r="Q188" s="82"/>
      <c r="R188" s="111">
        <v>45889</v>
      </c>
      <c r="S188" s="82" t="s">
        <v>20</v>
      </c>
      <c r="T188" s="81" t="s">
        <v>144</v>
      </c>
      <c r="U188" s="81"/>
    </row>
    <row r="189" spans="1:21" x14ac:dyDescent="0.25">
      <c r="A189" s="81"/>
      <c r="B189" s="81"/>
      <c r="C189" s="81" t="s">
        <v>144</v>
      </c>
      <c r="D189" s="81" t="s">
        <v>143</v>
      </c>
      <c r="E189" s="81" t="s">
        <v>702</v>
      </c>
      <c r="F189" s="81" t="s">
        <v>148</v>
      </c>
      <c r="G189" s="81" t="s">
        <v>703</v>
      </c>
      <c r="H189" s="81"/>
      <c r="I189" s="81"/>
      <c r="J189" s="81"/>
      <c r="K189" s="81"/>
      <c r="L189" s="81"/>
      <c r="M189" s="82" t="s">
        <v>52</v>
      </c>
      <c r="N189" s="82"/>
      <c r="O189" s="82"/>
      <c r="P189" s="82"/>
      <c r="Q189" s="82"/>
      <c r="R189" s="111">
        <v>45897</v>
      </c>
      <c r="S189" s="82" t="s">
        <v>20</v>
      </c>
      <c r="T189" s="81" t="s">
        <v>144</v>
      </c>
      <c r="U189" s="81"/>
    </row>
    <row r="190" spans="1:21" ht="30" x14ac:dyDescent="0.25">
      <c r="A190" s="81"/>
      <c r="B190" s="81"/>
      <c r="C190" s="81" t="s">
        <v>144</v>
      </c>
      <c r="D190" s="81" t="s">
        <v>143</v>
      </c>
      <c r="E190" s="81" t="s">
        <v>704</v>
      </c>
      <c r="F190" s="81" t="s">
        <v>163</v>
      </c>
      <c r="G190" s="81" t="s">
        <v>705</v>
      </c>
      <c r="H190" s="81"/>
      <c r="I190" s="81"/>
      <c r="J190" s="81"/>
      <c r="K190" s="81"/>
      <c r="L190" s="81"/>
      <c r="M190" s="82" t="s">
        <v>52</v>
      </c>
      <c r="N190" s="82"/>
      <c r="O190" s="82"/>
      <c r="P190" s="82"/>
      <c r="Q190" s="82" t="s">
        <v>427</v>
      </c>
      <c r="R190" s="111">
        <v>45897</v>
      </c>
      <c r="S190" s="82" t="s">
        <v>238</v>
      </c>
      <c r="T190" s="81" t="s">
        <v>144</v>
      </c>
      <c r="U190" s="81"/>
    </row>
    <row r="191" spans="1:21" x14ac:dyDescent="0.25">
      <c r="A191" s="81"/>
      <c r="B191" s="81"/>
      <c r="C191" s="81" t="s">
        <v>144</v>
      </c>
      <c r="D191" s="81" t="s">
        <v>143</v>
      </c>
      <c r="E191" s="81" t="s">
        <v>706</v>
      </c>
      <c r="F191" s="81" t="s">
        <v>166</v>
      </c>
      <c r="G191" s="81" t="s">
        <v>707</v>
      </c>
      <c r="H191" s="81"/>
      <c r="I191" s="81"/>
      <c r="J191" s="81"/>
      <c r="K191" s="81"/>
      <c r="L191" s="81"/>
      <c r="M191" s="82" t="s">
        <v>52</v>
      </c>
      <c r="N191" s="82"/>
      <c r="O191" s="82"/>
      <c r="P191" s="82"/>
      <c r="Q191" s="82"/>
      <c r="R191" s="111">
        <v>45898</v>
      </c>
      <c r="S191" s="82" t="s">
        <v>20</v>
      </c>
      <c r="T191" s="81" t="s">
        <v>144</v>
      </c>
      <c r="U191" s="81"/>
    </row>
    <row r="192" spans="1:21" ht="30" x14ac:dyDescent="0.25">
      <c r="A192" s="81"/>
      <c r="B192" s="81"/>
      <c r="C192" s="81" t="s">
        <v>144</v>
      </c>
      <c r="D192" s="81" t="s">
        <v>143</v>
      </c>
      <c r="E192" s="81" t="s">
        <v>708</v>
      </c>
      <c r="F192" s="81" t="s">
        <v>163</v>
      </c>
      <c r="G192" s="81" t="s">
        <v>709</v>
      </c>
      <c r="H192" s="81"/>
      <c r="I192" s="81"/>
      <c r="J192" s="81"/>
      <c r="K192" s="81"/>
      <c r="L192" s="81"/>
      <c r="M192" s="82" t="s">
        <v>52</v>
      </c>
      <c r="N192" s="82"/>
      <c r="O192" s="82"/>
      <c r="P192" s="82"/>
      <c r="Q192" s="82" t="s">
        <v>710</v>
      </c>
      <c r="R192" s="111">
        <v>45898</v>
      </c>
      <c r="S192" s="82" t="s">
        <v>20</v>
      </c>
      <c r="T192" s="81" t="s">
        <v>144</v>
      </c>
      <c r="U192" s="81"/>
    </row>
    <row r="193" spans="1:21" x14ac:dyDescent="0.25">
      <c r="A193" s="81"/>
      <c r="B193" s="81"/>
      <c r="C193" s="81" t="s">
        <v>144</v>
      </c>
      <c r="D193" s="81" t="s">
        <v>143</v>
      </c>
      <c r="E193" s="81" t="s">
        <v>711</v>
      </c>
      <c r="F193" s="81" t="s">
        <v>163</v>
      </c>
      <c r="G193" s="81" t="s">
        <v>712</v>
      </c>
      <c r="H193" s="81"/>
      <c r="I193" s="81"/>
      <c r="J193" s="81"/>
      <c r="K193" s="81"/>
      <c r="L193" s="81"/>
      <c r="M193" s="82" t="s">
        <v>52</v>
      </c>
      <c r="N193" s="82"/>
      <c r="O193" s="82"/>
      <c r="P193" s="82"/>
      <c r="Q193" s="82" t="s">
        <v>713</v>
      </c>
      <c r="R193" s="111">
        <v>45901</v>
      </c>
      <c r="S193" s="82" t="s">
        <v>20</v>
      </c>
      <c r="T193" s="81" t="s">
        <v>144</v>
      </c>
      <c r="U193" s="81"/>
    </row>
    <row r="194" spans="1:21" x14ac:dyDescent="0.25">
      <c r="A194" s="81"/>
      <c r="B194" s="81"/>
      <c r="C194" s="81" t="s">
        <v>144</v>
      </c>
      <c r="D194" s="81" t="s">
        <v>143</v>
      </c>
      <c r="E194" s="81" t="s">
        <v>714</v>
      </c>
      <c r="F194" s="81" t="s">
        <v>262</v>
      </c>
      <c r="G194" s="81" t="s">
        <v>715</v>
      </c>
      <c r="H194" s="81"/>
      <c r="I194" s="81"/>
      <c r="J194" s="81"/>
      <c r="K194" s="81"/>
      <c r="L194" s="81"/>
      <c r="M194" s="82" t="s">
        <v>52</v>
      </c>
      <c r="N194" s="82"/>
      <c r="O194" s="82"/>
      <c r="P194" s="82"/>
      <c r="Q194" s="82" t="s">
        <v>716</v>
      </c>
      <c r="R194" s="111">
        <v>45903</v>
      </c>
      <c r="S194" s="82" t="s">
        <v>20</v>
      </c>
      <c r="T194" s="81" t="s">
        <v>144</v>
      </c>
      <c r="U194" s="81"/>
    </row>
    <row r="195" spans="1:21" x14ac:dyDescent="0.25">
      <c r="A195" s="81"/>
      <c r="B195" s="81"/>
      <c r="C195" s="81" t="s">
        <v>144</v>
      </c>
      <c r="D195" s="81" t="s">
        <v>143</v>
      </c>
      <c r="E195" s="81" t="s">
        <v>717</v>
      </c>
      <c r="F195" s="81" t="s">
        <v>161</v>
      </c>
      <c r="G195" s="81" t="s">
        <v>718</v>
      </c>
      <c r="H195" s="81"/>
      <c r="I195" s="81"/>
      <c r="J195" s="81"/>
      <c r="K195" s="81"/>
      <c r="L195" s="81"/>
      <c r="M195" s="82" t="s">
        <v>52</v>
      </c>
      <c r="N195" s="82"/>
      <c r="O195" s="82"/>
      <c r="P195" s="82"/>
      <c r="Q195" s="82"/>
      <c r="R195" s="111"/>
      <c r="S195" s="82"/>
      <c r="T195" s="81" t="s">
        <v>144</v>
      </c>
      <c r="U195" s="81"/>
    </row>
    <row r="196" spans="1:21" x14ac:dyDescent="0.25">
      <c r="A196" s="81"/>
      <c r="B196" s="81"/>
      <c r="C196" s="81" t="s">
        <v>144</v>
      </c>
      <c r="D196" s="81" t="s">
        <v>143</v>
      </c>
      <c r="E196" s="81" t="s">
        <v>719</v>
      </c>
      <c r="F196" s="81" t="s">
        <v>148</v>
      </c>
      <c r="G196" s="81" t="s">
        <v>720</v>
      </c>
      <c r="H196" s="81"/>
      <c r="I196" s="81"/>
      <c r="J196" s="81"/>
      <c r="K196" s="81"/>
      <c r="L196" s="81"/>
      <c r="M196" s="82" t="s">
        <v>52</v>
      </c>
      <c r="N196" s="82"/>
      <c r="O196" s="82"/>
      <c r="P196" s="82"/>
      <c r="Q196" s="82"/>
      <c r="R196" s="111"/>
      <c r="S196" s="82"/>
      <c r="T196" s="81" t="s">
        <v>144</v>
      </c>
      <c r="U196" s="81"/>
    </row>
    <row r="197" spans="1:21" ht="30" x14ac:dyDescent="0.25">
      <c r="A197" s="81"/>
      <c r="B197" s="81"/>
      <c r="C197" s="81" t="s">
        <v>144</v>
      </c>
      <c r="D197" s="81" t="s">
        <v>143</v>
      </c>
      <c r="E197" s="81" t="s">
        <v>721</v>
      </c>
      <c r="F197" s="81" t="s">
        <v>148</v>
      </c>
      <c r="G197" s="81" t="s">
        <v>722</v>
      </c>
      <c r="H197" s="81"/>
      <c r="I197" s="81"/>
      <c r="J197" s="81"/>
      <c r="K197" s="81"/>
      <c r="L197" s="81"/>
      <c r="M197" s="82" t="s">
        <v>52</v>
      </c>
      <c r="N197" s="82"/>
      <c r="O197" s="82"/>
      <c r="P197" s="82"/>
      <c r="Q197" s="82"/>
      <c r="R197" s="111"/>
      <c r="S197" s="82"/>
      <c r="T197" s="81" t="s">
        <v>144</v>
      </c>
      <c r="U197" s="81"/>
    </row>
    <row r="198" spans="1:21" x14ac:dyDescent="0.25">
      <c r="A198" s="81"/>
      <c r="B198" s="81"/>
      <c r="C198" s="81" t="s">
        <v>144</v>
      </c>
      <c r="D198" s="81" t="s">
        <v>143</v>
      </c>
      <c r="E198" s="81" t="s">
        <v>723</v>
      </c>
      <c r="F198" s="81" t="s">
        <v>148</v>
      </c>
      <c r="G198" s="81" t="s">
        <v>724</v>
      </c>
      <c r="H198" s="81"/>
      <c r="I198" s="81"/>
      <c r="J198" s="81"/>
      <c r="K198" s="81"/>
      <c r="L198" s="81"/>
      <c r="M198" s="82" t="s">
        <v>52</v>
      </c>
      <c r="N198" s="82"/>
      <c r="O198" s="82"/>
      <c r="P198" s="82"/>
      <c r="Q198" s="82" t="s">
        <v>725</v>
      </c>
      <c r="R198" s="111">
        <v>45905</v>
      </c>
      <c r="S198" s="82" t="s">
        <v>20</v>
      </c>
      <c r="T198" s="81" t="s">
        <v>144</v>
      </c>
      <c r="U198" s="81"/>
    </row>
    <row r="199" spans="1:21" x14ac:dyDescent="0.25">
      <c r="A199" s="81"/>
      <c r="B199" s="81"/>
      <c r="C199" s="81" t="s">
        <v>144</v>
      </c>
      <c r="D199" s="81" t="s">
        <v>143</v>
      </c>
      <c r="E199" s="81" t="s">
        <v>726</v>
      </c>
      <c r="F199" s="81" t="s">
        <v>148</v>
      </c>
      <c r="G199" s="81" t="s">
        <v>727</v>
      </c>
      <c r="H199" s="81"/>
      <c r="I199" s="81"/>
      <c r="J199" s="81"/>
      <c r="K199" s="81"/>
      <c r="L199" s="81"/>
      <c r="M199" s="82" t="s">
        <v>52</v>
      </c>
      <c r="N199" s="82"/>
      <c r="O199" s="82"/>
      <c r="P199" s="82"/>
      <c r="Q199" s="82"/>
      <c r="R199" s="111">
        <v>45905</v>
      </c>
      <c r="S199" s="82" t="s">
        <v>20</v>
      </c>
      <c r="T199" s="81" t="s">
        <v>144</v>
      </c>
      <c r="U199" s="81"/>
    </row>
    <row r="200" spans="1:21" x14ac:dyDescent="0.25">
      <c r="A200" s="81"/>
      <c r="B200" s="81"/>
      <c r="C200" s="81" t="s">
        <v>144</v>
      </c>
      <c r="D200" s="81" t="s">
        <v>143</v>
      </c>
      <c r="E200" s="81" t="s">
        <v>728</v>
      </c>
      <c r="F200" s="81" t="s">
        <v>148</v>
      </c>
      <c r="G200" s="81" t="s">
        <v>729</v>
      </c>
      <c r="H200" s="81"/>
      <c r="I200" s="81"/>
      <c r="J200" s="81"/>
      <c r="K200" s="81"/>
      <c r="L200" s="81"/>
      <c r="M200" s="82" t="s">
        <v>52</v>
      </c>
      <c r="N200" s="82"/>
      <c r="O200" s="82"/>
      <c r="P200" s="82"/>
      <c r="Q200" s="82" t="s">
        <v>725</v>
      </c>
      <c r="R200" s="111">
        <v>45908</v>
      </c>
      <c r="S200" s="82" t="s">
        <v>684</v>
      </c>
      <c r="T200" s="81" t="s">
        <v>144</v>
      </c>
      <c r="U200" s="81"/>
    </row>
    <row r="201" spans="1:21" ht="30" x14ac:dyDescent="0.25">
      <c r="A201" s="81"/>
      <c r="B201" s="81"/>
      <c r="C201" s="81" t="s">
        <v>144</v>
      </c>
      <c r="D201" s="81" t="s">
        <v>143</v>
      </c>
      <c r="E201" s="81" t="s">
        <v>730</v>
      </c>
      <c r="F201" s="81" t="s">
        <v>148</v>
      </c>
      <c r="G201" s="81" t="s">
        <v>731</v>
      </c>
      <c r="H201" s="81"/>
      <c r="I201" s="81"/>
      <c r="J201" s="81"/>
      <c r="K201" s="81"/>
      <c r="L201" s="81"/>
      <c r="M201" s="82" t="s">
        <v>52</v>
      </c>
      <c r="N201" s="82"/>
      <c r="O201" s="82"/>
      <c r="P201" s="82"/>
      <c r="Q201" s="82"/>
      <c r="R201" s="111"/>
      <c r="S201" s="82"/>
      <c r="T201" s="81" t="s">
        <v>144</v>
      </c>
      <c r="U201" s="81"/>
    </row>
    <row r="202" spans="1:21" ht="30" x14ac:dyDescent="0.25">
      <c r="A202" s="81"/>
      <c r="B202" s="81"/>
      <c r="C202" s="81" t="s">
        <v>144</v>
      </c>
      <c r="D202" s="81" t="s">
        <v>143</v>
      </c>
      <c r="E202" s="81" t="s">
        <v>732</v>
      </c>
      <c r="F202" s="81" t="s">
        <v>148</v>
      </c>
      <c r="G202" s="81" t="s">
        <v>733</v>
      </c>
      <c r="H202" s="81"/>
      <c r="I202" s="81"/>
      <c r="J202" s="81"/>
      <c r="K202" s="81"/>
      <c r="L202" s="81"/>
      <c r="M202" s="82" t="s">
        <v>52</v>
      </c>
      <c r="N202" s="82"/>
      <c r="O202" s="82"/>
      <c r="P202" s="82"/>
      <c r="Q202" s="82" t="s">
        <v>734</v>
      </c>
      <c r="R202" s="111">
        <v>45911</v>
      </c>
      <c r="S202" s="82" t="s">
        <v>735</v>
      </c>
      <c r="T202" s="81" t="s">
        <v>144</v>
      </c>
      <c r="U202" s="81"/>
    </row>
    <row r="203" spans="1:21" ht="30" x14ac:dyDescent="0.25">
      <c r="A203" s="81"/>
      <c r="B203" s="81"/>
      <c r="C203" s="81" t="s">
        <v>144</v>
      </c>
      <c r="D203" s="81" t="s">
        <v>143</v>
      </c>
      <c r="E203" s="81" t="s">
        <v>736</v>
      </c>
      <c r="F203" s="81" t="s">
        <v>148</v>
      </c>
      <c r="G203" s="81" t="s">
        <v>737</v>
      </c>
      <c r="H203" s="81"/>
      <c r="I203" s="81"/>
      <c r="J203" s="81"/>
      <c r="K203" s="81"/>
      <c r="L203" s="81"/>
      <c r="M203" s="82" t="s">
        <v>52</v>
      </c>
      <c r="N203" s="82"/>
      <c r="O203" s="82"/>
      <c r="P203" s="82"/>
      <c r="Q203" s="82" t="s">
        <v>738</v>
      </c>
      <c r="R203" s="111">
        <v>45915</v>
      </c>
      <c r="S203" s="82" t="s">
        <v>20</v>
      </c>
      <c r="T203" s="81" t="s">
        <v>144</v>
      </c>
      <c r="U203" s="81"/>
    </row>
    <row r="204" spans="1:21" ht="45" x14ac:dyDescent="0.25">
      <c r="A204" s="81"/>
      <c r="B204" s="81"/>
      <c r="C204" s="81" t="s">
        <v>144</v>
      </c>
      <c r="D204" s="81" t="s">
        <v>143</v>
      </c>
      <c r="E204" s="81" t="s">
        <v>739</v>
      </c>
      <c r="F204" s="81" t="s">
        <v>148</v>
      </c>
      <c r="G204" s="81" t="s">
        <v>740</v>
      </c>
      <c r="H204" s="81"/>
      <c r="I204" s="81"/>
      <c r="J204" s="81"/>
      <c r="K204" s="81"/>
      <c r="L204" s="81"/>
      <c r="M204" s="82" t="s">
        <v>52</v>
      </c>
      <c r="N204" s="82"/>
      <c r="O204" s="82"/>
      <c r="P204" s="82"/>
      <c r="Q204" s="82" t="s">
        <v>741</v>
      </c>
      <c r="R204" s="111">
        <v>45916</v>
      </c>
      <c r="S204" s="82" t="s">
        <v>20</v>
      </c>
      <c r="T204" s="81" t="s">
        <v>144</v>
      </c>
      <c r="U204" s="81"/>
    </row>
    <row r="205" spans="1:21" x14ac:dyDescent="0.25">
      <c r="A205" s="81"/>
      <c r="B205" s="81"/>
      <c r="C205" s="81" t="s">
        <v>144</v>
      </c>
      <c r="D205" s="81" t="s">
        <v>143</v>
      </c>
      <c r="E205" s="81" t="s">
        <v>742</v>
      </c>
      <c r="F205" s="81" t="s">
        <v>148</v>
      </c>
      <c r="G205" s="81" t="s">
        <v>743</v>
      </c>
      <c r="H205" s="81"/>
      <c r="I205" s="81"/>
      <c r="J205" s="81"/>
      <c r="K205" s="81"/>
      <c r="L205" s="81"/>
      <c r="M205" s="82" t="s">
        <v>52</v>
      </c>
      <c r="N205" s="82"/>
      <c r="O205" s="82"/>
      <c r="P205" s="82"/>
      <c r="Q205" s="82" t="s">
        <v>744</v>
      </c>
      <c r="R205" s="111">
        <v>45922</v>
      </c>
      <c r="S205" s="82" t="s">
        <v>20</v>
      </c>
      <c r="T205" s="81" t="s">
        <v>144</v>
      </c>
      <c r="U205" s="81"/>
    </row>
    <row r="206" spans="1:21" x14ac:dyDescent="0.25">
      <c r="A206" s="81"/>
      <c r="B206" s="81"/>
      <c r="C206" s="81" t="s">
        <v>144</v>
      </c>
      <c r="D206" s="81" t="s">
        <v>143</v>
      </c>
      <c r="E206" s="81" t="s">
        <v>745</v>
      </c>
      <c r="F206" s="81" t="s">
        <v>166</v>
      </c>
      <c r="G206" s="81" t="s">
        <v>746</v>
      </c>
      <c r="H206" s="81"/>
      <c r="I206" s="81"/>
      <c r="J206" s="81"/>
      <c r="K206" s="81"/>
      <c r="L206" s="81"/>
      <c r="M206" s="82" t="s">
        <v>52</v>
      </c>
      <c r="N206" s="82"/>
      <c r="O206" s="82"/>
      <c r="P206" s="82"/>
      <c r="Q206" s="82" t="s">
        <v>747</v>
      </c>
      <c r="R206" s="111">
        <v>45929</v>
      </c>
      <c r="S206" s="82" t="s">
        <v>20</v>
      </c>
      <c r="T206" s="81" t="s">
        <v>144</v>
      </c>
      <c r="U206" s="81"/>
    </row>
    <row r="207" spans="1:21" ht="30" x14ac:dyDescent="0.25">
      <c r="A207" s="81"/>
      <c r="B207" s="81"/>
      <c r="C207" s="81" t="s">
        <v>144</v>
      </c>
      <c r="D207" s="81" t="s">
        <v>143</v>
      </c>
      <c r="E207" s="81" t="s">
        <v>748</v>
      </c>
      <c r="F207" s="81" t="s">
        <v>166</v>
      </c>
      <c r="G207" s="81" t="s">
        <v>749</v>
      </c>
      <c r="H207" s="81"/>
      <c r="I207" s="81"/>
      <c r="J207" s="81"/>
      <c r="K207" s="81"/>
      <c r="L207" s="81"/>
      <c r="M207" s="82" t="s">
        <v>52</v>
      </c>
      <c r="N207" s="82"/>
      <c r="O207" s="82"/>
      <c r="P207" s="82"/>
      <c r="Q207" s="82" t="s">
        <v>750</v>
      </c>
      <c r="R207" s="111">
        <v>45929</v>
      </c>
      <c r="S207" s="82" t="s">
        <v>20</v>
      </c>
      <c r="T207" s="81" t="s">
        <v>144</v>
      </c>
      <c r="U207" s="81"/>
    </row>
    <row r="208" spans="1:21" x14ac:dyDescent="0.25">
      <c r="A208" s="81"/>
      <c r="B208" s="81"/>
      <c r="C208" s="81" t="s">
        <v>144</v>
      </c>
      <c r="D208" s="81" t="s">
        <v>143</v>
      </c>
      <c r="E208" s="81" t="s">
        <v>751</v>
      </c>
      <c r="F208" s="81" t="s">
        <v>148</v>
      </c>
      <c r="G208" s="81" t="s">
        <v>752</v>
      </c>
      <c r="H208" s="81"/>
      <c r="I208" s="81"/>
      <c r="J208" s="81"/>
      <c r="K208" s="81"/>
      <c r="L208" s="81"/>
      <c r="M208" s="82" t="s">
        <v>52</v>
      </c>
      <c r="N208" s="82"/>
      <c r="O208" s="82"/>
      <c r="P208" s="82"/>
      <c r="Q208" s="82" t="s">
        <v>753</v>
      </c>
      <c r="R208" s="111"/>
      <c r="S208" s="82" t="s">
        <v>20</v>
      </c>
      <c r="T208" s="81" t="s">
        <v>144</v>
      </c>
      <c r="U208" s="81"/>
    </row>
    <row r="209" spans="1:21" ht="30" x14ac:dyDescent="0.25">
      <c r="A209" s="81"/>
      <c r="B209" s="81"/>
      <c r="C209" s="81" t="s">
        <v>144</v>
      </c>
      <c r="D209" s="81" t="s">
        <v>143</v>
      </c>
      <c r="E209" s="81" t="s">
        <v>754</v>
      </c>
      <c r="F209" s="81" t="s">
        <v>163</v>
      </c>
      <c r="G209" s="81" t="s">
        <v>755</v>
      </c>
      <c r="H209" s="81"/>
      <c r="I209" s="81"/>
      <c r="J209" s="81"/>
      <c r="K209" s="81"/>
      <c r="L209" s="81"/>
      <c r="M209" s="82" t="s">
        <v>52</v>
      </c>
      <c r="N209" s="82"/>
      <c r="O209" s="82"/>
      <c r="P209" s="82"/>
      <c r="Q209" s="82" t="s">
        <v>756</v>
      </c>
      <c r="R209" s="111">
        <v>45937</v>
      </c>
      <c r="S209" s="82" t="s">
        <v>20</v>
      </c>
      <c r="T209" s="81" t="s">
        <v>144</v>
      </c>
      <c r="U209" s="81"/>
    </row>
    <row r="210" spans="1:21" x14ac:dyDescent="0.25">
      <c r="A210" s="81"/>
      <c r="B210" s="81"/>
      <c r="C210" s="81" t="s">
        <v>144</v>
      </c>
      <c r="D210" s="81" t="s">
        <v>143</v>
      </c>
      <c r="E210" s="81" t="s">
        <v>757</v>
      </c>
      <c r="F210" s="81" t="s">
        <v>161</v>
      </c>
      <c r="G210" s="81" t="s">
        <v>758</v>
      </c>
      <c r="H210" s="81"/>
      <c r="I210" s="81"/>
      <c r="J210" s="81"/>
      <c r="K210" s="81"/>
      <c r="L210" s="81"/>
      <c r="M210" s="82" t="s">
        <v>52</v>
      </c>
      <c r="N210" s="82"/>
      <c r="O210" s="82"/>
      <c r="P210" s="82"/>
      <c r="Q210" s="82" t="s">
        <v>759</v>
      </c>
      <c r="R210" s="111"/>
      <c r="S210" s="82"/>
      <c r="T210" s="81" t="s">
        <v>144</v>
      </c>
      <c r="U210" s="81"/>
    </row>
    <row r="211" spans="1:21" ht="30" x14ac:dyDescent="0.25">
      <c r="A211" s="81"/>
      <c r="B211" s="81"/>
      <c r="C211" s="81" t="s">
        <v>144</v>
      </c>
      <c r="D211" s="81" t="s">
        <v>143</v>
      </c>
      <c r="E211" s="81" t="s">
        <v>760</v>
      </c>
      <c r="F211" s="81" t="s">
        <v>148</v>
      </c>
      <c r="G211" s="81" t="s">
        <v>761</v>
      </c>
      <c r="H211" s="81"/>
      <c r="I211" s="81"/>
      <c r="J211" s="81"/>
      <c r="K211" s="81"/>
      <c r="L211" s="81"/>
      <c r="M211" s="82" t="s">
        <v>52</v>
      </c>
      <c r="N211" s="82"/>
      <c r="O211" s="82"/>
      <c r="P211" s="82"/>
      <c r="Q211" s="82" t="s">
        <v>762</v>
      </c>
      <c r="R211" s="111">
        <v>45946</v>
      </c>
      <c r="S211" s="82" t="s">
        <v>20</v>
      </c>
      <c r="T211" s="81" t="s">
        <v>144</v>
      </c>
      <c r="U211" s="81"/>
    </row>
    <row r="212" spans="1:21" ht="30" x14ac:dyDescent="0.25">
      <c r="A212" s="81"/>
      <c r="B212" s="81"/>
      <c r="C212" s="81" t="s">
        <v>144</v>
      </c>
      <c r="D212" s="81" t="s">
        <v>147</v>
      </c>
      <c r="E212" s="81" t="s">
        <v>982</v>
      </c>
      <c r="F212" s="81" t="s">
        <v>165</v>
      </c>
      <c r="G212" s="81" t="s">
        <v>983</v>
      </c>
      <c r="H212" s="81"/>
      <c r="I212" s="81"/>
      <c r="J212" s="81"/>
      <c r="K212" s="81"/>
      <c r="L212" s="81"/>
      <c r="M212" s="82" t="s">
        <v>52</v>
      </c>
      <c r="N212" s="82"/>
      <c r="O212" s="82"/>
      <c r="P212" s="82"/>
      <c r="Q212" s="82" t="s">
        <v>984</v>
      </c>
      <c r="R212" s="111">
        <v>45952</v>
      </c>
      <c r="S212" s="82" t="s">
        <v>20</v>
      </c>
      <c r="T212" s="81" t="s">
        <v>144</v>
      </c>
      <c r="U212" s="81" t="s">
        <v>144</v>
      </c>
    </row>
    <row r="213" spans="1:21" x14ac:dyDescent="0.25">
      <c r="A213" s="81"/>
      <c r="B213" s="81"/>
      <c r="C213" s="81" t="s">
        <v>144</v>
      </c>
      <c r="D213" s="81" t="s">
        <v>147</v>
      </c>
      <c r="E213" s="81" t="s">
        <v>985</v>
      </c>
      <c r="F213" s="81" t="s">
        <v>164</v>
      </c>
      <c r="G213" s="81" t="s">
        <v>986</v>
      </c>
      <c r="H213" s="81"/>
      <c r="I213" s="81"/>
      <c r="J213" s="81"/>
      <c r="K213" s="81"/>
      <c r="L213" s="81"/>
      <c r="M213" s="82" t="s">
        <v>52</v>
      </c>
      <c r="N213" s="82"/>
      <c r="O213" s="82"/>
      <c r="P213" s="82"/>
      <c r="Q213" s="82" t="s">
        <v>987</v>
      </c>
      <c r="R213" s="111">
        <v>45951</v>
      </c>
      <c r="S213" s="82" t="s">
        <v>20</v>
      </c>
      <c r="T213" s="81" t="s">
        <v>144</v>
      </c>
      <c r="U213" s="81"/>
    </row>
    <row r="214" spans="1:21" ht="30" x14ac:dyDescent="0.25">
      <c r="A214" s="81"/>
      <c r="B214" s="81"/>
      <c r="C214" s="81" t="s">
        <v>144</v>
      </c>
      <c r="D214" s="81" t="s">
        <v>147</v>
      </c>
      <c r="E214" s="81" t="s">
        <v>988</v>
      </c>
      <c r="F214" s="81" t="s">
        <v>164</v>
      </c>
      <c r="G214" s="81" t="s">
        <v>989</v>
      </c>
      <c r="H214" s="81"/>
      <c r="I214" s="81"/>
      <c r="J214" s="81"/>
      <c r="K214" s="81"/>
      <c r="L214" s="81"/>
      <c r="M214" s="82" t="s">
        <v>52</v>
      </c>
      <c r="N214" s="82"/>
      <c r="O214" s="82"/>
      <c r="P214" s="82"/>
      <c r="Q214" s="82" t="s">
        <v>990</v>
      </c>
      <c r="R214" s="111">
        <v>45951</v>
      </c>
      <c r="S214" s="82" t="s">
        <v>20</v>
      </c>
      <c r="T214" s="81" t="s">
        <v>144</v>
      </c>
      <c r="U214" s="81"/>
    </row>
    <row r="215" spans="1:21" ht="30" x14ac:dyDescent="0.25">
      <c r="A215" s="81"/>
      <c r="B215" s="81"/>
      <c r="C215" s="81" t="s">
        <v>144</v>
      </c>
      <c r="D215" s="81" t="s">
        <v>147</v>
      </c>
      <c r="E215" s="81" t="s">
        <v>991</v>
      </c>
      <c r="F215" s="81" t="s">
        <v>164</v>
      </c>
      <c r="G215" s="81" t="s">
        <v>992</v>
      </c>
      <c r="H215" s="81"/>
      <c r="I215" s="81"/>
      <c r="J215" s="81"/>
      <c r="K215" s="81"/>
      <c r="L215" s="81"/>
      <c r="M215" s="82" t="s">
        <v>52</v>
      </c>
      <c r="N215" s="82"/>
      <c r="O215" s="82"/>
      <c r="P215" s="82"/>
      <c r="Q215" s="82" t="s">
        <v>993</v>
      </c>
      <c r="R215" s="111">
        <v>45937</v>
      </c>
      <c r="S215" s="82" t="s">
        <v>20</v>
      </c>
      <c r="T215" s="81" t="s">
        <v>144</v>
      </c>
      <c r="U215" s="81"/>
    </row>
    <row r="216" spans="1:21" ht="30" x14ac:dyDescent="0.25">
      <c r="A216" s="81"/>
      <c r="B216" s="81"/>
      <c r="C216" s="81" t="s">
        <v>144</v>
      </c>
      <c r="D216" s="81" t="s">
        <v>147</v>
      </c>
      <c r="E216" s="81" t="s">
        <v>994</v>
      </c>
      <c r="F216" s="81" t="s">
        <v>149</v>
      </c>
      <c r="G216" s="81" t="s">
        <v>995</v>
      </c>
      <c r="H216" s="81"/>
      <c r="I216" s="81"/>
      <c r="J216" s="81"/>
      <c r="K216" s="81"/>
      <c r="L216" s="81"/>
      <c r="M216" s="82" t="s">
        <v>52</v>
      </c>
      <c r="N216" s="82"/>
      <c r="O216" s="82"/>
      <c r="P216" s="82"/>
      <c r="Q216" s="82" t="s">
        <v>996</v>
      </c>
      <c r="R216" s="111">
        <v>45840</v>
      </c>
      <c r="S216" s="82" t="s">
        <v>11</v>
      </c>
      <c r="T216" s="81" t="s">
        <v>144</v>
      </c>
      <c r="U216" s="81" t="s">
        <v>144</v>
      </c>
    </row>
    <row r="217" spans="1:21" ht="30" x14ac:dyDescent="0.25">
      <c r="A217" s="81"/>
      <c r="B217" s="81"/>
      <c r="C217" s="81" t="s">
        <v>144</v>
      </c>
      <c r="D217" s="81" t="s">
        <v>147</v>
      </c>
      <c r="E217" s="81" t="s">
        <v>997</v>
      </c>
      <c r="F217" s="81" t="s">
        <v>164</v>
      </c>
      <c r="G217" s="81" t="s">
        <v>998</v>
      </c>
      <c r="H217" s="81"/>
      <c r="I217" s="81"/>
      <c r="J217" s="81"/>
      <c r="K217" s="81"/>
      <c r="L217" s="81"/>
      <c r="M217" s="82" t="s">
        <v>52</v>
      </c>
      <c r="N217" s="82"/>
      <c r="O217" s="82"/>
      <c r="P217" s="82"/>
      <c r="Q217" s="82" t="s">
        <v>999</v>
      </c>
      <c r="R217" s="111">
        <v>45881</v>
      </c>
      <c r="S217" s="82" t="s">
        <v>1000</v>
      </c>
      <c r="T217" s="81" t="s">
        <v>144</v>
      </c>
      <c r="U217" s="81"/>
    </row>
    <row r="218" spans="1:21" ht="30" x14ac:dyDescent="0.25">
      <c r="A218" s="81"/>
      <c r="B218" s="81"/>
      <c r="C218" s="81" t="s">
        <v>144</v>
      </c>
      <c r="D218" s="81" t="s">
        <v>147</v>
      </c>
      <c r="E218" s="81" t="s">
        <v>1001</v>
      </c>
      <c r="F218" s="81" t="s">
        <v>164</v>
      </c>
      <c r="G218" s="81" t="s">
        <v>1002</v>
      </c>
      <c r="H218" s="81"/>
      <c r="I218" s="81"/>
      <c r="J218" s="81"/>
      <c r="K218" s="81"/>
      <c r="L218" s="81"/>
      <c r="M218" s="82" t="s">
        <v>52</v>
      </c>
      <c r="N218" s="82"/>
      <c r="O218" s="82"/>
      <c r="P218" s="82"/>
      <c r="Q218" s="82" t="s">
        <v>999</v>
      </c>
      <c r="R218" s="111">
        <v>45881</v>
      </c>
      <c r="S218" s="82" t="s">
        <v>1000</v>
      </c>
      <c r="T218" s="81" t="s">
        <v>144</v>
      </c>
      <c r="U218" s="81"/>
    </row>
    <row r="219" spans="1:21" x14ac:dyDescent="0.25">
      <c r="A219" s="81"/>
      <c r="B219" s="81"/>
      <c r="C219" s="81" t="s">
        <v>144</v>
      </c>
      <c r="D219" s="81" t="s">
        <v>147</v>
      </c>
      <c r="E219" s="81" t="s">
        <v>1003</v>
      </c>
      <c r="F219" s="81" t="s">
        <v>165</v>
      </c>
      <c r="G219" s="81" t="s">
        <v>1004</v>
      </c>
      <c r="H219" s="81"/>
      <c r="I219" s="81"/>
      <c r="J219" s="81"/>
      <c r="K219" s="81"/>
      <c r="L219" s="81"/>
      <c r="M219" s="82" t="s">
        <v>52</v>
      </c>
      <c r="N219" s="82"/>
      <c r="O219" s="82"/>
      <c r="P219" s="82"/>
      <c r="Q219" s="82" t="s">
        <v>725</v>
      </c>
      <c r="R219" s="111">
        <v>45845</v>
      </c>
      <c r="S219" s="82" t="s">
        <v>38</v>
      </c>
      <c r="T219" s="81" t="s">
        <v>144</v>
      </c>
      <c r="U219" s="81"/>
    </row>
    <row r="220" spans="1:21" ht="30" x14ac:dyDescent="0.25">
      <c r="A220" s="81"/>
      <c r="B220" s="81" t="s">
        <v>8</v>
      </c>
      <c r="C220" s="81" t="s">
        <v>144</v>
      </c>
      <c r="D220" s="81" t="s">
        <v>147</v>
      </c>
      <c r="E220" s="81" t="s">
        <v>1005</v>
      </c>
      <c r="F220" s="81" t="s">
        <v>164</v>
      </c>
      <c r="G220" s="81" t="s">
        <v>1006</v>
      </c>
      <c r="H220" s="81"/>
      <c r="I220" s="81"/>
      <c r="J220" s="81"/>
      <c r="K220" s="81"/>
      <c r="L220" s="81"/>
      <c r="M220" s="82" t="s">
        <v>52</v>
      </c>
      <c r="N220" s="82"/>
      <c r="O220" s="82"/>
      <c r="P220" s="82"/>
      <c r="Q220" s="82" t="s">
        <v>725</v>
      </c>
      <c r="R220" s="111">
        <v>45821</v>
      </c>
      <c r="S220" s="82" t="s">
        <v>38</v>
      </c>
      <c r="T220" s="81" t="s">
        <v>144</v>
      </c>
      <c r="U220" s="81" t="s">
        <v>144</v>
      </c>
    </row>
    <row r="221" spans="1:21" ht="30" x14ac:dyDescent="0.25">
      <c r="A221" s="81"/>
      <c r="B221" s="81" t="s">
        <v>8</v>
      </c>
      <c r="C221" s="81" t="s">
        <v>144</v>
      </c>
      <c r="D221" s="81" t="s">
        <v>147</v>
      </c>
      <c r="E221" s="81" t="s">
        <v>1007</v>
      </c>
      <c r="F221" s="81" t="s">
        <v>149</v>
      </c>
      <c r="G221" s="81" t="s">
        <v>1008</v>
      </c>
      <c r="H221" s="81"/>
      <c r="I221" s="81"/>
      <c r="J221" s="81"/>
      <c r="K221" s="81"/>
      <c r="L221" s="81"/>
      <c r="M221" s="82" t="s">
        <v>52</v>
      </c>
      <c r="N221" s="82"/>
      <c r="O221" s="82"/>
      <c r="P221" s="82"/>
      <c r="Q221" s="82" t="s">
        <v>1009</v>
      </c>
      <c r="R221" s="111">
        <v>45803</v>
      </c>
      <c r="S221" s="82" t="s">
        <v>1010</v>
      </c>
      <c r="T221" s="81" t="s">
        <v>144</v>
      </c>
      <c r="U221" s="81" t="s">
        <v>144</v>
      </c>
    </row>
    <row r="222" spans="1:21" x14ac:dyDescent="0.25">
      <c r="A222" s="81"/>
      <c r="B222" s="81" t="s">
        <v>8</v>
      </c>
      <c r="C222" s="81" t="s">
        <v>144</v>
      </c>
      <c r="D222" s="81" t="s">
        <v>147</v>
      </c>
      <c r="E222" s="81" t="s">
        <v>1011</v>
      </c>
      <c r="F222" s="81" t="s">
        <v>165</v>
      </c>
      <c r="G222" s="81" t="s">
        <v>1012</v>
      </c>
      <c r="H222" s="81"/>
      <c r="I222" s="81"/>
      <c r="J222" s="81"/>
      <c r="K222" s="81"/>
      <c r="L222" s="81"/>
      <c r="M222" s="82" t="s">
        <v>52</v>
      </c>
      <c r="N222" s="82"/>
      <c r="O222" s="82"/>
      <c r="P222" s="82"/>
      <c r="Q222" s="82" t="s">
        <v>1013</v>
      </c>
      <c r="R222" s="111">
        <v>45819</v>
      </c>
      <c r="S222" s="82" t="s">
        <v>23</v>
      </c>
      <c r="T222" s="81" t="s">
        <v>144</v>
      </c>
      <c r="U222" s="81" t="s">
        <v>144</v>
      </c>
    </row>
    <row r="223" spans="1:21" x14ac:dyDescent="0.25">
      <c r="A223" s="81"/>
      <c r="B223" s="81" t="s">
        <v>8</v>
      </c>
      <c r="C223" s="81" t="s">
        <v>144</v>
      </c>
      <c r="D223" s="81" t="s">
        <v>147</v>
      </c>
      <c r="E223" s="81" t="s">
        <v>1014</v>
      </c>
      <c r="F223" s="81" t="s">
        <v>149</v>
      </c>
      <c r="G223" s="81" t="s">
        <v>1015</v>
      </c>
      <c r="H223" s="81"/>
      <c r="I223" s="81"/>
      <c r="J223" s="81"/>
      <c r="K223" s="81"/>
      <c r="L223" s="81"/>
      <c r="M223" s="82" t="s">
        <v>52</v>
      </c>
      <c r="N223" s="82"/>
      <c r="O223" s="82"/>
      <c r="P223" s="82"/>
      <c r="Q223" s="82"/>
      <c r="R223" s="111"/>
      <c r="S223" s="82"/>
      <c r="T223" s="81" t="s">
        <v>144</v>
      </c>
      <c r="U223" s="81" t="s">
        <v>144</v>
      </c>
    </row>
    <row r="224" spans="1:21" x14ac:dyDescent="0.25">
      <c r="A224" s="81"/>
      <c r="B224" s="81" t="s">
        <v>8</v>
      </c>
      <c r="C224" s="81" t="s">
        <v>144</v>
      </c>
      <c r="D224" s="81" t="s">
        <v>147</v>
      </c>
      <c r="E224" s="81" t="s">
        <v>1016</v>
      </c>
      <c r="F224" s="81" t="s">
        <v>149</v>
      </c>
      <c r="G224" s="81" t="s">
        <v>1017</v>
      </c>
      <c r="H224" s="81"/>
      <c r="I224" s="81"/>
      <c r="J224" s="81"/>
      <c r="K224" s="81"/>
      <c r="L224" s="81"/>
      <c r="M224" s="82" t="s">
        <v>52</v>
      </c>
      <c r="N224" s="82"/>
      <c r="O224" s="82"/>
      <c r="P224" s="82"/>
      <c r="Q224" s="82" t="s">
        <v>725</v>
      </c>
      <c r="R224" s="111">
        <v>45790</v>
      </c>
      <c r="S224" s="82" t="s">
        <v>23</v>
      </c>
      <c r="T224" s="81" t="s">
        <v>144</v>
      </c>
      <c r="U224" s="81" t="s">
        <v>144</v>
      </c>
    </row>
    <row r="225" spans="1:21" x14ac:dyDescent="0.25">
      <c r="A225" s="81"/>
      <c r="B225" s="81" t="s">
        <v>8</v>
      </c>
      <c r="C225" s="81" t="s">
        <v>144</v>
      </c>
      <c r="D225" s="81" t="s">
        <v>147</v>
      </c>
      <c r="E225" s="81" t="s">
        <v>1018</v>
      </c>
      <c r="F225" s="81" t="s">
        <v>149</v>
      </c>
      <c r="G225" s="81" t="s">
        <v>1019</v>
      </c>
      <c r="H225" s="81"/>
      <c r="I225" s="81"/>
      <c r="J225" s="81"/>
      <c r="K225" s="81"/>
      <c r="L225" s="81"/>
      <c r="M225" s="82" t="s">
        <v>52</v>
      </c>
      <c r="N225" s="82"/>
      <c r="O225" s="82"/>
      <c r="P225" s="82"/>
      <c r="Q225" s="82" t="s">
        <v>725</v>
      </c>
      <c r="R225" s="111">
        <v>45800</v>
      </c>
      <c r="S225" s="82" t="s">
        <v>20</v>
      </c>
      <c r="T225" s="81" t="s">
        <v>144</v>
      </c>
      <c r="U225" s="81" t="s">
        <v>144</v>
      </c>
    </row>
    <row r="226" spans="1:21" x14ac:dyDescent="0.25">
      <c r="A226" s="81"/>
      <c r="B226" s="81" t="s">
        <v>8</v>
      </c>
      <c r="C226" s="81" t="s">
        <v>144</v>
      </c>
      <c r="D226" s="81" t="s">
        <v>147</v>
      </c>
      <c r="E226" s="81" t="s">
        <v>1020</v>
      </c>
      <c r="F226" s="81" t="s">
        <v>165</v>
      </c>
      <c r="G226" s="81" t="s">
        <v>1021</v>
      </c>
      <c r="H226" s="81"/>
      <c r="I226" s="81"/>
      <c r="J226" s="81"/>
      <c r="K226" s="81"/>
      <c r="L226" s="81"/>
      <c r="M226" s="82" t="s">
        <v>52</v>
      </c>
      <c r="N226" s="82"/>
      <c r="O226" s="82"/>
      <c r="P226" s="82"/>
      <c r="Q226" s="82" t="s">
        <v>725</v>
      </c>
      <c r="R226" s="111">
        <v>45807</v>
      </c>
      <c r="S226" s="82" t="s">
        <v>23</v>
      </c>
      <c r="T226" s="81" t="s">
        <v>144</v>
      </c>
      <c r="U226" s="81" t="s">
        <v>144</v>
      </c>
    </row>
    <row r="227" spans="1:21" x14ac:dyDescent="0.25">
      <c r="A227" s="81"/>
      <c r="B227" s="81" t="s">
        <v>8</v>
      </c>
      <c r="C227" s="81" t="s">
        <v>144</v>
      </c>
      <c r="D227" s="81" t="s">
        <v>147</v>
      </c>
      <c r="E227" s="81" t="s">
        <v>1022</v>
      </c>
      <c r="F227" s="81" t="s">
        <v>149</v>
      </c>
      <c r="G227" s="81" t="s">
        <v>1023</v>
      </c>
      <c r="H227" s="81"/>
      <c r="I227" s="81"/>
      <c r="J227" s="81"/>
      <c r="K227" s="81"/>
      <c r="L227" s="81"/>
      <c r="M227" s="82" t="s">
        <v>52</v>
      </c>
      <c r="N227" s="82"/>
      <c r="O227" s="82"/>
      <c r="P227" s="82"/>
      <c r="Q227" s="82" t="s">
        <v>725</v>
      </c>
      <c r="R227" s="111">
        <v>45808</v>
      </c>
      <c r="S227" s="82" t="s">
        <v>45</v>
      </c>
      <c r="T227" s="81" t="s">
        <v>144</v>
      </c>
      <c r="U227" s="81" t="s">
        <v>144</v>
      </c>
    </row>
    <row r="228" spans="1:21" x14ac:dyDescent="0.25">
      <c r="A228" s="81"/>
      <c r="B228" s="81" t="s">
        <v>8</v>
      </c>
      <c r="C228" s="81" t="s">
        <v>144</v>
      </c>
      <c r="D228" s="81" t="s">
        <v>147</v>
      </c>
      <c r="E228" s="81" t="s">
        <v>1024</v>
      </c>
      <c r="F228" s="81" t="s">
        <v>165</v>
      </c>
      <c r="G228" s="81" t="s">
        <v>1021</v>
      </c>
      <c r="H228" s="81"/>
      <c r="I228" s="81"/>
      <c r="J228" s="81"/>
      <c r="K228" s="81"/>
      <c r="L228" s="81"/>
      <c r="M228" s="82" t="s">
        <v>52</v>
      </c>
      <c r="N228" s="82"/>
      <c r="O228" s="82"/>
      <c r="P228" s="82"/>
      <c r="Q228" s="82"/>
      <c r="R228" s="111">
        <v>45814</v>
      </c>
      <c r="S228" s="82" t="s">
        <v>45</v>
      </c>
      <c r="T228" s="81" t="s">
        <v>144</v>
      </c>
      <c r="U228" s="81" t="s">
        <v>144</v>
      </c>
    </row>
    <row r="229" spans="1:21" ht="45" x14ac:dyDescent="0.25">
      <c r="A229" s="81"/>
      <c r="B229" s="81" t="s">
        <v>8</v>
      </c>
      <c r="C229" s="81" t="s">
        <v>144</v>
      </c>
      <c r="D229" s="81" t="s">
        <v>147</v>
      </c>
      <c r="E229" s="81" t="s">
        <v>1025</v>
      </c>
      <c r="F229" s="81" t="s">
        <v>165</v>
      </c>
      <c r="G229" s="81" t="s">
        <v>1026</v>
      </c>
      <c r="H229" s="81"/>
      <c r="I229" s="81"/>
      <c r="J229" s="81"/>
      <c r="K229" s="81"/>
      <c r="L229" s="81"/>
      <c r="M229" s="82" t="s">
        <v>52</v>
      </c>
      <c r="N229" s="82"/>
      <c r="O229" s="82"/>
      <c r="P229" s="82"/>
      <c r="Q229" s="82" t="s">
        <v>1027</v>
      </c>
      <c r="R229" s="111">
        <v>45782</v>
      </c>
      <c r="S229" s="82" t="s">
        <v>11</v>
      </c>
      <c r="T229" s="81" t="s">
        <v>144</v>
      </c>
      <c r="U229" s="81" t="s">
        <v>144</v>
      </c>
    </row>
    <row r="230" spans="1:21" x14ac:dyDescent="0.25">
      <c r="A230" s="81"/>
      <c r="B230" s="81" t="s">
        <v>8</v>
      </c>
      <c r="C230" s="81" t="s">
        <v>144</v>
      </c>
      <c r="D230" s="81" t="s">
        <v>147</v>
      </c>
      <c r="E230" s="81" t="s">
        <v>1028</v>
      </c>
      <c r="F230" s="81" t="s">
        <v>149</v>
      </c>
      <c r="G230" s="81" t="s">
        <v>1029</v>
      </c>
      <c r="H230" s="81"/>
      <c r="I230" s="81"/>
      <c r="J230" s="81"/>
      <c r="K230" s="81"/>
      <c r="L230" s="81"/>
      <c r="M230" s="82" t="s">
        <v>52</v>
      </c>
      <c r="N230" s="82"/>
      <c r="O230" s="82"/>
      <c r="P230" s="82"/>
      <c r="Q230" s="82" t="s">
        <v>1030</v>
      </c>
      <c r="R230" s="111">
        <v>45782</v>
      </c>
      <c r="S230" s="82" t="s">
        <v>20</v>
      </c>
      <c r="T230" s="81" t="s">
        <v>144</v>
      </c>
      <c r="U230" s="81" t="s">
        <v>144</v>
      </c>
    </row>
    <row r="231" spans="1:21" ht="30" x14ac:dyDescent="0.25">
      <c r="A231" s="81"/>
      <c r="B231" s="81" t="s">
        <v>8</v>
      </c>
      <c r="C231" s="81" t="s">
        <v>144</v>
      </c>
      <c r="D231" s="81" t="s">
        <v>147</v>
      </c>
      <c r="E231" s="81" t="s">
        <v>1031</v>
      </c>
      <c r="F231" s="81" t="s">
        <v>164</v>
      </c>
      <c r="G231" s="81" t="s">
        <v>1032</v>
      </c>
      <c r="H231" s="81"/>
      <c r="I231" s="81"/>
      <c r="J231" s="81"/>
      <c r="K231" s="81"/>
      <c r="L231" s="81"/>
      <c r="M231" s="82" t="s">
        <v>52</v>
      </c>
      <c r="N231" s="82"/>
      <c r="O231" s="82"/>
      <c r="P231" s="82"/>
      <c r="Q231" s="82" t="s">
        <v>1033</v>
      </c>
      <c r="R231" s="111">
        <v>45779</v>
      </c>
      <c r="S231" s="82" t="s">
        <v>20</v>
      </c>
      <c r="T231" s="81" t="s">
        <v>144</v>
      </c>
      <c r="U231" s="81" t="s">
        <v>144</v>
      </c>
    </row>
    <row r="232" spans="1:21" ht="30" x14ac:dyDescent="0.25">
      <c r="A232" s="81"/>
      <c r="B232" s="81" t="s">
        <v>8</v>
      </c>
      <c r="C232" s="81" t="s">
        <v>144</v>
      </c>
      <c r="D232" s="81" t="s">
        <v>147</v>
      </c>
      <c r="E232" s="81" t="s">
        <v>1034</v>
      </c>
      <c r="F232" s="81" t="s">
        <v>165</v>
      </c>
      <c r="G232" s="81" t="s">
        <v>1035</v>
      </c>
      <c r="H232" s="81"/>
      <c r="I232" s="81"/>
      <c r="J232" s="81"/>
      <c r="K232" s="81"/>
      <c r="L232" s="81"/>
      <c r="M232" s="82" t="s">
        <v>52</v>
      </c>
      <c r="N232" s="82"/>
      <c r="O232" s="82"/>
      <c r="P232" s="82"/>
      <c r="Q232" s="82"/>
      <c r="R232" s="111"/>
      <c r="S232" s="82"/>
      <c r="T232" s="81" t="s">
        <v>144</v>
      </c>
      <c r="U232" s="81" t="s">
        <v>144</v>
      </c>
    </row>
    <row r="233" spans="1:21" x14ac:dyDescent="0.25">
      <c r="A233" s="81"/>
      <c r="B233" s="81" t="s">
        <v>8</v>
      </c>
      <c r="C233" s="81" t="s">
        <v>144</v>
      </c>
      <c r="D233" s="81" t="s">
        <v>147</v>
      </c>
      <c r="E233" s="81" t="s">
        <v>1036</v>
      </c>
      <c r="F233" s="81" t="s">
        <v>149</v>
      </c>
      <c r="G233" s="81" t="s">
        <v>1037</v>
      </c>
      <c r="H233" s="81"/>
      <c r="I233" s="81"/>
      <c r="J233" s="81"/>
      <c r="K233" s="81"/>
      <c r="L233" s="81"/>
      <c r="M233" s="82" t="s">
        <v>52</v>
      </c>
      <c r="N233" s="82"/>
      <c r="O233" s="82"/>
      <c r="P233" s="82"/>
      <c r="Q233" s="82" t="s">
        <v>1038</v>
      </c>
      <c r="R233" s="111">
        <v>45785</v>
      </c>
      <c r="S233" s="82" t="s">
        <v>20</v>
      </c>
      <c r="T233" s="81" t="s">
        <v>144</v>
      </c>
      <c r="U233" s="81" t="s">
        <v>144</v>
      </c>
    </row>
    <row r="234" spans="1:21" ht="30" x14ac:dyDescent="0.25">
      <c r="A234" s="81"/>
      <c r="B234" s="81" t="s">
        <v>8</v>
      </c>
      <c r="C234" s="81" t="s">
        <v>144</v>
      </c>
      <c r="D234" s="81" t="s">
        <v>147</v>
      </c>
      <c r="E234" s="81" t="s">
        <v>1039</v>
      </c>
      <c r="F234" s="81" t="s">
        <v>164</v>
      </c>
      <c r="G234" s="81" t="s">
        <v>1040</v>
      </c>
      <c r="H234" s="81"/>
      <c r="I234" s="81"/>
      <c r="J234" s="81"/>
      <c r="K234" s="81"/>
      <c r="L234" s="81"/>
      <c r="M234" s="82" t="s">
        <v>52</v>
      </c>
      <c r="N234" s="82"/>
      <c r="O234" s="82"/>
      <c r="P234" s="82"/>
      <c r="Q234" s="82" t="s">
        <v>1041</v>
      </c>
      <c r="R234" s="111">
        <v>45775</v>
      </c>
      <c r="S234" s="82" t="s">
        <v>242</v>
      </c>
      <c r="T234" s="81" t="s">
        <v>144</v>
      </c>
      <c r="U234" s="81" t="s">
        <v>144</v>
      </c>
    </row>
    <row r="235" spans="1:21" ht="30" x14ac:dyDescent="0.25">
      <c r="A235" s="81"/>
      <c r="B235" s="81" t="s">
        <v>8</v>
      </c>
      <c r="C235" s="81" t="s">
        <v>144</v>
      </c>
      <c r="D235" s="81" t="s">
        <v>147</v>
      </c>
      <c r="E235" s="81" t="s">
        <v>1042</v>
      </c>
      <c r="F235" s="81" t="s">
        <v>149</v>
      </c>
      <c r="G235" s="81" t="s">
        <v>1043</v>
      </c>
      <c r="H235" s="81"/>
      <c r="I235" s="81"/>
      <c r="J235" s="81"/>
      <c r="K235" s="81"/>
      <c r="L235" s="81"/>
      <c r="M235" s="82" t="s">
        <v>52</v>
      </c>
      <c r="N235" s="82"/>
      <c r="O235" s="82"/>
      <c r="P235" s="82"/>
      <c r="Q235" s="82"/>
      <c r="R235" s="111"/>
      <c r="S235" s="82"/>
      <c r="T235" s="81" t="s">
        <v>144</v>
      </c>
      <c r="U235" s="81" t="s">
        <v>144</v>
      </c>
    </row>
    <row r="236" spans="1:21" ht="45" x14ac:dyDescent="0.25">
      <c r="A236" s="81"/>
      <c r="B236" s="81" t="s">
        <v>8</v>
      </c>
      <c r="C236" s="81" t="s">
        <v>144</v>
      </c>
      <c r="D236" s="81" t="s">
        <v>147</v>
      </c>
      <c r="E236" s="81" t="s">
        <v>1044</v>
      </c>
      <c r="F236" s="81" t="s">
        <v>149</v>
      </c>
      <c r="G236" s="81" t="s">
        <v>1045</v>
      </c>
      <c r="H236" s="81"/>
      <c r="I236" s="81"/>
      <c r="J236" s="81"/>
      <c r="K236" s="81"/>
      <c r="L236" s="81"/>
      <c r="M236" s="82" t="s">
        <v>52</v>
      </c>
      <c r="N236" s="82"/>
      <c r="O236" s="82"/>
      <c r="P236" s="82"/>
      <c r="Q236" s="82"/>
      <c r="R236" s="111"/>
      <c r="S236" s="82"/>
      <c r="T236" s="81" t="s">
        <v>144</v>
      </c>
      <c r="U236" s="81" t="s">
        <v>144</v>
      </c>
    </row>
    <row r="237" spans="1:21" ht="30" x14ac:dyDescent="0.25">
      <c r="A237" s="81"/>
      <c r="B237" s="81" t="s">
        <v>8</v>
      </c>
      <c r="C237" s="81" t="s">
        <v>144</v>
      </c>
      <c r="D237" s="81" t="s">
        <v>147</v>
      </c>
      <c r="E237" s="81" t="s">
        <v>1046</v>
      </c>
      <c r="F237" s="81" t="s">
        <v>165</v>
      </c>
      <c r="G237" s="81" t="s">
        <v>1047</v>
      </c>
      <c r="H237" s="81"/>
      <c r="I237" s="81"/>
      <c r="J237" s="81"/>
      <c r="K237" s="81"/>
      <c r="L237" s="81"/>
      <c r="M237" s="82" t="s">
        <v>52</v>
      </c>
      <c r="N237" s="82"/>
      <c r="O237" s="82"/>
      <c r="P237" s="82"/>
      <c r="Q237" s="82" t="s">
        <v>1048</v>
      </c>
      <c r="R237" s="111">
        <v>45707</v>
      </c>
      <c r="S237" s="82" t="s">
        <v>11</v>
      </c>
      <c r="T237" s="81" t="s">
        <v>144</v>
      </c>
      <c r="U237" s="81" t="s">
        <v>144</v>
      </c>
    </row>
    <row r="238" spans="1:21" ht="30" x14ac:dyDescent="0.25">
      <c r="A238" s="81"/>
      <c r="B238" s="81" t="s">
        <v>8</v>
      </c>
      <c r="C238" s="81" t="s">
        <v>144</v>
      </c>
      <c r="D238" s="81" t="s">
        <v>147</v>
      </c>
      <c r="E238" s="81" t="s">
        <v>1049</v>
      </c>
      <c r="F238" s="81" t="s">
        <v>149</v>
      </c>
      <c r="G238" s="81" t="s">
        <v>1050</v>
      </c>
      <c r="H238" s="81"/>
      <c r="I238" s="81"/>
      <c r="J238" s="81"/>
      <c r="K238" s="81"/>
      <c r="L238" s="81"/>
      <c r="M238" s="82" t="s">
        <v>52</v>
      </c>
      <c r="N238" s="82"/>
      <c r="O238" s="82" t="s">
        <v>8</v>
      </c>
      <c r="P238" s="82" t="s">
        <v>8</v>
      </c>
      <c r="Q238" s="82" t="s">
        <v>1051</v>
      </c>
      <c r="R238" s="111">
        <v>45700</v>
      </c>
      <c r="S238" s="82" t="s">
        <v>11</v>
      </c>
      <c r="T238" s="81" t="s">
        <v>144</v>
      </c>
      <c r="U238" s="81" t="s">
        <v>144</v>
      </c>
    </row>
    <row r="239" spans="1:21" ht="30" x14ac:dyDescent="0.25">
      <c r="A239" s="81"/>
      <c r="B239" s="81" t="s">
        <v>8</v>
      </c>
      <c r="C239" s="81" t="s">
        <v>144</v>
      </c>
      <c r="D239" s="81" t="s">
        <v>147</v>
      </c>
      <c r="E239" s="81" t="s">
        <v>1052</v>
      </c>
      <c r="F239" s="81" t="s">
        <v>149</v>
      </c>
      <c r="G239" s="81" t="s">
        <v>1053</v>
      </c>
      <c r="H239" s="81"/>
      <c r="I239" s="81"/>
      <c r="J239" s="81"/>
      <c r="K239" s="81"/>
      <c r="L239" s="81"/>
      <c r="M239" s="82" t="s">
        <v>52</v>
      </c>
      <c r="N239" s="82"/>
      <c r="O239" s="82"/>
      <c r="P239" s="82"/>
      <c r="Q239" s="82"/>
      <c r="R239" s="111">
        <v>45763</v>
      </c>
      <c r="S239" s="82" t="s">
        <v>238</v>
      </c>
      <c r="T239" s="81" t="s">
        <v>144</v>
      </c>
      <c r="U239" s="81" t="s">
        <v>144</v>
      </c>
    </row>
    <row r="240" spans="1:21" x14ac:dyDescent="0.25">
      <c r="A240" s="81"/>
      <c r="B240" s="81" t="s">
        <v>8</v>
      </c>
      <c r="C240" s="81" t="s">
        <v>144</v>
      </c>
      <c r="D240" s="81" t="s">
        <v>147</v>
      </c>
      <c r="E240" s="81" t="s">
        <v>1054</v>
      </c>
      <c r="F240" s="81" t="s">
        <v>149</v>
      </c>
      <c r="G240" s="81" t="s">
        <v>1055</v>
      </c>
      <c r="H240" s="81"/>
      <c r="I240" s="81"/>
      <c r="J240" s="81"/>
      <c r="K240" s="81"/>
      <c r="L240" s="81"/>
      <c r="M240" s="82" t="s">
        <v>52</v>
      </c>
      <c r="N240" s="82"/>
      <c r="O240" s="82"/>
      <c r="P240" s="82"/>
      <c r="Q240" s="82"/>
      <c r="R240" s="111">
        <v>45763</v>
      </c>
      <c r="S240" s="82" t="s">
        <v>238</v>
      </c>
      <c r="T240" s="81" t="s">
        <v>144</v>
      </c>
      <c r="U240" s="81" t="s">
        <v>144</v>
      </c>
    </row>
    <row r="241" spans="1:21" x14ac:dyDescent="0.25">
      <c r="A241" s="81"/>
      <c r="B241" s="81" t="s">
        <v>8</v>
      </c>
      <c r="C241" s="81" t="s">
        <v>144</v>
      </c>
      <c r="D241" s="81" t="s">
        <v>147</v>
      </c>
      <c r="E241" s="81" t="s">
        <v>1056</v>
      </c>
      <c r="F241" s="81" t="s">
        <v>164</v>
      </c>
      <c r="G241" s="81" t="s">
        <v>1057</v>
      </c>
      <c r="H241" s="81"/>
      <c r="I241" s="81"/>
      <c r="J241" s="81"/>
      <c r="K241" s="81"/>
      <c r="L241" s="81"/>
      <c r="M241" s="82" t="s">
        <v>52</v>
      </c>
      <c r="N241" s="82"/>
      <c r="O241" s="82"/>
      <c r="P241" s="82"/>
      <c r="Q241" s="82"/>
      <c r="R241" s="111"/>
      <c r="S241" s="82" t="s">
        <v>254</v>
      </c>
      <c r="T241" s="81" t="s">
        <v>144</v>
      </c>
      <c r="U241" s="81" t="s">
        <v>144</v>
      </c>
    </row>
    <row r="242" spans="1:21" ht="30" x14ac:dyDescent="0.25">
      <c r="A242" s="81"/>
      <c r="B242" s="81" t="s">
        <v>8</v>
      </c>
      <c r="C242" s="81" t="s">
        <v>144</v>
      </c>
      <c r="D242" s="81" t="s">
        <v>147</v>
      </c>
      <c r="E242" s="81" t="s">
        <v>1058</v>
      </c>
      <c r="F242" s="81" t="s">
        <v>165</v>
      </c>
      <c r="G242" s="81" t="s">
        <v>1059</v>
      </c>
      <c r="H242" s="81"/>
      <c r="I242" s="81"/>
      <c r="J242" s="81"/>
      <c r="K242" s="81"/>
      <c r="L242" s="81"/>
      <c r="M242" s="82" t="s">
        <v>52</v>
      </c>
      <c r="N242" s="82"/>
      <c r="O242" s="82"/>
      <c r="P242" s="82"/>
      <c r="Q242" s="82" t="s">
        <v>1060</v>
      </c>
      <c r="R242" s="111">
        <v>45762</v>
      </c>
      <c r="S242" s="82" t="s">
        <v>1061</v>
      </c>
      <c r="T242" s="81" t="s">
        <v>144</v>
      </c>
      <c r="U242" s="81" t="s">
        <v>144</v>
      </c>
    </row>
    <row r="243" spans="1:21" x14ac:dyDescent="0.25">
      <c r="A243" s="81"/>
      <c r="B243" s="81" t="s">
        <v>8</v>
      </c>
      <c r="C243" s="81" t="s">
        <v>144</v>
      </c>
      <c r="D243" s="81" t="s">
        <v>147</v>
      </c>
      <c r="E243" s="81" t="s">
        <v>1062</v>
      </c>
      <c r="F243" s="81" t="s">
        <v>1063</v>
      </c>
      <c r="G243" s="81" t="s">
        <v>1064</v>
      </c>
      <c r="H243" s="81"/>
      <c r="I243" s="81"/>
      <c r="J243" s="81"/>
      <c r="K243" s="81"/>
      <c r="L243" s="81"/>
      <c r="M243" s="82" t="s">
        <v>52</v>
      </c>
      <c r="N243" s="82"/>
      <c r="O243" s="82"/>
      <c r="P243" s="82"/>
      <c r="Q243" s="82"/>
      <c r="R243" s="111"/>
      <c r="S243" s="82"/>
      <c r="T243" s="81" t="s">
        <v>144</v>
      </c>
      <c r="U243" s="81" t="s">
        <v>144</v>
      </c>
    </row>
    <row r="244" spans="1:21" ht="30" x14ac:dyDescent="0.25">
      <c r="A244" s="81"/>
      <c r="B244" s="81" t="s">
        <v>8</v>
      </c>
      <c r="C244" s="81" t="s">
        <v>144</v>
      </c>
      <c r="D244" s="81" t="s">
        <v>147</v>
      </c>
      <c r="E244" s="81" t="s">
        <v>1065</v>
      </c>
      <c r="F244" s="81" t="s">
        <v>165</v>
      </c>
      <c r="G244" s="81" t="s">
        <v>1066</v>
      </c>
      <c r="H244" s="81"/>
      <c r="I244" s="81"/>
      <c r="J244" s="81"/>
      <c r="K244" s="81"/>
      <c r="L244" s="81"/>
      <c r="M244" s="82" t="s">
        <v>52</v>
      </c>
      <c r="N244" s="82"/>
      <c r="O244" s="82"/>
      <c r="P244" s="82"/>
      <c r="Q244" s="82"/>
      <c r="R244" s="111"/>
      <c r="S244" s="82"/>
      <c r="T244" s="81" t="s">
        <v>144</v>
      </c>
      <c r="U244" s="81" t="s">
        <v>144</v>
      </c>
    </row>
    <row r="245" spans="1:21" ht="60" x14ac:dyDescent="0.25">
      <c r="A245" s="81"/>
      <c r="B245" s="81" t="s">
        <v>8</v>
      </c>
      <c r="C245" s="81" t="s">
        <v>144</v>
      </c>
      <c r="D245" s="81" t="s">
        <v>147</v>
      </c>
      <c r="E245" s="81" t="s">
        <v>1067</v>
      </c>
      <c r="F245" s="81" t="s">
        <v>164</v>
      </c>
      <c r="G245" s="81" t="s">
        <v>1068</v>
      </c>
      <c r="H245" s="81"/>
      <c r="I245" s="81"/>
      <c r="J245" s="81"/>
      <c r="K245" s="81"/>
      <c r="L245" s="81"/>
      <c r="M245" s="82" t="s">
        <v>52</v>
      </c>
      <c r="N245" s="82"/>
      <c r="O245" s="82"/>
      <c r="P245" s="82"/>
      <c r="Q245" s="82" t="s">
        <v>1069</v>
      </c>
      <c r="R245" s="111">
        <v>45747</v>
      </c>
      <c r="S245" s="82" t="s">
        <v>535</v>
      </c>
      <c r="T245" s="81" t="s">
        <v>144</v>
      </c>
      <c r="U245" s="81" t="s">
        <v>144</v>
      </c>
    </row>
    <row r="246" spans="1:21" x14ac:dyDescent="0.25">
      <c r="A246" s="81"/>
      <c r="B246" s="81" t="s">
        <v>8</v>
      </c>
      <c r="C246" s="81" t="s">
        <v>144</v>
      </c>
      <c r="D246" s="81" t="s">
        <v>147</v>
      </c>
      <c r="E246" s="81" t="s">
        <v>1070</v>
      </c>
      <c r="F246" s="81" t="s">
        <v>165</v>
      </c>
      <c r="G246" s="81" t="s">
        <v>1071</v>
      </c>
      <c r="H246" s="81"/>
      <c r="I246" s="81"/>
      <c r="J246" s="81"/>
      <c r="K246" s="81"/>
      <c r="L246" s="81"/>
      <c r="M246" s="82" t="s">
        <v>52</v>
      </c>
      <c r="N246" s="82"/>
      <c r="O246" s="82"/>
      <c r="P246" s="82"/>
      <c r="Q246" s="82"/>
      <c r="R246" s="111"/>
      <c r="S246" s="82"/>
      <c r="T246" s="81" t="s">
        <v>144</v>
      </c>
      <c r="U246" s="81" t="s">
        <v>144</v>
      </c>
    </row>
    <row r="247" spans="1:21" ht="45" x14ac:dyDescent="0.25">
      <c r="A247" s="81"/>
      <c r="B247" s="81" t="s">
        <v>8</v>
      </c>
      <c r="C247" s="81" t="s">
        <v>144</v>
      </c>
      <c r="D247" s="81" t="s">
        <v>147</v>
      </c>
      <c r="E247" s="81" t="s">
        <v>1072</v>
      </c>
      <c r="F247" s="81" t="s">
        <v>165</v>
      </c>
      <c r="G247" s="81" t="s">
        <v>1073</v>
      </c>
      <c r="H247" s="81"/>
      <c r="I247" s="81"/>
      <c r="J247" s="81"/>
      <c r="K247" s="81"/>
      <c r="L247" s="81"/>
      <c r="M247" s="82" t="s">
        <v>52</v>
      </c>
      <c r="N247" s="82"/>
      <c r="O247" s="82"/>
      <c r="P247" s="82"/>
      <c r="Q247" s="82" t="s">
        <v>1074</v>
      </c>
      <c r="R247" s="111"/>
      <c r="S247" s="82"/>
      <c r="T247" s="81" t="s">
        <v>144</v>
      </c>
      <c r="U247" s="81" t="s">
        <v>144</v>
      </c>
    </row>
    <row r="248" spans="1:21" ht="30" x14ac:dyDescent="0.25">
      <c r="A248" s="81"/>
      <c r="B248" s="81" t="s">
        <v>8</v>
      </c>
      <c r="C248" s="81" t="s">
        <v>144</v>
      </c>
      <c r="D248" s="81" t="s">
        <v>147</v>
      </c>
      <c r="E248" s="81" t="s">
        <v>1075</v>
      </c>
      <c r="F248" s="81" t="s">
        <v>149</v>
      </c>
      <c r="G248" s="81" t="s">
        <v>1076</v>
      </c>
      <c r="H248" s="81"/>
      <c r="I248" s="81"/>
      <c r="J248" s="81"/>
      <c r="K248" s="81"/>
      <c r="L248" s="81"/>
      <c r="M248" s="82" t="s">
        <v>52</v>
      </c>
      <c r="N248" s="82"/>
      <c r="O248" s="82"/>
      <c r="P248" s="82"/>
      <c r="Q248" s="82" t="s">
        <v>52</v>
      </c>
      <c r="R248" s="111"/>
      <c r="S248" s="82"/>
      <c r="T248" s="81" t="s">
        <v>144</v>
      </c>
      <c r="U248" s="81" t="s">
        <v>144</v>
      </c>
    </row>
    <row r="249" spans="1:21" ht="30" x14ac:dyDescent="0.25">
      <c r="A249" s="81"/>
      <c r="B249" s="81" t="s">
        <v>8</v>
      </c>
      <c r="C249" s="81" t="s">
        <v>144</v>
      </c>
      <c r="D249" s="81" t="s">
        <v>147</v>
      </c>
      <c r="E249" s="81" t="s">
        <v>1077</v>
      </c>
      <c r="F249" s="81" t="s">
        <v>149</v>
      </c>
      <c r="G249" s="81" t="s">
        <v>1078</v>
      </c>
      <c r="H249" s="81"/>
      <c r="I249" s="81"/>
      <c r="J249" s="81"/>
      <c r="K249" s="81"/>
      <c r="L249" s="81"/>
      <c r="M249" s="82" t="s">
        <v>52</v>
      </c>
      <c r="N249" s="82"/>
      <c r="O249" s="82"/>
      <c r="P249" s="82"/>
      <c r="Q249" s="82" t="s">
        <v>52</v>
      </c>
      <c r="R249" s="111"/>
      <c r="S249" s="82"/>
      <c r="T249" s="81" t="s">
        <v>144</v>
      </c>
      <c r="U249" s="81" t="s">
        <v>144</v>
      </c>
    </row>
    <row r="250" spans="1:21" x14ac:dyDescent="0.25">
      <c r="A250" s="81"/>
      <c r="B250" s="81" t="s">
        <v>8</v>
      </c>
      <c r="C250" s="81" t="s">
        <v>144</v>
      </c>
      <c r="D250" s="81" t="s">
        <v>147</v>
      </c>
      <c r="E250" s="81" t="s">
        <v>1079</v>
      </c>
      <c r="F250" s="81" t="s">
        <v>149</v>
      </c>
      <c r="G250" s="81" t="s">
        <v>1080</v>
      </c>
      <c r="H250" s="81"/>
      <c r="I250" s="81"/>
      <c r="J250" s="81"/>
      <c r="K250" s="81"/>
      <c r="L250" s="81"/>
      <c r="M250" s="82" t="s">
        <v>52</v>
      </c>
      <c r="N250" s="82"/>
      <c r="O250" s="82"/>
      <c r="P250" s="82"/>
      <c r="Q250" s="82" t="s">
        <v>1081</v>
      </c>
      <c r="R250" s="111"/>
      <c r="S250" s="82"/>
      <c r="T250" s="81" t="s">
        <v>144</v>
      </c>
      <c r="U250" s="81" t="s">
        <v>144</v>
      </c>
    </row>
    <row r="251" spans="1:21" x14ac:dyDescent="0.25">
      <c r="A251" s="81"/>
      <c r="B251" s="81" t="s">
        <v>8</v>
      </c>
      <c r="C251" s="81" t="s">
        <v>144</v>
      </c>
      <c r="D251" s="81" t="s">
        <v>147</v>
      </c>
      <c r="E251" s="81" t="s">
        <v>1082</v>
      </c>
      <c r="F251" s="81" t="s">
        <v>164</v>
      </c>
      <c r="G251" s="81" t="s">
        <v>1083</v>
      </c>
      <c r="H251" s="81"/>
      <c r="I251" s="81"/>
      <c r="J251" s="81"/>
      <c r="K251" s="81"/>
      <c r="L251" s="81"/>
      <c r="M251" s="82" t="s">
        <v>52</v>
      </c>
      <c r="N251" s="82"/>
      <c r="O251" s="82"/>
      <c r="P251" s="82"/>
      <c r="Q251" s="82"/>
      <c r="R251" s="111"/>
      <c r="S251" s="82"/>
      <c r="T251" s="81" t="s">
        <v>144</v>
      </c>
      <c r="U251" s="81" t="s">
        <v>144</v>
      </c>
    </row>
    <row r="252" spans="1:21" ht="30" x14ac:dyDescent="0.25">
      <c r="A252" s="81"/>
      <c r="B252" s="81" t="s">
        <v>8</v>
      </c>
      <c r="C252" s="81" t="s">
        <v>144</v>
      </c>
      <c r="D252" s="81" t="s">
        <v>147</v>
      </c>
      <c r="E252" s="81" t="s">
        <v>1084</v>
      </c>
      <c r="F252" s="81" t="s">
        <v>149</v>
      </c>
      <c r="G252" s="81" t="s">
        <v>1085</v>
      </c>
      <c r="H252" s="81"/>
      <c r="I252" s="81"/>
      <c r="J252" s="81"/>
      <c r="K252" s="81"/>
      <c r="L252" s="81"/>
      <c r="M252" s="82" t="s">
        <v>52</v>
      </c>
      <c r="N252" s="82"/>
      <c r="O252" s="82"/>
      <c r="P252" s="82"/>
      <c r="Q252" s="82"/>
      <c r="R252" s="111"/>
      <c r="S252" s="82"/>
      <c r="T252" s="81" t="s">
        <v>144</v>
      </c>
      <c r="U252" s="81" t="s">
        <v>144</v>
      </c>
    </row>
    <row r="253" spans="1:21" ht="30" x14ac:dyDescent="0.25">
      <c r="A253" s="81"/>
      <c r="B253" s="81" t="s">
        <v>8</v>
      </c>
      <c r="C253" s="81" t="s">
        <v>144</v>
      </c>
      <c r="D253" s="81" t="s">
        <v>147</v>
      </c>
      <c r="E253" s="81" t="s">
        <v>1086</v>
      </c>
      <c r="F253" s="81" t="s">
        <v>165</v>
      </c>
      <c r="G253" s="81" t="s">
        <v>1087</v>
      </c>
      <c r="H253" s="81"/>
      <c r="I253" s="81"/>
      <c r="J253" s="81"/>
      <c r="K253" s="81"/>
      <c r="L253" s="81"/>
      <c r="M253" s="82" t="s">
        <v>52</v>
      </c>
      <c r="N253" s="82" t="s">
        <v>8</v>
      </c>
      <c r="O253" s="82"/>
      <c r="P253" s="82"/>
      <c r="Q253" s="82" t="s">
        <v>1088</v>
      </c>
      <c r="R253" s="111">
        <v>45728</v>
      </c>
      <c r="S253" s="82" t="s">
        <v>11</v>
      </c>
      <c r="T253" s="81" t="s">
        <v>144</v>
      </c>
      <c r="U253" s="81" t="s">
        <v>144</v>
      </c>
    </row>
    <row r="254" spans="1:21" ht="30" x14ac:dyDescent="0.25">
      <c r="A254" s="81"/>
      <c r="B254" s="81" t="s">
        <v>8</v>
      </c>
      <c r="C254" s="81" t="s">
        <v>144</v>
      </c>
      <c r="D254" s="81" t="s">
        <v>147</v>
      </c>
      <c r="E254" s="81" t="s">
        <v>1089</v>
      </c>
      <c r="F254" s="81" t="s">
        <v>165</v>
      </c>
      <c r="G254" s="81" t="s">
        <v>1090</v>
      </c>
      <c r="H254" s="81"/>
      <c r="I254" s="81"/>
      <c r="J254" s="81"/>
      <c r="K254" s="81"/>
      <c r="L254" s="81"/>
      <c r="M254" s="82" t="s">
        <v>52</v>
      </c>
      <c r="N254" s="82" t="s">
        <v>8</v>
      </c>
      <c r="O254" s="82"/>
      <c r="P254" s="82"/>
      <c r="Q254" s="82" t="s">
        <v>1088</v>
      </c>
      <c r="R254" s="111">
        <v>45728</v>
      </c>
      <c r="S254" s="82" t="s">
        <v>11</v>
      </c>
      <c r="T254" s="81" t="s">
        <v>144</v>
      </c>
      <c r="U254" s="81" t="s">
        <v>144</v>
      </c>
    </row>
    <row r="255" spans="1:21" ht="30" x14ac:dyDescent="0.25">
      <c r="A255" s="81"/>
      <c r="B255" s="81" t="s">
        <v>8</v>
      </c>
      <c r="C255" s="81" t="s">
        <v>144</v>
      </c>
      <c r="D255" s="81" t="s">
        <v>147</v>
      </c>
      <c r="E255" s="81" t="s">
        <v>1091</v>
      </c>
      <c r="F255" s="81" t="s">
        <v>164</v>
      </c>
      <c r="G255" s="81" t="s">
        <v>1092</v>
      </c>
      <c r="H255" s="81"/>
      <c r="I255" s="81"/>
      <c r="J255" s="81"/>
      <c r="K255" s="81"/>
      <c r="L255" s="81"/>
      <c r="M255" s="82" t="s">
        <v>52</v>
      </c>
      <c r="N255" s="82"/>
      <c r="O255" s="82"/>
      <c r="P255" s="82"/>
      <c r="Q255" s="82" t="s">
        <v>1093</v>
      </c>
      <c r="R255" s="111">
        <v>45722</v>
      </c>
      <c r="S255" s="82" t="s">
        <v>322</v>
      </c>
      <c r="T255" s="81" t="s">
        <v>144</v>
      </c>
      <c r="U255" s="81" t="s">
        <v>144</v>
      </c>
    </row>
    <row r="256" spans="1:21" ht="30" x14ac:dyDescent="0.25">
      <c r="A256" s="81"/>
      <c r="B256" s="81" t="s">
        <v>8</v>
      </c>
      <c r="C256" s="81" t="s">
        <v>144</v>
      </c>
      <c r="D256" s="81" t="s">
        <v>147</v>
      </c>
      <c r="E256" s="81" t="s">
        <v>1094</v>
      </c>
      <c r="F256" s="81" t="s">
        <v>164</v>
      </c>
      <c r="G256" s="81" t="s">
        <v>1095</v>
      </c>
      <c r="H256" s="81"/>
      <c r="I256" s="81"/>
      <c r="J256" s="81"/>
      <c r="K256" s="81"/>
      <c r="L256" s="81"/>
      <c r="M256" s="82" t="s">
        <v>52</v>
      </c>
      <c r="N256" s="82"/>
      <c r="O256" s="82"/>
      <c r="P256" s="82"/>
      <c r="Q256" s="82" t="s">
        <v>329</v>
      </c>
      <c r="R256" s="111">
        <v>45720</v>
      </c>
      <c r="S256" s="82" t="s">
        <v>1096</v>
      </c>
      <c r="T256" s="81" t="s">
        <v>144</v>
      </c>
      <c r="U256" s="81" t="s">
        <v>144</v>
      </c>
    </row>
    <row r="257" spans="1:21" ht="45" x14ac:dyDescent="0.25">
      <c r="A257" s="81"/>
      <c r="B257" s="81" t="s">
        <v>8</v>
      </c>
      <c r="C257" s="81" t="s">
        <v>144</v>
      </c>
      <c r="D257" s="81" t="s">
        <v>147</v>
      </c>
      <c r="E257" s="81" t="s">
        <v>1097</v>
      </c>
      <c r="F257" s="81" t="s">
        <v>164</v>
      </c>
      <c r="G257" s="81" t="s">
        <v>1098</v>
      </c>
      <c r="H257" s="81"/>
      <c r="I257" s="81"/>
      <c r="J257" s="81"/>
      <c r="K257" s="81"/>
      <c r="L257" s="81"/>
      <c r="M257" s="82" t="s">
        <v>52</v>
      </c>
      <c r="N257" s="82"/>
      <c r="O257" s="82"/>
      <c r="P257" s="82"/>
      <c r="Q257" s="82" t="s">
        <v>1099</v>
      </c>
      <c r="R257" s="111">
        <v>45714</v>
      </c>
      <c r="S257" s="82" t="s">
        <v>254</v>
      </c>
      <c r="T257" s="81" t="s">
        <v>144</v>
      </c>
      <c r="U257" s="81" t="s">
        <v>144</v>
      </c>
    </row>
    <row r="258" spans="1:21" ht="45" x14ac:dyDescent="0.25">
      <c r="A258" s="81"/>
      <c r="B258" s="81" t="s">
        <v>8</v>
      </c>
      <c r="C258" s="81" t="s">
        <v>144</v>
      </c>
      <c r="D258" s="81" t="s">
        <v>147</v>
      </c>
      <c r="E258" s="81" t="s">
        <v>1100</v>
      </c>
      <c r="F258" s="81" t="s">
        <v>164</v>
      </c>
      <c r="G258" s="81" t="s">
        <v>1095</v>
      </c>
      <c r="H258" s="81"/>
      <c r="I258" s="81"/>
      <c r="J258" s="81"/>
      <c r="K258" s="81"/>
      <c r="L258" s="81"/>
      <c r="M258" s="82" t="s">
        <v>52</v>
      </c>
      <c r="N258" s="82"/>
      <c r="O258" s="82"/>
      <c r="P258" s="82"/>
      <c r="Q258" s="82" t="s">
        <v>1101</v>
      </c>
      <c r="R258" s="111">
        <v>45714</v>
      </c>
      <c r="S258" s="82" t="s">
        <v>1096</v>
      </c>
      <c r="T258" s="81" t="s">
        <v>144</v>
      </c>
      <c r="U258" s="81" t="s">
        <v>144</v>
      </c>
    </row>
    <row r="259" spans="1:21" ht="30" x14ac:dyDescent="0.25">
      <c r="A259" s="81"/>
      <c r="B259" s="81" t="s">
        <v>8</v>
      </c>
      <c r="C259" s="81" t="s">
        <v>144</v>
      </c>
      <c r="D259" s="81" t="s">
        <v>147</v>
      </c>
      <c r="E259" s="81" t="s">
        <v>1102</v>
      </c>
      <c r="F259" s="81" t="s">
        <v>164</v>
      </c>
      <c r="G259" s="81" t="s">
        <v>1103</v>
      </c>
      <c r="H259" s="81"/>
      <c r="I259" s="81"/>
      <c r="J259" s="81"/>
      <c r="K259" s="81"/>
      <c r="L259" s="81"/>
      <c r="M259" s="82" t="s">
        <v>52</v>
      </c>
      <c r="N259" s="82"/>
      <c r="O259" s="82"/>
      <c r="P259" s="82"/>
      <c r="Q259" s="82" t="s">
        <v>1104</v>
      </c>
      <c r="R259" s="111">
        <v>45713</v>
      </c>
      <c r="S259" s="82" t="s">
        <v>11</v>
      </c>
      <c r="T259" s="81" t="s">
        <v>144</v>
      </c>
      <c r="U259" s="81" t="s">
        <v>144</v>
      </c>
    </row>
    <row r="260" spans="1:21" ht="30" x14ac:dyDescent="0.25">
      <c r="A260" s="81"/>
      <c r="B260" s="81" t="s">
        <v>8</v>
      </c>
      <c r="C260" s="81" t="s">
        <v>144</v>
      </c>
      <c r="D260" s="81" t="s">
        <v>147</v>
      </c>
      <c r="E260" s="81" t="s">
        <v>1105</v>
      </c>
      <c r="F260" s="81" t="s">
        <v>164</v>
      </c>
      <c r="G260" s="81" t="s">
        <v>1106</v>
      </c>
      <c r="H260" s="81"/>
      <c r="I260" s="81"/>
      <c r="J260" s="81"/>
      <c r="K260" s="81"/>
      <c r="L260" s="81"/>
      <c r="M260" s="82" t="s">
        <v>52</v>
      </c>
      <c r="N260" s="82"/>
      <c r="O260" s="82"/>
      <c r="P260" s="82"/>
      <c r="Q260" s="82" t="s">
        <v>1107</v>
      </c>
      <c r="R260" s="111">
        <v>45713</v>
      </c>
      <c r="S260" s="82" t="s">
        <v>11</v>
      </c>
      <c r="T260" s="81" t="s">
        <v>144</v>
      </c>
      <c r="U260" s="81" t="s">
        <v>144</v>
      </c>
    </row>
    <row r="261" spans="1:21" ht="45" x14ac:dyDescent="0.25">
      <c r="A261" s="81"/>
      <c r="B261" s="81" t="s">
        <v>8</v>
      </c>
      <c r="C261" s="81" t="s">
        <v>144</v>
      </c>
      <c r="D261" s="81" t="s">
        <v>147</v>
      </c>
      <c r="E261" s="81" t="s">
        <v>1108</v>
      </c>
      <c r="F261" s="81" t="s">
        <v>149</v>
      </c>
      <c r="G261" s="81" t="s">
        <v>1109</v>
      </c>
      <c r="H261" s="81"/>
      <c r="I261" s="81"/>
      <c r="J261" s="81"/>
      <c r="K261" s="81"/>
      <c r="L261" s="81"/>
      <c r="M261" s="82" t="s">
        <v>52</v>
      </c>
      <c r="N261" s="82"/>
      <c r="O261" s="82"/>
      <c r="P261" s="82"/>
      <c r="Q261" s="82" t="s">
        <v>1110</v>
      </c>
      <c r="R261" s="111">
        <v>45712</v>
      </c>
      <c r="S261" s="82" t="s">
        <v>9</v>
      </c>
      <c r="T261" s="81" t="s">
        <v>144</v>
      </c>
      <c r="U261" s="81" t="s">
        <v>144</v>
      </c>
    </row>
    <row r="262" spans="1:21" ht="45" x14ac:dyDescent="0.25">
      <c r="A262" s="81"/>
      <c r="B262" s="81" t="s">
        <v>8</v>
      </c>
      <c r="C262" s="81" t="s">
        <v>144</v>
      </c>
      <c r="D262" s="81" t="s">
        <v>147</v>
      </c>
      <c r="E262" s="81" t="s">
        <v>1111</v>
      </c>
      <c r="F262" s="81" t="s">
        <v>165</v>
      </c>
      <c r="G262" s="81" t="s">
        <v>1112</v>
      </c>
      <c r="H262" s="81"/>
      <c r="I262" s="81"/>
      <c r="J262" s="81"/>
      <c r="K262" s="81"/>
      <c r="L262" s="81"/>
      <c r="M262" s="82" t="s">
        <v>52</v>
      </c>
      <c r="N262" s="82"/>
      <c r="O262" s="82"/>
      <c r="P262" s="82"/>
      <c r="Q262" s="82" t="s">
        <v>1113</v>
      </c>
      <c r="R262" s="111">
        <v>45705</v>
      </c>
      <c r="S262" s="82" t="s">
        <v>23</v>
      </c>
      <c r="T262" s="81" t="s">
        <v>144</v>
      </c>
      <c r="U262" s="81" t="s">
        <v>144</v>
      </c>
    </row>
    <row r="263" spans="1:21" ht="45" x14ac:dyDescent="0.25">
      <c r="A263" s="81"/>
      <c r="B263" s="81" t="s">
        <v>8</v>
      </c>
      <c r="C263" s="81" t="s">
        <v>144</v>
      </c>
      <c r="D263" s="81" t="s">
        <v>147</v>
      </c>
      <c r="E263" s="81" t="s">
        <v>1114</v>
      </c>
      <c r="F263" s="81" t="s">
        <v>149</v>
      </c>
      <c r="G263" s="81" t="s">
        <v>1115</v>
      </c>
      <c r="H263" s="81"/>
      <c r="I263" s="81"/>
      <c r="J263" s="81"/>
      <c r="K263" s="81"/>
      <c r="L263" s="81"/>
      <c r="M263" s="82" t="s">
        <v>52</v>
      </c>
      <c r="N263" s="82"/>
      <c r="O263" s="82"/>
      <c r="P263" s="82"/>
      <c r="Q263" s="82" t="s">
        <v>1116</v>
      </c>
      <c r="R263" s="111">
        <v>45701</v>
      </c>
      <c r="S263" s="82" t="s">
        <v>267</v>
      </c>
      <c r="T263" s="81" t="s">
        <v>144</v>
      </c>
      <c r="U263" s="81" t="s">
        <v>144</v>
      </c>
    </row>
    <row r="264" spans="1:21" ht="30" x14ac:dyDescent="0.25">
      <c r="A264" s="81"/>
      <c r="B264" s="81" t="s">
        <v>8</v>
      </c>
      <c r="C264" s="81" t="s">
        <v>144</v>
      </c>
      <c r="D264" s="81" t="s">
        <v>147</v>
      </c>
      <c r="E264" s="81" t="s">
        <v>1117</v>
      </c>
      <c r="F264" s="81" t="s">
        <v>165</v>
      </c>
      <c r="G264" s="81" t="s">
        <v>1118</v>
      </c>
      <c r="H264" s="81"/>
      <c r="I264" s="81"/>
      <c r="J264" s="81"/>
      <c r="K264" s="81"/>
      <c r="L264" s="81"/>
      <c r="M264" s="82" t="s">
        <v>52</v>
      </c>
      <c r="N264" s="82"/>
      <c r="O264" s="82"/>
      <c r="P264" s="82"/>
      <c r="Q264" s="82" t="s">
        <v>1119</v>
      </c>
      <c r="R264" s="111">
        <v>45687</v>
      </c>
      <c r="S264" s="82" t="s">
        <v>38</v>
      </c>
      <c r="T264" s="81" t="s">
        <v>144</v>
      </c>
      <c r="U264" s="81" t="s">
        <v>144</v>
      </c>
    </row>
    <row r="265" spans="1:21" x14ac:dyDescent="0.25">
      <c r="A265" s="81"/>
      <c r="B265" s="81" t="s">
        <v>8</v>
      </c>
      <c r="C265" s="81" t="s">
        <v>144</v>
      </c>
      <c r="D265" s="81" t="s">
        <v>147</v>
      </c>
      <c r="E265" s="81" t="s">
        <v>1120</v>
      </c>
      <c r="F265" s="81" t="s">
        <v>164</v>
      </c>
      <c r="G265" s="81" t="s">
        <v>1121</v>
      </c>
      <c r="H265" s="81"/>
      <c r="I265" s="81"/>
      <c r="J265" s="81"/>
      <c r="K265" s="81"/>
      <c r="L265" s="81"/>
      <c r="M265" s="82" t="s">
        <v>52</v>
      </c>
      <c r="N265" s="82"/>
      <c r="O265" s="82"/>
      <c r="P265" s="82"/>
      <c r="Q265" s="82"/>
      <c r="R265" s="111"/>
      <c r="S265" s="82"/>
      <c r="T265" s="81" t="s">
        <v>144</v>
      </c>
      <c r="U265" s="81" t="s">
        <v>144</v>
      </c>
    </row>
    <row r="266" spans="1:21" ht="30" x14ac:dyDescent="0.25">
      <c r="A266" s="81"/>
      <c r="B266" s="81" t="s">
        <v>8</v>
      </c>
      <c r="C266" s="81" t="s">
        <v>144</v>
      </c>
      <c r="D266" s="81" t="s">
        <v>147</v>
      </c>
      <c r="E266" s="81" t="s">
        <v>1122</v>
      </c>
      <c r="F266" s="81" t="s">
        <v>149</v>
      </c>
      <c r="G266" s="81" t="s">
        <v>1123</v>
      </c>
      <c r="H266" s="81"/>
      <c r="I266" s="81"/>
      <c r="J266" s="81"/>
      <c r="K266" s="81"/>
      <c r="L266" s="81"/>
      <c r="M266" s="82" t="s">
        <v>52</v>
      </c>
      <c r="N266" s="82"/>
      <c r="O266" s="82"/>
      <c r="P266" s="82"/>
      <c r="Q266" s="82" t="s">
        <v>1124</v>
      </c>
      <c r="R266" s="111">
        <v>45694</v>
      </c>
      <c r="S266" s="82" t="s">
        <v>267</v>
      </c>
      <c r="T266" s="81" t="s">
        <v>144</v>
      </c>
      <c r="U266" s="81" t="s">
        <v>144</v>
      </c>
    </row>
    <row r="267" spans="1:21" ht="30" x14ac:dyDescent="0.25">
      <c r="A267" s="81"/>
      <c r="B267" s="81" t="s">
        <v>8</v>
      </c>
      <c r="C267" s="81" t="s">
        <v>144</v>
      </c>
      <c r="D267" s="81" t="s">
        <v>147</v>
      </c>
      <c r="E267" s="81" t="s">
        <v>1125</v>
      </c>
      <c r="F267" s="81" t="s">
        <v>165</v>
      </c>
      <c r="G267" s="81" t="s">
        <v>1126</v>
      </c>
      <c r="H267" s="81"/>
      <c r="I267" s="81"/>
      <c r="J267" s="81"/>
      <c r="K267" s="81"/>
      <c r="L267" s="81"/>
      <c r="M267" s="82" t="s">
        <v>52</v>
      </c>
      <c r="N267" s="82"/>
      <c r="O267" s="82"/>
      <c r="P267" s="82"/>
      <c r="Q267" s="82" t="s">
        <v>1127</v>
      </c>
      <c r="R267" s="111">
        <v>45684</v>
      </c>
      <c r="S267" s="82" t="s">
        <v>897</v>
      </c>
      <c r="T267" s="81" t="s">
        <v>144</v>
      </c>
      <c r="U267" s="81" t="s">
        <v>144</v>
      </c>
    </row>
    <row r="268" spans="1:21" x14ac:dyDescent="0.25">
      <c r="A268" s="81"/>
      <c r="B268" s="81" t="s">
        <v>8</v>
      </c>
      <c r="C268" s="81" t="s">
        <v>144</v>
      </c>
      <c r="D268" s="81" t="s">
        <v>147</v>
      </c>
      <c r="E268" s="81" t="s">
        <v>1128</v>
      </c>
      <c r="F268" s="81" t="s">
        <v>165</v>
      </c>
      <c r="G268" s="81" t="s">
        <v>1129</v>
      </c>
      <c r="H268" s="81"/>
      <c r="I268" s="81"/>
      <c r="J268" s="81"/>
      <c r="K268" s="81"/>
      <c r="L268" s="81"/>
      <c r="M268" s="82" t="s">
        <v>52</v>
      </c>
      <c r="N268" s="82"/>
      <c r="O268" s="82"/>
      <c r="P268" s="82"/>
      <c r="Q268" s="82" t="s">
        <v>1130</v>
      </c>
      <c r="R268" s="111">
        <v>45685</v>
      </c>
      <c r="S268" s="82" t="s">
        <v>238</v>
      </c>
      <c r="T268" s="81" t="s">
        <v>144</v>
      </c>
      <c r="U268" s="81" t="s">
        <v>144</v>
      </c>
    </row>
    <row r="269" spans="1:21" x14ac:dyDescent="0.25">
      <c r="A269" s="81"/>
      <c r="B269" s="81" t="s">
        <v>8</v>
      </c>
      <c r="C269" s="81" t="s">
        <v>144</v>
      </c>
      <c r="D269" s="81" t="s">
        <v>147</v>
      </c>
      <c r="E269" s="81" t="s">
        <v>1131</v>
      </c>
      <c r="F269" s="81" t="s">
        <v>165</v>
      </c>
      <c r="G269" s="81" t="s">
        <v>1132</v>
      </c>
      <c r="H269" s="81"/>
      <c r="I269" s="81"/>
      <c r="J269" s="81"/>
      <c r="K269" s="81"/>
      <c r="L269" s="81"/>
      <c r="M269" s="82" t="s">
        <v>52</v>
      </c>
      <c r="N269" s="82"/>
      <c r="O269" s="82"/>
      <c r="P269" s="82"/>
      <c r="Q269" s="82" t="s">
        <v>1133</v>
      </c>
      <c r="R269" s="111">
        <v>45685</v>
      </c>
      <c r="S269" s="82" t="s">
        <v>238</v>
      </c>
      <c r="T269" s="81" t="s">
        <v>144</v>
      </c>
      <c r="U269" s="81" t="s">
        <v>144</v>
      </c>
    </row>
    <row r="270" spans="1:21" x14ac:dyDescent="0.25">
      <c r="A270" s="81"/>
      <c r="B270" s="81" t="s">
        <v>8</v>
      </c>
      <c r="C270" s="81" t="s">
        <v>144</v>
      </c>
      <c r="D270" s="81" t="s">
        <v>147</v>
      </c>
      <c r="E270" s="81" t="s">
        <v>1134</v>
      </c>
      <c r="F270" s="81" t="s">
        <v>164</v>
      </c>
      <c r="G270" s="81" t="s">
        <v>1135</v>
      </c>
      <c r="H270" s="81"/>
      <c r="I270" s="81"/>
      <c r="J270" s="81"/>
      <c r="K270" s="81"/>
      <c r="L270" s="81"/>
      <c r="M270" s="82" t="s">
        <v>52</v>
      </c>
      <c r="N270" s="82"/>
      <c r="O270" s="82"/>
      <c r="P270" s="82"/>
      <c r="Q270" s="82" t="s">
        <v>1136</v>
      </c>
      <c r="R270" s="111">
        <v>45685</v>
      </c>
      <c r="S270" s="82" t="s">
        <v>238</v>
      </c>
      <c r="T270" s="81" t="s">
        <v>144</v>
      </c>
      <c r="U270" s="81" t="s">
        <v>144</v>
      </c>
    </row>
    <row r="271" spans="1:21" ht="30" x14ac:dyDescent="0.25">
      <c r="A271" s="81"/>
      <c r="B271" s="81" t="s">
        <v>8</v>
      </c>
      <c r="C271" s="81" t="s">
        <v>144</v>
      </c>
      <c r="D271" s="81" t="s">
        <v>147</v>
      </c>
      <c r="E271" s="81" t="s">
        <v>1137</v>
      </c>
      <c r="F271" s="81" t="s">
        <v>164</v>
      </c>
      <c r="G271" s="81" t="s">
        <v>1138</v>
      </c>
      <c r="H271" s="81"/>
      <c r="I271" s="81"/>
      <c r="J271" s="81"/>
      <c r="K271" s="81"/>
      <c r="L271" s="81"/>
      <c r="M271" s="82" t="s">
        <v>52</v>
      </c>
      <c r="N271" s="82"/>
      <c r="O271" s="82"/>
      <c r="P271" s="82"/>
      <c r="Q271" s="82" t="s">
        <v>1139</v>
      </c>
      <c r="R271" s="111">
        <v>45680</v>
      </c>
      <c r="S271" s="82" t="s">
        <v>20</v>
      </c>
      <c r="T271" s="81" t="s">
        <v>144</v>
      </c>
      <c r="U271" s="81" t="s">
        <v>144</v>
      </c>
    </row>
    <row r="272" spans="1:21" ht="30" x14ac:dyDescent="0.25">
      <c r="A272" s="81"/>
      <c r="B272" s="81" t="s">
        <v>8</v>
      </c>
      <c r="C272" s="81" t="s">
        <v>144</v>
      </c>
      <c r="D272" s="81" t="s">
        <v>147</v>
      </c>
      <c r="E272" s="81" t="s">
        <v>1140</v>
      </c>
      <c r="F272" s="81" t="s">
        <v>149</v>
      </c>
      <c r="G272" s="81" t="s">
        <v>1141</v>
      </c>
      <c r="H272" s="81"/>
      <c r="I272" s="81"/>
      <c r="J272" s="81"/>
      <c r="K272" s="81"/>
      <c r="L272" s="81"/>
      <c r="M272" s="82" t="s">
        <v>52</v>
      </c>
      <c r="N272" s="82"/>
      <c r="O272" s="82"/>
      <c r="P272" s="82"/>
      <c r="Q272" s="82" t="s">
        <v>1142</v>
      </c>
      <c r="R272" s="111"/>
      <c r="S272" s="82"/>
      <c r="T272" s="81" t="s">
        <v>144</v>
      </c>
      <c r="U272" s="81" t="s">
        <v>144</v>
      </c>
    </row>
    <row r="273" spans="1:21" ht="30" x14ac:dyDescent="0.25">
      <c r="A273" s="81"/>
      <c r="B273" s="81" t="s">
        <v>8</v>
      </c>
      <c r="C273" s="81" t="s">
        <v>144</v>
      </c>
      <c r="D273" s="81" t="s">
        <v>147</v>
      </c>
      <c r="E273" s="81" t="s">
        <v>1143</v>
      </c>
      <c r="F273" s="81" t="s">
        <v>164</v>
      </c>
      <c r="G273" s="81" t="s">
        <v>1144</v>
      </c>
      <c r="H273" s="81"/>
      <c r="I273" s="81"/>
      <c r="J273" s="81"/>
      <c r="K273" s="81"/>
      <c r="L273" s="81"/>
      <c r="M273" s="82" t="s">
        <v>52</v>
      </c>
      <c r="N273" s="82"/>
      <c r="O273" s="82"/>
      <c r="P273" s="82"/>
      <c r="Q273" s="82" t="s">
        <v>1145</v>
      </c>
      <c r="R273" s="111">
        <v>45678</v>
      </c>
      <c r="S273" s="82" t="s">
        <v>1146</v>
      </c>
      <c r="T273" s="81" t="s">
        <v>144</v>
      </c>
      <c r="U273" s="81" t="s">
        <v>144</v>
      </c>
    </row>
    <row r="274" spans="1:21" x14ac:dyDescent="0.25">
      <c r="A274" s="81"/>
      <c r="B274" s="81" t="s">
        <v>8</v>
      </c>
      <c r="C274" s="81" t="s">
        <v>144</v>
      </c>
      <c r="D274" s="81" t="s">
        <v>147</v>
      </c>
      <c r="E274" s="81" t="s">
        <v>1147</v>
      </c>
      <c r="F274" s="81" t="s">
        <v>164</v>
      </c>
      <c r="G274" s="81" t="s">
        <v>1148</v>
      </c>
      <c r="H274" s="81"/>
      <c r="I274" s="81"/>
      <c r="J274" s="81"/>
      <c r="K274" s="81"/>
      <c r="L274" s="81"/>
      <c r="M274" s="82" t="s">
        <v>52</v>
      </c>
      <c r="N274" s="82"/>
      <c r="O274" s="82"/>
      <c r="P274" s="82"/>
      <c r="Q274" s="82" t="s">
        <v>1149</v>
      </c>
      <c r="R274" s="111">
        <v>45679</v>
      </c>
      <c r="S274" s="82" t="s">
        <v>20</v>
      </c>
      <c r="T274" s="81" t="s">
        <v>144</v>
      </c>
      <c r="U274" s="81" t="s">
        <v>144</v>
      </c>
    </row>
    <row r="275" spans="1:21" x14ac:dyDescent="0.25">
      <c r="A275" s="81"/>
      <c r="B275" s="81" t="s">
        <v>8</v>
      </c>
      <c r="C275" s="81" t="s">
        <v>144</v>
      </c>
      <c r="D275" s="81" t="s">
        <v>147</v>
      </c>
      <c r="E275" s="81" t="s">
        <v>1150</v>
      </c>
      <c r="F275" s="81" t="s">
        <v>164</v>
      </c>
      <c r="G275" s="81" t="s">
        <v>1151</v>
      </c>
      <c r="H275" s="81"/>
      <c r="I275" s="81"/>
      <c r="J275" s="81"/>
      <c r="K275" s="81"/>
      <c r="L275" s="81"/>
      <c r="M275" s="82" t="s">
        <v>52</v>
      </c>
      <c r="N275" s="82"/>
      <c r="O275" s="82"/>
      <c r="P275" s="82"/>
      <c r="Q275" s="82" t="s">
        <v>1149</v>
      </c>
      <c r="R275" s="111">
        <v>45679</v>
      </c>
      <c r="S275" s="82" t="s">
        <v>20</v>
      </c>
      <c r="T275" s="81" t="s">
        <v>144</v>
      </c>
      <c r="U275" s="81" t="s">
        <v>144</v>
      </c>
    </row>
    <row r="276" spans="1:21" x14ac:dyDescent="0.25">
      <c r="A276" s="81"/>
      <c r="B276" s="81" t="s">
        <v>8</v>
      </c>
      <c r="C276" s="81" t="s">
        <v>144</v>
      </c>
      <c r="D276" s="81" t="s">
        <v>147</v>
      </c>
      <c r="E276" s="81" t="s">
        <v>1152</v>
      </c>
      <c r="F276" s="81" t="s">
        <v>165</v>
      </c>
      <c r="G276" s="81" t="s">
        <v>1153</v>
      </c>
      <c r="H276" s="81"/>
      <c r="I276" s="81"/>
      <c r="J276" s="81"/>
      <c r="K276" s="81"/>
      <c r="L276" s="81"/>
      <c r="M276" s="82" t="s">
        <v>52</v>
      </c>
      <c r="N276" s="82"/>
      <c r="O276" s="82"/>
      <c r="P276" s="82"/>
      <c r="Q276" s="82"/>
      <c r="R276" s="111"/>
      <c r="S276" s="82"/>
      <c r="T276" s="81" t="s">
        <v>144</v>
      </c>
      <c r="U276" s="81" t="s">
        <v>144</v>
      </c>
    </row>
    <row r="277" spans="1:21" x14ac:dyDescent="0.25">
      <c r="A277" s="81"/>
      <c r="B277" s="81" t="s">
        <v>8</v>
      </c>
      <c r="C277" s="81" t="s">
        <v>144</v>
      </c>
      <c r="D277" s="81" t="s">
        <v>147</v>
      </c>
      <c r="E277" s="81" t="s">
        <v>1154</v>
      </c>
      <c r="F277" s="81" t="s">
        <v>165</v>
      </c>
      <c r="G277" s="81" t="s">
        <v>1155</v>
      </c>
      <c r="H277" s="81"/>
      <c r="I277" s="81"/>
      <c r="J277" s="81"/>
      <c r="K277" s="81"/>
      <c r="L277" s="81"/>
      <c r="M277" s="82" t="s">
        <v>52</v>
      </c>
      <c r="N277" s="82"/>
      <c r="O277" s="82"/>
      <c r="P277" s="82"/>
      <c r="Q277" s="82"/>
      <c r="R277" s="111"/>
      <c r="S277" s="82"/>
      <c r="T277" s="81" t="s">
        <v>144</v>
      </c>
      <c r="U277" s="81" t="s">
        <v>144</v>
      </c>
    </row>
    <row r="278" spans="1:21" ht="30" x14ac:dyDescent="0.25">
      <c r="A278" s="81"/>
      <c r="B278" s="81" t="s">
        <v>8</v>
      </c>
      <c r="C278" s="81" t="s">
        <v>144</v>
      </c>
      <c r="D278" s="81" t="s">
        <v>147</v>
      </c>
      <c r="E278" s="81" t="s">
        <v>1156</v>
      </c>
      <c r="F278" s="81" t="s">
        <v>165</v>
      </c>
      <c r="G278" s="81" t="s">
        <v>1157</v>
      </c>
      <c r="H278" s="81"/>
      <c r="I278" s="81"/>
      <c r="J278" s="81"/>
      <c r="K278" s="81"/>
      <c r="L278" s="81"/>
      <c r="M278" s="82" t="s">
        <v>52</v>
      </c>
      <c r="N278" s="82"/>
      <c r="O278" s="82"/>
      <c r="P278" s="82"/>
      <c r="Q278" s="82" t="s">
        <v>1158</v>
      </c>
      <c r="R278" s="111">
        <v>45656</v>
      </c>
      <c r="S278" s="82" t="s">
        <v>1159</v>
      </c>
      <c r="T278" s="81" t="s">
        <v>144</v>
      </c>
      <c r="U278" s="81" t="s">
        <v>144</v>
      </c>
    </row>
    <row r="279" spans="1:21" ht="30" x14ac:dyDescent="0.25">
      <c r="A279" s="81"/>
      <c r="B279" s="81" t="s">
        <v>8</v>
      </c>
      <c r="C279" s="81" t="s">
        <v>144</v>
      </c>
      <c r="D279" s="81" t="s">
        <v>147</v>
      </c>
      <c r="E279" s="81" t="s">
        <v>1160</v>
      </c>
      <c r="F279" s="81" t="s">
        <v>165</v>
      </c>
      <c r="G279" s="81" t="s">
        <v>1161</v>
      </c>
      <c r="H279" s="81"/>
      <c r="I279" s="81"/>
      <c r="J279" s="81"/>
      <c r="K279" s="81"/>
      <c r="L279" s="81"/>
      <c r="M279" s="82" t="s">
        <v>52</v>
      </c>
      <c r="N279" s="82"/>
      <c r="O279" s="82"/>
      <c r="P279" s="82"/>
      <c r="Q279" s="82" t="s">
        <v>1162</v>
      </c>
      <c r="R279" s="111">
        <v>45656</v>
      </c>
      <c r="S279" s="82" t="s">
        <v>11</v>
      </c>
      <c r="T279" s="81" t="s">
        <v>144</v>
      </c>
      <c r="U279" s="81" t="s">
        <v>144</v>
      </c>
    </row>
    <row r="280" spans="1:21" x14ac:dyDescent="0.25">
      <c r="A280" s="81"/>
      <c r="B280" s="81" t="s">
        <v>8</v>
      </c>
      <c r="C280" s="81" t="s">
        <v>144</v>
      </c>
      <c r="D280" s="81" t="s">
        <v>147</v>
      </c>
      <c r="E280" s="81" t="s">
        <v>1163</v>
      </c>
      <c r="F280" s="81" t="s">
        <v>165</v>
      </c>
      <c r="G280" s="81" t="s">
        <v>1164</v>
      </c>
      <c r="H280" s="81"/>
      <c r="I280" s="81"/>
      <c r="J280" s="81"/>
      <c r="K280" s="81"/>
      <c r="L280" s="81"/>
      <c r="M280" s="82" t="s">
        <v>52</v>
      </c>
      <c r="N280" s="82"/>
      <c r="O280" s="82"/>
      <c r="P280" s="82"/>
      <c r="Q280" s="82" t="s">
        <v>1165</v>
      </c>
      <c r="R280" s="111">
        <v>45656</v>
      </c>
      <c r="S280" s="82" t="s">
        <v>1166</v>
      </c>
      <c r="T280" s="81" t="s">
        <v>144</v>
      </c>
      <c r="U280" s="81" t="s">
        <v>144</v>
      </c>
    </row>
    <row r="281" spans="1:21" ht="30" x14ac:dyDescent="0.25">
      <c r="A281" s="81"/>
      <c r="B281" s="81" t="s">
        <v>8</v>
      </c>
      <c r="C281" s="81" t="s">
        <v>144</v>
      </c>
      <c r="D281" s="81" t="s">
        <v>147</v>
      </c>
      <c r="E281" s="81" t="s">
        <v>1167</v>
      </c>
      <c r="F281" s="81" t="s">
        <v>165</v>
      </c>
      <c r="G281" s="81" t="s">
        <v>1168</v>
      </c>
      <c r="H281" s="81"/>
      <c r="I281" s="81"/>
      <c r="J281" s="81"/>
      <c r="K281" s="81"/>
      <c r="L281" s="81"/>
      <c r="M281" s="82" t="s">
        <v>52</v>
      </c>
      <c r="N281" s="82"/>
      <c r="O281" s="82"/>
      <c r="P281" s="82"/>
      <c r="Q281" s="82"/>
      <c r="R281" s="111">
        <v>45610</v>
      </c>
      <c r="S281" s="82" t="s">
        <v>546</v>
      </c>
      <c r="T281" s="81" t="s">
        <v>144</v>
      </c>
      <c r="U281" s="81" t="s">
        <v>144</v>
      </c>
    </row>
    <row r="282" spans="1:21" ht="30" x14ac:dyDescent="0.25">
      <c r="A282" s="81"/>
      <c r="B282" s="81" t="s">
        <v>8</v>
      </c>
      <c r="C282" s="81" t="s">
        <v>144</v>
      </c>
      <c r="D282" s="81" t="s">
        <v>147</v>
      </c>
      <c r="E282" s="81" t="s">
        <v>1169</v>
      </c>
      <c r="F282" s="81" t="s">
        <v>164</v>
      </c>
      <c r="G282" s="81" t="s">
        <v>1170</v>
      </c>
      <c r="H282" s="81"/>
      <c r="I282" s="81"/>
      <c r="J282" s="81"/>
      <c r="K282" s="81"/>
      <c r="L282" s="81"/>
      <c r="M282" s="82" t="s">
        <v>52</v>
      </c>
      <c r="N282" s="82"/>
      <c r="O282" s="82"/>
      <c r="P282" s="82"/>
      <c r="Q282" s="82"/>
      <c r="R282" s="111">
        <v>45602</v>
      </c>
      <c r="S282" s="82" t="s">
        <v>9</v>
      </c>
      <c r="T282" s="81" t="s">
        <v>144</v>
      </c>
      <c r="U282" s="81" t="s">
        <v>144</v>
      </c>
    </row>
    <row r="283" spans="1:21" ht="30" x14ac:dyDescent="0.25">
      <c r="A283" s="81"/>
      <c r="B283" s="81" t="s">
        <v>8</v>
      </c>
      <c r="C283" s="81" t="s">
        <v>144</v>
      </c>
      <c r="D283" s="81" t="s">
        <v>147</v>
      </c>
      <c r="E283" s="81" t="s">
        <v>1171</v>
      </c>
      <c r="F283" s="81" t="s">
        <v>165</v>
      </c>
      <c r="G283" s="81" t="s">
        <v>1172</v>
      </c>
      <c r="H283" s="81"/>
      <c r="I283" s="81"/>
      <c r="J283" s="81"/>
      <c r="K283" s="81"/>
      <c r="L283" s="81"/>
      <c r="M283" s="82" t="s">
        <v>52</v>
      </c>
      <c r="N283" s="82"/>
      <c r="O283" s="82"/>
      <c r="P283" s="82"/>
      <c r="Q283" s="82" t="s">
        <v>1173</v>
      </c>
      <c r="R283" s="111">
        <v>45602</v>
      </c>
      <c r="S283" s="82" t="s">
        <v>9</v>
      </c>
      <c r="T283" s="81" t="s">
        <v>144</v>
      </c>
      <c r="U283" s="81" t="s">
        <v>144</v>
      </c>
    </row>
    <row r="284" spans="1:21" ht="30" x14ac:dyDescent="0.25">
      <c r="A284" s="81"/>
      <c r="B284" s="81" t="s">
        <v>8</v>
      </c>
      <c r="C284" s="81" t="s">
        <v>144</v>
      </c>
      <c r="D284" s="81" t="s">
        <v>147</v>
      </c>
      <c r="E284" s="81" t="s">
        <v>1174</v>
      </c>
      <c r="F284" s="81" t="s">
        <v>165</v>
      </c>
      <c r="G284" s="81" t="s">
        <v>1175</v>
      </c>
      <c r="H284" s="81"/>
      <c r="I284" s="81"/>
      <c r="J284" s="81"/>
      <c r="K284" s="81"/>
      <c r="L284" s="81"/>
      <c r="M284" s="82" t="s">
        <v>52</v>
      </c>
      <c r="N284" s="82"/>
      <c r="O284" s="82"/>
      <c r="P284" s="82"/>
      <c r="Q284" s="82" t="s">
        <v>1176</v>
      </c>
      <c r="R284" s="111"/>
      <c r="S284" s="82"/>
      <c r="T284" s="81" t="s">
        <v>144</v>
      </c>
      <c r="U284" s="81" t="s">
        <v>144</v>
      </c>
    </row>
    <row r="285" spans="1:21" x14ac:dyDescent="0.25">
      <c r="A285" s="81"/>
      <c r="B285" s="81" t="s">
        <v>8</v>
      </c>
      <c r="C285" s="81" t="s">
        <v>144</v>
      </c>
      <c r="D285" s="81" t="s">
        <v>147</v>
      </c>
      <c r="E285" s="81" t="s">
        <v>1177</v>
      </c>
      <c r="F285" s="81" t="s">
        <v>150</v>
      </c>
      <c r="G285" s="81" t="s">
        <v>1178</v>
      </c>
      <c r="H285" s="81"/>
      <c r="I285" s="81"/>
      <c r="J285" s="81"/>
      <c r="K285" s="81"/>
      <c r="L285" s="81"/>
      <c r="M285" s="82" t="s">
        <v>52</v>
      </c>
      <c r="N285" s="82"/>
      <c r="O285" s="82"/>
      <c r="P285" s="82"/>
      <c r="Q285" s="82" t="s">
        <v>1179</v>
      </c>
      <c r="R285" s="111"/>
      <c r="S285" s="82"/>
      <c r="T285" s="81" t="s">
        <v>144</v>
      </c>
      <c r="U285" s="81" t="s">
        <v>144</v>
      </c>
    </row>
    <row r="286" spans="1:21" ht="30" x14ac:dyDescent="0.25">
      <c r="A286" s="81"/>
      <c r="B286" s="81" t="s">
        <v>8</v>
      </c>
      <c r="C286" s="81" t="s">
        <v>144</v>
      </c>
      <c r="D286" s="81" t="s">
        <v>147</v>
      </c>
      <c r="E286" s="81" t="s">
        <v>1180</v>
      </c>
      <c r="F286" s="81" t="s">
        <v>164</v>
      </c>
      <c r="G286" s="81" t="s">
        <v>1181</v>
      </c>
      <c r="H286" s="81"/>
      <c r="I286" s="81"/>
      <c r="J286" s="81"/>
      <c r="K286" s="81"/>
      <c r="L286" s="81"/>
      <c r="M286" s="82" t="s">
        <v>52</v>
      </c>
      <c r="N286" s="82"/>
      <c r="O286" s="82"/>
      <c r="P286" s="82"/>
      <c r="Q286" s="82" t="s">
        <v>1182</v>
      </c>
      <c r="R286" s="111"/>
      <c r="S286" s="82"/>
      <c r="T286" s="81" t="s">
        <v>144</v>
      </c>
      <c r="U286" s="81" t="s">
        <v>144</v>
      </c>
    </row>
    <row r="287" spans="1:21" x14ac:dyDescent="0.25">
      <c r="A287" s="81"/>
      <c r="B287" s="81" t="s">
        <v>8</v>
      </c>
      <c r="C287" s="81" t="s">
        <v>144</v>
      </c>
      <c r="D287" s="81" t="s">
        <v>147</v>
      </c>
      <c r="E287" s="81" t="s">
        <v>1183</v>
      </c>
      <c r="F287" s="81" t="s">
        <v>149</v>
      </c>
      <c r="G287" s="81" t="s">
        <v>1184</v>
      </c>
      <c r="H287" s="81"/>
      <c r="I287" s="81"/>
      <c r="J287" s="81"/>
      <c r="K287" s="81"/>
      <c r="L287" s="81"/>
      <c r="M287" s="82" t="s">
        <v>52</v>
      </c>
      <c r="N287" s="82"/>
      <c r="O287" s="82"/>
      <c r="P287" s="82"/>
      <c r="Q287" s="82" t="s">
        <v>1038</v>
      </c>
      <c r="R287" s="111">
        <v>45785</v>
      </c>
      <c r="S287" s="82" t="s">
        <v>20</v>
      </c>
      <c r="T287" s="81" t="s">
        <v>144</v>
      </c>
      <c r="U287" s="81" t="s">
        <v>144</v>
      </c>
    </row>
    <row r="288" spans="1:21" ht="30" x14ac:dyDescent="0.25">
      <c r="A288" s="81"/>
      <c r="B288" s="81" t="s">
        <v>8</v>
      </c>
      <c r="C288" s="81" t="s">
        <v>144</v>
      </c>
      <c r="D288" s="81" t="s">
        <v>147</v>
      </c>
      <c r="E288" s="81" t="s">
        <v>1185</v>
      </c>
      <c r="F288" s="81" t="s">
        <v>165</v>
      </c>
      <c r="G288" s="81" t="s">
        <v>1186</v>
      </c>
      <c r="H288" s="81"/>
      <c r="I288" s="81"/>
      <c r="J288" s="81"/>
      <c r="K288" s="81"/>
      <c r="L288" s="81"/>
      <c r="M288" s="82" t="s">
        <v>52</v>
      </c>
      <c r="N288" s="82"/>
      <c r="O288" s="82"/>
      <c r="P288" s="82"/>
      <c r="Q288" s="82"/>
      <c r="R288" s="111"/>
      <c r="S288" s="82" t="s">
        <v>1187</v>
      </c>
      <c r="T288" s="81" t="s">
        <v>144</v>
      </c>
      <c r="U288" s="81" t="s">
        <v>144</v>
      </c>
    </row>
    <row r="289" spans="1:21" ht="30" x14ac:dyDescent="0.25">
      <c r="A289" s="81"/>
      <c r="B289" s="81" t="s">
        <v>8</v>
      </c>
      <c r="C289" s="81" t="s">
        <v>144</v>
      </c>
      <c r="D289" s="81" t="s">
        <v>147</v>
      </c>
      <c r="E289" s="81" t="s">
        <v>1188</v>
      </c>
      <c r="F289" s="81" t="s">
        <v>149</v>
      </c>
      <c r="G289" s="81" t="s">
        <v>1189</v>
      </c>
      <c r="H289" s="81"/>
      <c r="I289" s="81"/>
      <c r="J289" s="81"/>
      <c r="K289" s="81"/>
      <c r="L289" s="81"/>
      <c r="M289" s="82" t="s">
        <v>52</v>
      </c>
      <c r="N289" s="82"/>
      <c r="O289" s="82"/>
      <c r="P289" s="82"/>
      <c r="Q289" s="82" t="s">
        <v>1190</v>
      </c>
      <c r="R289" s="111"/>
      <c r="S289" s="82" t="s">
        <v>1191</v>
      </c>
      <c r="T289" s="81" t="s">
        <v>144</v>
      </c>
      <c r="U289" s="81" t="s">
        <v>144</v>
      </c>
    </row>
    <row r="290" spans="1:21" x14ac:dyDescent="0.25">
      <c r="A290" s="81"/>
      <c r="B290" s="81" t="s">
        <v>8</v>
      </c>
      <c r="C290" s="81" t="s">
        <v>144</v>
      </c>
      <c r="D290" s="81" t="s">
        <v>147</v>
      </c>
      <c r="E290" s="81" t="s">
        <v>1192</v>
      </c>
      <c r="F290" s="81" t="s">
        <v>149</v>
      </c>
      <c r="G290" s="81" t="s">
        <v>1193</v>
      </c>
      <c r="H290" s="81"/>
      <c r="I290" s="81"/>
      <c r="J290" s="81"/>
      <c r="K290" s="81"/>
      <c r="L290" s="81"/>
      <c r="M290" s="82" t="s">
        <v>52</v>
      </c>
      <c r="N290" s="82"/>
      <c r="O290" s="82"/>
      <c r="P290" s="82"/>
      <c r="Q290" s="82" t="s">
        <v>1194</v>
      </c>
      <c r="R290" s="111">
        <v>45791</v>
      </c>
      <c r="S290" s="82" t="s">
        <v>20</v>
      </c>
      <c r="T290" s="81" t="s">
        <v>144</v>
      </c>
      <c r="U290" s="81" t="s">
        <v>144</v>
      </c>
    </row>
    <row r="291" spans="1:21" ht="30" x14ac:dyDescent="0.25">
      <c r="A291" s="81"/>
      <c r="B291" s="81" t="s">
        <v>8</v>
      </c>
      <c r="C291" s="81" t="s">
        <v>144</v>
      </c>
      <c r="D291" s="81" t="s">
        <v>147</v>
      </c>
      <c r="E291" s="81" t="s">
        <v>1195</v>
      </c>
      <c r="F291" s="81" t="s">
        <v>165</v>
      </c>
      <c r="G291" s="81" t="s">
        <v>1196</v>
      </c>
      <c r="H291" s="81"/>
      <c r="I291" s="81"/>
      <c r="J291" s="81"/>
      <c r="K291" s="81"/>
      <c r="L291" s="81"/>
      <c r="M291" s="82" t="s">
        <v>52</v>
      </c>
      <c r="N291" s="82"/>
      <c r="O291" s="82"/>
      <c r="P291" s="82"/>
      <c r="Q291" s="82"/>
      <c r="R291" s="111"/>
      <c r="S291" s="82"/>
      <c r="T291" s="81" t="s">
        <v>144</v>
      </c>
      <c r="U291" s="81" t="s">
        <v>144</v>
      </c>
    </row>
    <row r="292" spans="1:21" x14ac:dyDescent="0.25">
      <c r="A292" s="81"/>
      <c r="B292" s="81" t="s">
        <v>8</v>
      </c>
      <c r="C292" s="81" t="s">
        <v>144</v>
      </c>
      <c r="D292" s="81" t="s">
        <v>147</v>
      </c>
      <c r="E292" s="81" t="s">
        <v>1197</v>
      </c>
      <c r="F292" s="81" t="s">
        <v>165</v>
      </c>
      <c r="G292" s="81" t="s">
        <v>1198</v>
      </c>
      <c r="H292" s="81"/>
      <c r="I292" s="81"/>
      <c r="J292" s="81"/>
      <c r="K292" s="81"/>
      <c r="L292" s="81"/>
      <c r="M292" s="82" t="s">
        <v>52</v>
      </c>
      <c r="N292" s="82"/>
      <c r="O292" s="82"/>
      <c r="P292" s="82"/>
      <c r="Q292" s="82"/>
      <c r="R292" s="111"/>
      <c r="S292" s="82"/>
      <c r="T292" s="81" t="s">
        <v>144</v>
      </c>
      <c r="U292" s="81" t="s">
        <v>144</v>
      </c>
    </row>
    <row r="293" spans="1:21" ht="30" x14ac:dyDescent="0.25">
      <c r="A293" s="81"/>
      <c r="B293" s="81"/>
      <c r="C293" s="81" t="s">
        <v>144</v>
      </c>
      <c r="D293" s="81" t="s">
        <v>147</v>
      </c>
      <c r="E293" s="81" t="s">
        <v>1199</v>
      </c>
      <c r="F293" s="81" t="s">
        <v>149</v>
      </c>
      <c r="G293" s="81" t="s">
        <v>1200</v>
      </c>
      <c r="H293" s="81"/>
      <c r="I293" s="81"/>
      <c r="J293" s="81"/>
      <c r="K293" s="81"/>
      <c r="L293" s="81"/>
      <c r="M293" s="82" t="s">
        <v>52</v>
      </c>
      <c r="N293" s="82"/>
      <c r="O293" s="82"/>
      <c r="P293" s="82"/>
      <c r="Q293" s="82"/>
      <c r="R293" s="111">
        <v>45797</v>
      </c>
      <c r="S293" s="82" t="s">
        <v>20</v>
      </c>
      <c r="T293" s="81" t="s">
        <v>144</v>
      </c>
      <c r="U293" s="81" t="s">
        <v>144</v>
      </c>
    </row>
    <row r="294" spans="1:21" ht="30" x14ac:dyDescent="0.25">
      <c r="A294" s="81"/>
      <c r="B294" s="81"/>
      <c r="C294" s="81" t="s">
        <v>144</v>
      </c>
      <c r="D294" s="81" t="s">
        <v>147</v>
      </c>
      <c r="E294" s="81" t="s">
        <v>1201</v>
      </c>
      <c r="F294" s="81" t="s">
        <v>165</v>
      </c>
      <c r="G294" s="81" t="s">
        <v>1202</v>
      </c>
      <c r="H294" s="81"/>
      <c r="I294" s="81"/>
      <c r="J294" s="81"/>
      <c r="K294" s="81"/>
      <c r="L294" s="81"/>
      <c r="M294" s="82" t="s">
        <v>52</v>
      </c>
      <c r="N294" s="82"/>
      <c r="O294" s="82"/>
      <c r="P294" s="82"/>
      <c r="Q294" s="82" t="s">
        <v>1203</v>
      </c>
      <c r="R294" s="111">
        <v>45797</v>
      </c>
      <c r="S294" s="82" t="s">
        <v>23</v>
      </c>
      <c r="T294" s="81" t="s">
        <v>144</v>
      </c>
      <c r="U294" s="81" t="s">
        <v>144</v>
      </c>
    </row>
    <row r="295" spans="1:21" ht="30" x14ac:dyDescent="0.25">
      <c r="A295" s="81"/>
      <c r="B295" s="81"/>
      <c r="C295" s="81" t="s">
        <v>144</v>
      </c>
      <c r="D295" s="81" t="s">
        <v>147</v>
      </c>
      <c r="E295" s="81" t="s">
        <v>1204</v>
      </c>
      <c r="F295" s="81" t="s">
        <v>149</v>
      </c>
      <c r="G295" s="81" t="s">
        <v>1205</v>
      </c>
      <c r="H295" s="81"/>
      <c r="I295" s="81"/>
      <c r="J295" s="81"/>
      <c r="K295" s="81"/>
      <c r="L295" s="81"/>
      <c r="M295" s="82" t="s">
        <v>52</v>
      </c>
      <c r="N295" s="82"/>
      <c r="O295" s="82"/>
      <c r="P295" s="82"/>
      <c r="Q295" s="82" t="s">
        <v>1206</v>
      </c>
      <c r="R295" s="111"/>
      <c r="S295" s="82"/>
      <c r="T295" s="81" t="s">
        <v>144</v>
      </c>
      <c r="U295" s="81" t="s">
        <v>144</v>
      </c>
    </row>
    <row r="296" spans="1:21" x14ac:dyDescent="0.25">
      <c r="A296" s="81"/>
      <c r="B296" s="81"/>
      <c r="C296" s="81" t="s">
        <v>144</v>
      </c>
      <c r="D296" s="81" t="s">
        <v>147</v>
      </c>
      <c r="E296" s="81" t="s">
        <v>1207</v>
      </c>
      <c r="F296" s="81" t="s">
        <v>165</v>
      </c>
      <c r="G296" s="81" t="s">
        <v>1208</v>
      </c>
      <c r="H296" s="81"/>
      <c r="I296" s="81"/>
      <c r="J296" s="81"/>
      <c r="K296" s="81"/>
      <c r="L296" s="81"/>
      <c r="M296" s="82" t="s">
        <v>52</v>
      </c>
      <c r="N296" s="82"/>
      <c r="O296" s="82"/>
      <c r="P296" s="82"/>
      <c r="Q296" s="82"/>
      <c r="R296" s="111"/>
      <c r="S296" s="82"/>
      <c r="T296" s="81" t="s">
        <v>144</v>
      </c>
      <c r="U296" s="81" t="s">
        <v>144</v>
      </c>
    </row>
    <row r="297" spans="1:21" ht="30" x14ac:dyDescent="0.25">
      <c r="A297" s="81"/>
      <c r="B297" s="81" t="s">
        <v>8</v>
      </c>
      <c r="C297" s="81" t="s">
        <v>144</v>
      </c>
      <c r="D297" s="81" t="s">
        <v>147</v>
      </c>
      <c r="E297" s="81" t="s">
        <v>1209</v>
      </c>
      <c r="F297" s="81" t="s">
        <v>149</v>
      </c>
      <c r="G297" s="81" t="s">
        <v>1210</v>
      </c>
      <c r="H297" s="81"/>
      <c r="I297" s="81"/>
      <c r="J297" s="81"/>
      <c r="K297" s="81"/>
      <c r="L297" s="81"/>
      <c r="M297" s="82" t="s">
        <v>52</v>
      </c>
      <c r="N297" s="82"/>
      <c r="O297" s="82"/>
      <c r="P297" s="82"/>
      <c r="Q297" s="82"/>
      <c r="R297" s="111">
        <v>45812</v>
      </c>
      <c r="S297" s="82" t="s">
        <v>1211</v>
      </c>
      <c r="T297" s="81" t="s">
        <v>144</v>
      </c>
      <c r="U297" s="81" t="s">
        <v>144</v>
      </c>
    </row>
    <row r="298" spans="1:21" ht="45" x14ac:dyDescent="0.25">
      <c r="A298" s="81"/>
      <c r="B298" s="81"/>
      <c r="C298" s="81" t="s">
        <v>144</v>
      </c>
      <c r="D298" s="81" t="s">
        <v>147</v>
      </c>
      <c r="E298" s="81" t="s">
        <v>1212</v>
      </c>
      <c r="F298" s="81" t="s">
        <v>149</v>
      </c>
      <c r="G298" s="81" t="s">
        <v>1213</v>
      </c>
      <c r="H298" s="81"/>
      <c r="I298" s="81"/>
      <c r="J298" s="81"/>
      <c r="K298" s="81"/>
      <c r="L298" s="81"/>
      <c r="M298" s="82" t="s">
        <v>52</v>
      </c>
      <c r="N298" s="82"/>
      <c r="O298" s="82"/>
      <c r="P298" s="82"/>
      <c r="Q298" s="82" t="s">
        <v>1214</v>
      </c>
      <c r="R298" s="111">
        <v>45797</v>
      </c>
      <c r="S298" s="82" t="s">
        <v>20</v>
      </c>
      <c r="T298" s="81" t="s">
        <v>144</v>
      </c>
      <c r="U298" s="81" t="s">
        <v>144</v>
      </c>
    </row>
    <row r="299" spans="1:21" x14ac:dyDescent="0.25">
      <c r="A299" s="81"/>
      <c r="B299" s="81" t="s">
        <v>8</v>
      </c>
      <c r="C299" s="81" t="s">
        <v>144</v>
      </c>
      <c r="D299" s="81" t="s">
        <v>147</v>
      </c>
      <c r="E299" s="81" t="s">
        <v>1215</v>
      </c>
      <c r="F299" s="81" t="s">
        <v>149</v>
      </c>
      <c r="G299" s="81" t="s">
        <v>1216</v>
      </c>
      <c r="H299" s="81"/>
      <c r="I299" s="81"/>
      <c r="J299" s="81"/>
      <c r="K299" s="81"/>
      <c r="L299" s="81"/>
      <c r="M299" s="82" t="s">
        <v>52</v>
      </c>
      <c r="N299" s="82"/>
      <c r="O299" s="82"/>
      <c r="P299" s="82"/>
      <c r="Q299" s="82"/>
      <c r="R299" s="111">
        <v>45812</v>
      </c>
      <c r="S299" s="82" t="s">
        <v>45</v>
      </c>
      <c r="T299" s="81" t="s">
        <v>144</v>
      </c>
      <c r="U299" s="81" t="s">
        <v>144</v>
      </c>
    </row>
    <row r="300" spans="1:21" x14ac:dyDescent="0.25">
      <c r="A300" s="81"/>
      <c r="B300" s="81" t="s">
        <v>8</v>
      </c>
      <c r="C300" s="81" t="s">
        <v>144</v>
      </c>
      <c r="D300" s="81" t="s">
        <v>147</v>
      </c>
      <c r="E300" s="81" t="s">
        <v>1217</v>
      </c>
      <c r="F300" s="81" t="s">
        <v>149</v>
      </c>
      <c r="G300" s="81" t="s">
        <v>1218</v>
      </c>
      <c r="H300" s="81"/>
      <c r="I300" s="81"/>
      <c r="J300" s="81"/>
      <c r="K300" s="81"/>
      <c r="L300" s="81"/>
      <c r="M300" s="82" t="s">
        <v>52</v>
      </c>
      <c r="N300" s="82"/>
      <c r="O300" s="82"/>
      <c r="P300" s="82"/>
      <c r="Q300" s="82" t="s">
        <v>427</v>
      </c>
      <c r="R300" s="111">
        <v>45817</v>
      </c>
      <c r="S300" s="82" t="s">
        <v>23</v>
      </c>
      <c r="T300" s="81" t="s">
        <v>144</v>
      </c>
      <c r="U300" s="81" t="s">
        <v>144</v>
      </c>
    </row>
    <row r="301" spans="1:21" ht="30" x14ac:dyDescent="0.25">
      <c r="A301" s="81"/>
      <c r="B301" s="81"/>
      <c r="C301" s="81" t="s">
        <v>144</v>
      </c>
      <c r="D301" s="81" t="s">
        <v>147</v>
      </c>
      <c r="E301" s="81" t="s">
        <v>1219</v>
      </c>
      <c r="F301" s="81" t="s">
        <v>164</v>
      </c>
      <c r="G301" s="81" t="s">
        <v>1220</v>
      </c>
      <c r="H301" s="81"/>
      <c r="I301" s="81"/>
      <c r="J301" s="81"/>
      <c r="K301" s="81"/>
      <c r="L301" s="81"/>
      <c r="M301" s="82" t="s">
        <v>52</v>
      </c>
      <c r="N301" s="82"/>
      <c r="O301" s="82"/>
      <c r="P301" s="82"/>
      <c r="Q301" s="82"/>
      <c r="R301" s="111"/>
      <c r="S301" s="82"/>
      <c r="T301" s="81" t="s">
        <v>144</v>
      </c>
      <c r="U301" s="81" t="s">
        <v>144</v>
      </c>
    </row>
    <row r="302" spans="1:21" ht="30" x14ac:dyDescent="0.25">
      <c r="A302" s="81"/>
      <c r="B302" s="81" t="s">
        <v>8</v>
      </c>
      <c r="C302" s="81" t="s">
        <v>144</v>
      </c>
      <c r="D302" s="81" t="s">
        <v>147</v>
      </c>
      <c r="E302" s="81" t="s">
        <v>1221</v>
      </c>
      <c r="F302" s="81" t="s">
        <v>149</v>
      </c>
      <c r="G302" s="81" t="s">
        <v>1222</v>
      </c>
      <c r="H302" s="81"/>
      <c r="I302" s="81"/>
      <c r="J302" s="81"/>
      <c r="K302" s="81"/>
      <c r="L302" s="81"/>
      <c r="M302" s="82" t="s">
        <v>52</v>
      </c>
      <c r="N302" s="82"/>
      <c r="O302" s="82"/>
      <c r="P302" s="82"/>
      <c r="Q302" s="82"/>
      <c r="R302" s="111">
        <v>45817</v>
      </c>
      <c r="S302" s="82" t="s">
        <v>20</v>
      </c>
      <c r="T302" s="81" t="s">
        <v>144</v>
      </c>
      <c r="U302" s="81" t="s">
        <v>144</v>
      </c>
    </row>
    <row r="303" spans="1:21" ht="45" x14ac:dyDescent="0.25">
      <c r="A303" s="81"/>
      <c r="B303" s="81"/>
      <c r="C303" s="81" t="s">
        <v>144</v>
      </c>
      <c r="D303" s="81" t="s">
        <v>147</v>
      </c>
      <c r="E303" s="81" t="s">
        <v>1223</v>
      </c>
      <c r="F303" s="81" t="s">
        <v>149</v>
      </c>
      <c r="G303" s="81" t="s">
        <v>1224</v>
      </c>
      <c r="H303" s="81"/>
      <c r="I303" s="81"/>
      <c r="J303" s="81"/>
      <c r="K303" s="81"/>
      <c r="L303" s="81"/>
      <c r="M303" s="82" t="s">
        <v>52</v>
      </c>
      <c r="N303" s="82"/>
      <c r="O303" s="82"/>
      <c r="P303" s="82"/>
      <c r="Q303" s="82" t="s">
        <v>1225</v>
      </c>
      <c r="R303" s="111">
        <v>45824</v>
      </c>
      <c r="S303" s="82" t="s">
        <v>227</v>
      </c>
      <c r="T303" s="81" t="s">
        <v>144</v>
      </c>
      <c r="U303" s="81" t="s">
        <v>144</v>
      </c>
    </row>
    <row r="304" spans="1:21" ht="45" x14ac:dyDescent="0.25">
      <c r="A304" s="81"/>
      <c r="B304" s="81"/>
      <c r="C304" s="81" t="s">
        <v>144</v>
      </c>
      <c r="D304" s="81" t="s">
        <v>147</v>
      </c>
      <c r="E304" s="81" t="s">
        <v>1226</v>
      </c>
      <c r="F304" s="81" t="s">
        <v>165</v>
      </c>
      <c r="G304" s="81" t="s">
        <v>1227</v>
      </c>
      <c r="H304" s="81"/>
      <c r="I304" s="81"/>
      <c r="J304" s="81"/>
      <c r="K304" s="81"/>
      <c r="L304" s="81"/>
      <c r="M304" s="82" t="s">
        <v>52</v>
      </c>
      <c r="N304" s="82"/>
      <c r="O304" s="82"/>
      <c r="P304" s="82"/>
      <c r="Q304" s="82" t="s">
        <v>1228</v>
      </c>
      <c r="R304" s="111">
        <v>45825</v>
      </c>
      <c r="S304" s="82" t="s">
        <v>9</v>
      </c>
      <c r="T304" s="81" t="s">
        <v>144</v>
      </c>
      <c r="U304" s="81" t="s">
        <v>144</v>
      </c>
    </row>
    <row r="305" spans="1:21" ht="45" x14ac:dyDescent="0.25">
      <c r="A305" s="81"/>
      <c r="B305" s="81"/>
      <c r="C305" s="81" t="s">
        <v>144</v>
      </c>
      <c r="D305" s="81" t="s">
        <v>147</v>
      </c>
      <c r="E305" s="81" t="s">
        <v>1229</v>
      </c>
      <c r="F305" s="81" t="s">
        <v>165</v>
      </c>
      <c r="G305" s="81" t="s">
        <v>1230</v>
      </c>
      <c r="H305" s="81"/>
      <c r="I305" s="81"/>
      <c r="J305" s="81"/>
      <c r="K305" s="81"/>
      <c r="L305" s="81"/>
      <c r="M305" s="82" t="s">
        <v>52</v>
      </c>
      <c r="N305" s="82"/>
      <c r="O305" s="82"/>
      <c r="P305" s="82"/>
      <c r="Q305" s="82" t="s">
        <v>1231</v>
      </c>
      <c r="R305" s="111">
        <v>45825</v>
      </c>
      <c r="S305" s="82" t="s">
        <v>23</v>
      </c>
      <c r="T305" s="81" t="s">
        <v>144</v>
      </c>
      <c r="U305" s="81" t="s">
        <v>144</v>
      </c>
    </row>
    <row r="306" spans="1:21" ht="45" x14ac:dyDescent="0.25">
      <c r="A306" s="81"/>
      <c r="B306" s="81"/>
      <c r="C306" s="81" t="s">
        <v>144</v>
      </c>
      <c r="D306" s="81" t="s">
        <v>147</v>
      </c>
      <c r="E306" s="81" t="s">
        <v>1232</v>
      </c>
      <c r="F306" s="81" t="s">
        <v>149</v>
      </c>
      <c r="G306" s="81" t="s">
        <v>1233</v>
      </c>
      <c r="H306" s="81"/>
      <c r="I306" s="81"/>
      <c r="J306" s="81"/>
      <c r="K306" s="81"/>
      <c r="L306" s="81"/>
      <c r="M306" s="82" t="s">
        <v>52</v>
      </c>
      <c r="N306" s="82"/>
      <c r="O306" s="82"/>
      <c r="P306" s="82"/>
      <c r="Q306" s="82" t="s">
        <v>1234</v>
      </c>
      <c r="R306" s="111">
        <v>45832</v>
      </c>
      <c r="S306" s="82" t="s">
        <v>1235</v>
      </c>
      <c r="T306" s="81" t="s">
        <v>144</v>
      </c>
      <c r="U306" s="81" t="s">
        <v>144</v>
      </c>
    </row>
    <row r="307" spans="1:21" ht="30" x14ac:dyDescent="0.25">
      <c r="A307" s="81"/>
      <c r="B307" s="81" t="s">
        <v>8</v>
      </c>
      <c r="C307" s="81" t="s">
        <v>144</v>
      </c>
      <c r="D307" s="81" t="s">
        <v>147</v>
      </c>
      <c r="E307" s="81" t="s">
        <v>1236</v>
      </c>
      <c r="F307" s="81" t="s">
        <v>164</v>
      </c>
      <c r="G307" s="81" t="s">
        <v>1237</v>
      </c>
      <c r="H307" s="81"/>
      <c r="I307" s="81"/>
      <c r="J307" s="81"/>
      <c r="K307" s="81"/>
      <c r="L307" s="81"/>
      <c r="M307" s="82" t="s">
        <v>52</v>
      </c>
      <c r="N307" s="82"/>
      <c r="O307" s="82"/>
      <c r="P307" s="82"/>
      <c r="Q307" s="82" t="s">
        <v>1238</v>
      </c>
      <c r="R307" s="111">
        <v>45832</v>
      </c>
      <c r="S307" s="82" t="s">
        <v>1235</v>
      </c>
      <c r="T307" s="81" t="s">
        <v>144</v>
      </c>
      <c r="U307" s="81" t="s">
        <v>144</v>
      </c>
    </row>
    <row r="308" spans="1:21" ht="45" x14ac:dyDescent="0.25">
      <c r="A308" s="81"/>
      <c r="B308" s="81"/>
      <c r="C308" s="81" t="s">
        <v>144</v>
      </c>
      <c r="D308" s="81" t="s">
        <v>147</v>
      </c>
      <c r="E308" s="81" t="s">
        <v>1239</v>
      </c>
      <c r="F308" s="81" t="s">
        <v>149</v>
      </c>
      <c r="G308" s="81" t="s">
        <v>1240</v>
      </c>
      <c r="H308" s="81"/>
      <c r="I308" s="81"/>
      <c r="J308" s="81"/>
      <c r="K308" s="81"/>
      <c r="L308" s="81"/>
      <c r="M308" s="82" t="s">
        <v>52</v>
      </c>
      <c r="N308" s="82"/>
      <c r="O308" s="82"/>
      <c r="P308" s="82"/>
      <c r="Q308" s="82" t="s">
        <v>1241</v>
      </c>
      <c r="R308" s="111">
        <v>45820</v>
      </c>
      <c r="S308" s="82" t="s">
        <v>652</v>
      </c>
      <c r="T308" s="81" t="s">
        <v>144</v>
      </c>
      <c r="U308" s="81" t="s">
        <v>144</v>
      </c>
    </row>
    <row r="309" spans="1:21" ht="30" x14ac:dyDescent="0.25">
      <c r="A309" s="81"/>
      <c r="B309" s="81"/>
      <c r="C309" s="81" t="s">
        <v>144</v>
      </c>
      <c r="D309" s="81" t="s">
        <v>147</v>
      </c>
      <c r="E309" s="81" t="s">
        <v>1242</v>
      </c>
      <c r="F309" s="81" t="s">
        <v>164</v>
      </c>
      <c r="G309" s="81" t="s">
        <v>1243</v>
      </c>
      <c r="H309" s="81"/>
      <c r="I309" s="81"/>
      <c r="J309" s="81"/>
      <c r="K309" s="81"/>
      <c r="L309" s="81"/>
      <c r="M309" s="82" t="s">
        <v>52</v>
      </c>
      <c r="N309" s="82"/>
      <c r="O309" s="82"/>
      <c r="P309" s="82"/>
      <c r="Q309" s="82" t="s">
        <v>1244</v>
      </c>
      <c r="R309" s="111">
        <v>45839</v>
      </c>
      <c r="S309" s="82" t="s">
        <v>20</v>
      </c>
      <c r="T309" s="81" t="s">
        <v>144</v>
      </c>
      <c r="U309" s="81" t="s">
        <v>144</v>
      </c>
    </row>
    <row r="310" spans="1:21" ht="30" x14ac:dyDescent="0.25">
      <c r="A310" s="81"/>
      <c r="B310" s="81"/>
      <c r="C310" s="81" t="s">
        <v>144</v>
      </c>
      <c r="D310" s="81" t="s">
        <v>147</v>
      </c>
      <c r="E310" s="81" t="s">
        <v>1245</v>
      </c>
      <c r="F310" s="81" t="s">
        <v>164</v>
      </c>
      <c r="G310" s="81" t="s">
        <v>1246</v>
      </c>
      <c r="H310" s="81"/>
      <c r="I310" s="81"/>
      <c r="J310" s="81"/>
      <c r="K310" s="81"/>
      <c r="L310" s="81"/>
      <c r="M310" s="82" t="s">
        <v>52</v>
      </c>
      <c r="N310" s="82"/>
      <c r="O310" s="82"/>
      <c r="P310" s="82"/>
      <c r="Q310" s="82" t="s">
        <v>1033</v>
      </c>
      <c r="R310" s="111">
        <v>45839</v>
      </c>
      <c r="S310" s="82" t="s">
        <v>20</v>
      </c>
      <c r="T310" s="81" t="s">
        <v>144</v>
      </c>
      <c r="U310" s="81" t="s">
        <v>144</v>
      </c>
    </row>
    <row r="311" spans="1:21" ht="30" x14ac:dyDescent="0.25">
      <c r="A311" s="81"/>
      <c r="B311" s="81"/>
      <c r="C311" s="81" t="s">
        <v>144</v>
      </c>
      <c r="D311" s="81" t="s">
        <v>147</v>
      </c>
      <c r="E311" s="81" t="s">
        <v>1247</v>
      </c>
      <c r="F311" s="81" t="s">
        <v>149</v>
      </c>
      <c r="G311" s="81" t="s">
        <v>1248</v>
      </c>
      <c r="H311" s="81"/>
      <c r="I311" s="81"/>
      <c r="J311" s="81"/>
      <c r="K311" s="81"/>
      <c r="L311" s="81"/>
      <c r="M311" s="82" t="s">
        <v>52</v>
      </c>
      <c r="N311" s="82"/>
      <c r="O311" s="82"/>
      <c r="P311" s="82"/>
      <c r="Q311" s="82" t="s">
        <v>1249</v>
      </c>
      <c r="R311" s="111">
        <v>45847</v>
      </c>
      <c r="S311" s="82" t="s">
        <v>11</v>
      </c>
      <c r="T311" s="81" t="s">
        <v>144</v>
      </c>
      <c r="U311" s="81"/>
    </row>
    <row r="312" spans="1:21" ht="30" x14ac:dyDescent="0.25">
      <c r="A312" s="81"/>
      <c r="B312" s="81"/>
      <c r="C312" s="81" t="s">
        <v>144</v>
      </c>
      <c r="D312" s="81" t="s">
        <v>147</v>
      </c>
      <c r="E312" s="81" t="s">
        <v>1250</v>
      </c>
      <c r="F312" s="81" t="s">
        <v>165</v>
      </c>
      <c r="G312" s="81" t="s">
        <v>1251</v>
      </c>
      <c r="H312" s="81"/>
      <c r="I312" s="81"/>
      <c r="J312" s="81"/>
      <c r="K312" s="81"/>
      <c r="L312" s="81"/>
      <c r="M312" s="82" t="s">
        <v>52</v>
      </c>
      <c r="N312" s="82"/>
      <c r="O312" s="82"/>
      <c r="P312" s="82"/>
      <c r="Q312" s="82" t="s">
        <v>1238</v>
      </c>
      <c r="R312" s="111">
        <v>45852</v>
      </c>
      <c r="S312" s="82" t="s">
        <v>1252</v>
      </c>
      <c r="T312" s="81" t="s">
        <v>144</v>
      </c>
      <c r="U312" s="81"/>
    </row>
    <row r="313" spans="1:21" ht="30" x14ac:dyDescent="0.25">
      <c r="A313" s="81"/>
      <c r="B313" s="81"/>
      <c r="C313" s="81" t="s">
        <v>144</v>
      </c>
      <c r="D313" s="81" t="s">
        <v>147</v>
      </c>
      <c r="E313" s="81" t="s">
        <v>1253</v>
      </c>
      <c r="F313" s="81" t="s">
        <v>149</v>
      </c>
      <c r="G313" s="81" t="s">
        <v>1254</v>
      </c>
      <c r="H313" s="81"/>
      <c r="I313" s="81"/>
      <c r="J313" s="81"/>
      <c r="K313" s="81"/>
      <c r="L313" s="81"/>
      <c r="M313" s="82" t="s">
        <v>52</v>
      </c>
      <c r="N313" s="82"/>
      <c r="O313" s="82"/>
      <c r="P313" s="82"/>
      <c r="Q313" s="82" t="s">
        <v>1255</v>
      </c>
      <c r="R313" s="111">
        <v>45852</v>
      </c>
      <c r="S313" s="82" t="s">
        <v>1256</v>
      </c>
      <c r="T313" s="81" t="s">
        <v>144</v>
      </c>
      <c r="U313" s="81"/>
    </row>
    <row r="314" spans="1:21" ht="30" x14ac:dyDescent="0.25">
      <c r="A314" s="81"/>
      <c r="B314" s="81"/>
      <c r="C314" s="81" t="s">
        <v>144</v>
      </c>
      <c r="D314" s="81" t="s">
        <v>147</v>
      </c>
      <c r="E314" s="81" t="s">
        <v>1257</v>
      </c>
      <c r="F314" s="81" t="s">
        <v>165</v>
      </c>
      <c r="G314" s="81" t="s">
        <v>1258</v>
      </c>
      <c r="H314" s="81"/>
      <c r="I314" s="81"/>
      <c r="J314" s="81"/>
      <c r="K314" s="81"/>
      <c r="L314" s="81"/>
      <c r="M314" s="82" t="s">
        <v>52</v>
      </c>
      <c r="N314" s="82"/>
      <c r="O314" s="82"/>
      <c r="P314" s="82"/>
      <c r="Q314" s="82" t="s">
        <v>1259</v>
      </c>
      <c r="R314" s="111">
        <v>45853</v>
      </c>
      <c r="S314" s="82" t="s">
        <v>45</v>
      </c>
      <c r="T314" s="81" t="s">
        <v>144</v>
      </c>
      <c r="U314" s="81"/>
    </row>
    <row r="315" spans="1:21" ht="30" x14ac:dyDescent="0.25">
      <c r="A315" s="81"/>
      <c r="B315" s="81"/>
      <c r="C315" s="81" t="s">
        <v>144</v>
      </c>
      <c r="D315" s="81" t="s">
        <v>147</v>
      </c>
      <c r="E315" s="81" t="s">
        <v>1260</v>
      </c>
      <c r="F315" s="81" t="s">
        <v>149</v>
      </c>
      <c r="G315" s="81" t="s">
        <v>1261</v>
      </c>
      <c r="H315" s="81"/>
      <c r="I315" s="81"/>
      <c r="J315" s="81"/>
      <c r="K315" s="81"/>
      <c r="L315" s="81"/>
      <c r="M315" s="82" t="s">
        <v>52</v>
      </c>
      <c r="N315" s="82"/>
      <c r="O315" s="82"/>
      <c r="P315" s="82"/>
      <c r="Q315" s="82" t="s">
        <v>1262</v>
      </c>
      <c r="R315" s="111">
        <v>45854</v>
      </c>
      <c r="S315" s="82" t="s">
        <v>45</v>
      </c>
      <c r="T315" s="81" t="s">
        <v>144</v>
      </c>
      <c r="U315" s="81"/>
    </row>
    <row r="316" spans="1:21" ht="30" x14ac:dyDescent="0.25">
      <c r="A316" s="81"/>
      <c r="B316" s="81"/>
      <c r="C316" s="81" t="s">
        <v>144</v>
      </c>
      <c r="D316" s="81" t="s">
        <v>147</v>
      </c>
      <c r="E316" s="81" t="s">
        <v>1263</v>
      </c>
      <c r="F316" s="81" t="s">
        <v>165</v>
      </c>
      <c r="G316" s="81" t="s">
        <v>1264</v>
      </c>
      <c r="H316" s="81"/>
      <c r="I316" s="81"/>
      <c r="J316" s="81"/>
      <c r="K316" s="81"/>
      <c r="L316" s="81"/>
      <c r="M316" s="82" t="s">
        <v>52</v>
      </c>
      <c r="N316" s="82"/>
      <c r="O316" s="82"/>
      <c r="P316" s="82"/>
      <c r="Q316" s="82"/>
      <c r="R316" s="111"/>
      <c r="S316" s="82"/>
      <c r="T316" s="81" t="s">
        <v>144</v>
      </c>
      <c r="U316" s="81"/>
    </row>
    <row r="317" spans="1:21" ht="30" x14ac:dyDescent="0.25">
      <c r="A317" s="81"/>
      <c r="B317" s="81"/>
      <c r="C317" s="81" t="s">
        <v>144</v>
      </c>
      <c r="D317" s="81" t="s">
        <v>147</v>
      </c>
      <c r="E317" s="81" t="s">
        <v>1265</v>
      </c>
      <c r="F317" s="81" t="s">
        <v>164</v>
      </c>
      <c r="G317" s="81" t="s">
        <v>1266</v>
      </c>
      <c r="H317" s="81"/>
      <c r="I317" s="81"/>
      <c r="J317" s="81"/>
      <c r="K317" s="81"/>
      <c r="L317" s="81"/>
      <c r="M317" s="82" t="s">
        <v>52</v>
      </c>
      <c r="N317" s="82"/>
      <c r="O317" s="82"/>
      <c r="P317" s="82"/>
      <c r="Q317" s="82" t="s">
        <v>1267</v>
      </c>
      <c r="R317" s="111">
        <v>45856</v>
      </c>
      <c r="S317" s="82" t="s">
        <v>45</v>
      </c>
      <c r="T317" s="81" t="s">
        <v>144</v>
      </c>
      <c r="U317" s="81"/>
    </row>
    <row r="318" spans="1:21" x14ac:dyDescent="0.25">
      <c r="A318" s="81"/>
      <c r="B318" s="81"/>
      <c r="C318" s="81" t="s">
        <v>144</v>
      </c>
      <c r="D318" s="81" t="s">
        <v>147</v>
      </c>
      <c r="E318" s="81" t="s">
        <v>1268</v>
      </c>
      <c r="F318" s="81" t="s">
        <v>165</v>
      </c>
      <c r="G318" s="81" t="s">
        <v>1269</v>
      </c>
      <c r="H318" s="81"/>
      <c r="I318" s="81"/>
      <c r="J318" s="81"/>
      <c r="K318" s="81"/>
      <c r="L318" s="81"/>
      <c r="M318" s="82" t="s">
        <v>52</v>
      </c>
      <c r="N318" s="82"/>
      <c r="O318" s="82"/>
      <c r="P318" s="82"/>
      <c r="Q318" s="82" t="s">
        <v>1270</v>
      </c>
      <c r="R318" s="111">
        <v>45862</v>
      </c>
      <c r="S318" s="82" t="s">
        <v>674</v>
      </c>
      <c r="T318" s="81" t="s">
        <v>144</v>
      </c>
      <c r="U318" s="81"/>
    </row>
    <row r="319" spans="1:21" ht="30" x14ac:dyDescent="0.25">
      <c r="A319" s="81"/>
      <c r="B319" s="81"/>
      <c r="C319" s="81" t="s">
        <v>144</v>
      </c>
      <c r="D319" s="81" t="s">
        <v>147</v>
      </c>
      <c r="E319" s="81" t="s">
        <v>1271</v>
      </c>
      <c r="F319" s="81" t="s">
        <v>165</v>
      </c>
      <c r="G319" s="81" t="s">
        <v>1272</v>
      </c>
      <c r="H319" s="81"/>
      <c r="I319" s="81"/>
      <c r="J319" s="81"/>
      <c r="K319" s="81"/>
      <c r="L319" s="81"/>
      <c r="M319" s="82" t="s">
        <v>52</v>
      </c>
      <c r="N319" s="82"/>
      <c r="O319" s="82"/>
      <c r="P319" s="82"/>
      <c r="Q319" s="82" t="s">
        <v>1273</v>
      </c>
      <c r="R319" s="111">
        <v>45882</v>
      </c>
      <c r="S319" s="82" t="s">
        <v>20</v>
      </c>
      <c r="T319" s="81" t="s">
        <v>144</v>
      </c>
      <c r="U319" s="81"/>
    </row>
    <row r="320" spans="1:21" x14ac:dyDescent="0.25">
      <c r="A320" s="81"/>
      <c r="B320" s="81"/>
      <c r="C320" s="81" t="s">
        <v>144</v>
      </c>
      <c r="D320" s="81" t="s">
        <v>147</v>
      </c>
      <c r="E320" s="81" t="s">
        <v>1274</v>
      </c>
      <c r="F320" s="81" t="s">
        <v>164</v>
      </c>
      <c r="G320" s="81" t="s">
        <v>1275</v>
      </c>
      <c r="H320" s="81"/>
      <c r="I320" s="81"/>
      <c r="J320" s="81"/>
      <c r="K320" s="81"/>
      <c r="L320" s="81"/>
      <c r="M320" s="82" t="s">
        <v>52</v>
      </c>
      <c r="N320" s="82"/>
      <c r="O320" s="82"/>
      <c r="P320" s="82"/>
      <c r="Q320" s="82" t="s">
        <v>1276</v>
      </c>
      <c r="R320" s="111">
        <v>45883</v>
      </c>
      <c r="S320" s="82" t="s">
        <v>20</v>
      </c>
      <c r="T320" s="81" t="s">
        <v>144</v>
      </c>
      <c r="U320" s="81"/>
    </row>
    <row r="321" spans="1:21" x14ac:dyDescent="0.25">
      <c r="A321" s="81"/>
      <c r="B321" s="81"/>
      <c r="C321" s="81" t="s">
        <v>144</v>
      </c>
      <c r="D321" s="81" t="s">
        <v>147</v>
      </c>
      <c r="E321" s="81" t="s">
        <v>1277</v>
      </c>
      <c r="F321" s="81" t="s">
        <v>165</v>
      </c>
      <c r="G321" s="81" t="s">
        <v>1278</v>
      </c>
      <c r="H321" s="81"/>
      <c r="I321" s="81"/>
      <c r="J321" s="81"/>
      <c r="K321" s="81"/>
      <c r="L321" s="81"/>
      <c r="M321" s="82" t="s">
        <v>52</v>
      </c>
      <c r="N321" s="82"/>
      <c r="O321" s="82"/>
      <c r="P321" s="82"/>
      <c r="Q321" s="82" t="s">
        <v>1279</v>
      </c>
      <c r="R321" s="111">
        <v>45895</v>
      </c>
      <c r="S321" s="82" t="s">
        <v>20</v>
      </c>
      <c r="T321" s="81" t="s">
        <v>144</v>
      </c>
      <c r="U321" s="81"/>
    </row>
    <row r="322" spans="1:21" ht="30" x14ac:dyDescent="0.25">
      <c r="A322" s="81"/>
      <c r="B322" s="81"/>
      <c r="C322" s="81" t="s">
        <v>144</v>
      </c>
      <c r="D322" s="81" t="s">
        <v>147</v>
      </c>
      <c r="E322" s="81" t="s">
        <v>1280</v>
      </c>
      <c r="F322" s="81" t="s">
        <v>165</v>
      </c>
      <c r="G322" s="81" t="s">
        <v>1281</v>
      </c>
      <c r="H322" s="81"/>
      <c r="I322" s="81"/>
      <c r="J322" s="81"/>
      <c r="K322" s="81"/>
      <c r="L322" s="81"/>
      <c r="M322" s="82" t="s">
        <v>52</v>
      </c>
      <c r="N322" s="82"/>
      <c r="O322" s="82"/>
      <c r="P322" s="82"/>
      <c r="Q322" s="82"/>
      <c r="R322" s="111">
        <v>45895</v>
      </c>
      <c r="S322" s="82" t="s">
        <v>20</v>
      </c>
      <c r="T322" s="81" t="s">
        <v>144</v>
      </c>
      <c r="U322" s="81"/>
    </row>
    <row r="323" spans="1:21" x14ac:dyDescent="0.25">
      <c r="A323" s="81"/>
      <c r="B323" s="81"/>
      <c r="C323" s="81" t="s">
        <v>144</v>
      </c>
      <c r="D323" s="81" t="s">
        <v>147</v>
      </c>
      <c r="E323" s="81" t="s">
        <v>1282</v>
      </c>
      <c r="F323" s="81" t="s">
        <v>165</v>
      </c>
      <c r="G323" s="81" t="s">
        <v>1283</v>
      </c>
      <c r="H323" s="81"/>
      <c r="I323" s="81"/>
      <c r="J323" s="81"/>
      <c r="K323" s="81"/>
      <c r="L323" s="81"/>
      <c r="M323" s="82" t="s">
        <v>52</v>
      </c>
      <c r="N323" s="82"/>
      <c r="O323" s="82"/>
      <c r="P323" s="82"/>
      <c r="Q323" s="82" t="s">
        <v>1284</v>
      </c>
      <c r="R323" s="111">
        <v>45897</v>
      </c>
      <c r="S323" s="82" t="s">
        <v>20</v>
      </c>
      <c r="T323" s="81" t="s">
        <v>144</v>
      </c>
      <c r="U323" s="81"/>
    </row>
    <row r="324" spans="1:21" ht="30" x14ac:dyDescent="0.25">
      <c r="A324" s="81"/>
      <c r="B324" s="81"/>
      <c r="C324" s="81" t="s">
        <v>144</v>
      </c>
      <c r="D324" s="81" t="s">
        <v>147</v>
      </c>
      <c r="E324" s="81" t="s">
        <v>1285</v>
      </c>
      <c r="F324" s="81" t="s">
        <v>149</v>
      </c>
      <c r="G324" s="81" t="s">
        <v>1286</v>
      </c>
      <c r="H324" s="81"/>
      <c r="I324" s="81"/>
      <c r="J324" s="81"/>
      <c r="K324" s="81"/>
      <c r="L324" s="81"/>
      <c r="M324" s="82" t="s">
        <v>52</v>
      </c>
      <c r="N324" s="82"/>
      <c r="O324" s="82"/>
      <c r="P324" s="82"/>
      <c r="Q324" s="82" t="s">
        <v>1287</v>
      </c>
      <c r="R324" s="111">
        <v>45903</v>
      </c>
      <c r="S324" s="82" t="s">
        <v>20</v>
      </c>
      <c r="T324" s="81" t="s">
        <v>144</v>
      </c>
      <c r="U324" s="81"/>
    </row>
    <row r="325" spans="1:21" ht="30" x14ac:dyDescent="0.25">
      <c r="A325" s="81"/>
      <c r="B325" s="81"/>
      <c r="C325" s="81" t="s">
        <v>144</v>
      </c>
      <c r="D325" s="81" t="s">
        <v>147</v>
      </c>
      <c r="E325" s="81" t="s">
        <v>1288</v>
      </c>
      <c r="F325" s="81" t="s">
        <v>149</v>
      </c>
      <c r="G325" s="81" t="s">
        <v>1289</v>
      </c>
      <c r="H325" s="81"/>
      <c r="I325" s="81"/>
      <c r="J325" s="81"/>
      <c r="K325" s="81"/>
      <c r="L325" s="81"/>
      <c r="M325" s="82" t="s">
        <v>52</v>
      </c>
      <c r="N325" s="82"/>
      <c r="O325" s="82"/>
      <c r="P325" s="82"/>
      <c r="Q325" s="82" t="s">
        <v>1290</v>
      </c>
      <c r="R325" s="111">
        <v>45903</v>
      </c>
      <c r="S325" s="82" t="s">
        <v>20</v>
      </c>
      <c r="T325" s="81" t="s">
        <v>144</v>
      </c>
      <c r="U325" s="81"/>
    </row>
    <row r="326" spans="1:21" x14ac:dyDescent="0.25">
      <c r="A326" s="81"/>
      <c r="B326" s="81"/>
      <c r="C326" s="81" t="s">
        <v>144</v>
      </c>
      <c r="D326" s="81" t="s">
        <v>147</v>
      </c>
      <c r="E326" s="81" t="s">
        <v>1291</v>
      </c>
      <c r="F326" s="81" t="s">
        <v>165</v>
      </c>
      <c r="G326" s="81" t="s">
        <v>1292</v>
      </c>
      <c r="H326" s="81"/>
      <c r="I326" s="81"/>
      <c r="J326" s="81"/>
      <c r="K326" s="81"/>
      <c r="L326" s="81"/>
      <c r="M326" s="82" t="s">
        <v>52</v>
      </c>
      <c r="N326" s="82"/>
      <c r="O326" s="82"/>
      <c r="P326" s="82"/>
      <c r="Q326" s="82" t="s">
        <v>1293</v>
      </c>
      <c r="R326" s="111">
        <v>45903</v>
      </c>
      <c r="S326" s="82" t="s">
        <v>20</v>
      </c>
      <c r="T326" s="81" t="s">
        <v>144</v>
      </c>
      <c r="U326" s="81"/>
    </row>
    <row r="327" spans="1:21" ht="30" x14ac:dyDescent="0.25">
      <c r="A327" s="81"/>
      <c r="B327" s="81"/>
      <c r="C327" s="81" t="s">
        <v>144</v>
      </c>
      <c r="D327" s="81" t="s">
        <v>147</v>
      </c>
      <c r="E327" s="81" t="s">
        <v>1294</v>
      </c>
      <c r="F327" s="81" t="s">
        <v>165</v>
      </c>
      <c r="G327" s="81" t="s">
        <v>1295</v>
      </c>
      <c r="H327" s="81"/>
      <c r="I327" s="81"/>
      <c r="J327" s="81"/>
      <c r="K327" s="81"/>
      <c r="L327" s="81"/>
      <c r="M327" s="82" t="s">
        <v>52</v>
      </c>
      <c r="N327" s="82"/>
      <c r="O327" s="82"/>
      <c r="P327" s="82"/>
      <c r="Q327" s="82"/>
      <c r="R327" s="111"/>
      <c r="S327" s="82"/>
      <c r="T327" s="81" t="s">
        <v>144</v>
      </c>
      <c r="U327" s="81"/>
    </row>
    <row r="328" spans="1:21" x14ac:dyDescent="0.25">
      <c r="A328" s="81"/>
      <c r="B328" s="81"/>
      <c r="C328" s="81" t="s">
        <v>144</v>
      </c>
      <c r="D328" s="81" t="s">
        <v>147</v>
      </c>
      <c r="E328" s="81" t="s">
        <v>1296</v>
      </c>
      <c r="F328" s="81" t="s">
        <v>165</v>
      </c>
      <c r="G328" s="81" t="s">
        <v>1297</v>
      </c>
      <c r="H328" s="81"/>
      <c r="I328" s="81"/>
      <c r="J328" s="81"/>
      <c r="K328" s="81"/>
      <c r="L328" s="81"/>
      <c r="M328" s="82" t="s">
        <v>52</v>
      </c>
      <c r="N328" s="82"/>
      <c r="O328" s="82"/>
      <c r="P328" s="82"/>
      <c r="Q328" s="82"/>
      <c r="R328" s="111">
        <v>45905</v>
      </c>
      <c r="S328" s="82" t="s">
        <v>45</v>
      </c>
      <c r="T328" s="81" t="s">
        <v>144</v>
      </c>
      <c r="U328" s="81"/>
    </row>
    <row r="329" spans="1:21" x14ac:dyDescent="0.25">
      <c r="A329" s="81"/>
      <c r="B329" s="81"/>
      <c r="C329" s="81" t="s">
        <v>144</v>
      </c>
      <c r="D329" s="81" t="s">
        <v>147</v>
      </c>
      <c r="E329" s="81" t="s">
        <v>1298</v>
      </c>
      <c r="F329" s="81" t="s">
        <v>149</v>
      </c>
      <c r="G329" s="81" t="s">
        <v>1299</v>
      </c>
      <c r="H329" s="81"/>
      <c r="I329" s="81"/>
      <c r="J329" s="81"/>
      <c r="K329" s="81"/>
      <c r="L329" s="81"/>
      <c r="M329" s="82" t="s">
        <v>52</v>
      </c>
      <c r="N329" s="82"/>
      <c r="O329" s="82"/>
      <c r="P329" s="82"/>
      <c r="Q329" s="82"/>
      <c r="R329" s="111"/>
      <c r="S329" s="82"/>
      <c r="T329" s="81" t="s">
        <v>144</v>
      </c>
      <c r="U329" s="81"/>
    </row>
    <row r="330" spans="1:21" ht="30" x14ac:dyDescent="0.25">
      <c r="A330" s="81"/>
      <c r="B330" s="81"/>
      <c r="C330" s="81" t="s">
        <v>144</v>
      </c>
      <c r="D330" s="81" t="s">
        <v>147</v>
      </c>
      <c r="E330" s="81" t="s">
        <v>1300</v>
      </c>
      <c r="F330" s="81" t="s">
        <v>164</v>
      </c>
      <c r="G330" s="81" t="s">
        <v>1301</v>
      </c>
      <c r="H330" s="81"/>
      <c r="I330" s="81"/>
      <c r="J330" s="81"/>
      <c r="K330" s="81"/>
      <c r="L330" s="81"/>
      <c r="M330" s="82" t="s">
        <v>52</v>
      </c>
      <c r="N330" s="82"/>
      <c r="O330" s="82"/>
      <c r="P330" s="82"/>
      <c r="Q330" s="82" t="s">
        <v>1302</v>
      </c>
      <c r="R330" s="111">
        <v>45916</v>
      </c>
      <c r="S330" s="82" t="s">
        <v>20</v>
      </c>
      <c r="T330" s="81" t="s">
        <v>144</v>
      </c>
      <c r="U330" s="81"/>
    </row>
    <row r="331" spans="1:21" x14ac:dyDescent="0.25">
      <c r="A331" s="81"/>
      <c r="B331" s="81"/>
      <c r="C331" s="81" t="s">
        <v>144</v>
      </c>
      <c r="D331" s="81" t="s">
        <v>147</v>
      </c>
      <c r="E331" s="81" t="s">
        <v>1303</v>
      </c>
      <c r="F331" s="81" t="s">
        <v>164</v>
      </c>
      <c r="G331" s="81" t="s">
        <v>1304</v>
      </c>
      <c r="H331" s="81"/>
      <c r="I331" s="81"/>
      <c r="J331" s="81"/>
      <c r="K331" s="81"/>
      <c r="L331" s="81"/>
      <c r="M331" s="82" t="s">
        <v>52</v>
      </c>
      <c r="N331" s="82"/>
      <c r="O331" s="82"/>
      <c r="P331" s="82"/>
      <c r="Q331" s="82" t="s">
        <v>1305</v>
      </c>
      <c r="R331" s="111">
        <v>45918</v>
      </c>
      <c r="S331" s="82" t="s">
        <v>20</v>
      </c>
      <c r="T331" s="81" t="s">
        <v>144</v>
      </c>
      <c r="U331" s="81"/>
    </row>
    <row r="332" spans="1:21" x14ac:dyDescent="0.25">
      <c r="A332" s="81"/>
      <c r="B332" s="81"/>
      <c r="C332" s="81" t="s">
        <v>144</v>
      </c>
      <c r="D332" s="81" t="s">
        <v>147</v>
      </c>
      <c r="E332" s="81" t="s">
        <v>1306</v>
      </c>
      <c r="F332" s="81" t="s">
        <v>165</v>
      </c>
      <c r="G332" s="81" t="s">
        <v>1307</v>
      </c>
      <c r="H332" s="81"/>
      <c r="I332" s="81"/>
      <c r="J332" s="81"/>
      <c r="K332" s="81"/>
      <c r="L332" s="81"/>
      <c r="M332" s="82" t="s">
        <v>52</v>
      </c>
      <c r="N332" s="82"/>
      <c r="O332" s="82"/>
      <c r="P332" s="82"/>
      <c r="Q332" s="82" t="s">
        <v>1308</v>
      </c>
      <c r="R332" s="111">
        <v>45918</v>
      </c>
      <c r="S332" s="82" t="s">
        <v>20</v>
      </c>
      <c r="T332" s="81" t="s">
        <v>144</v>
      </c>
      <c r="U332" s="81"/>
    </row>
    <row r="333" spans="1:21" ht="60" x14ac:dyDescent="0.25">
      <c r="A333" s="81"/>
      <c r="B333" s="81"/>
      <c r="C333" s="81" t="s">
        <v>144</v>
      </c>
      <c r="D333" s="81" t="s">
        <v>147</v>
      </c>
      <c r="E333" s="81" t="s">
        <v>1309</v>
      </c>
      <c r="F333" s="81" t="s">
        <v>165</v>
      </c>
      <c r="G333" s="81" t="s">
        <v>1310</v>
      </c>
      <c r="H333" s="81"/>
      <c r="I333" s="81"/>
      <c r="J333" s="81"/>
      <c r="K333" s="81"/>
      <c r="L333" s="81"/>
      <c r="M333" s="82" t="s">
        <v>52</v>
      </c>
      <c r="N333" s="82"/>
      <c r="O333" s="82"/>
      <c r="P333" s="82"/>
      <c r="Q333" s="82" t="s">
        <v>1311</v>
      </c>
      <c r="R333" s="111">
        <v>45918</v>
      </c>
      <c r="S333" s="82" t="s">
        <v>23</v>
      </c>
      <c r="T333" s="81" t="s">
        <v>144</v>
      </c>
      <c r="U333" s="81"/>
    </row>
    <row r="334" spans="1:21" ht="30" x14ac:dyDescent="0.25">
      <c r="A334" s="81"/>
      <c r="B334" s="81"/>
      <c r="C334" s="81" t="s">
        <v>144</v>
      </c>
      <c r="D334" s="81" t="s">
        <v>147</v>
      </c>
      <c r="E334" s="81" t="s">
        <v>1312</v>
      </c>
      <c r="F334" s="81" t="s">
        <v>149</v>
      </c>
      <c r="G334" s="81" t="s">
        <v>1313</v>
      </c>
      <c r="H334" s="81"/>
      <c r="I334" s="81"/>
      <c r="J334" s="81"/>
      <c r="K334" s="81"/>
      <c r="L334" s="81"/>
      <c r="M334" s="82" t="s">
        <v>52</v>
      </c>
      <c r="N334" s="82"/>
      <c r="O334" s="82"/>
      <c r="P334" s="82"/>
      <c r="Q334" s="82" t="s">
        <v>1314</v>
      </c>
      <c r="R334" s="111">
        <v>45919</v>
      </c>
      <c r="S334" s="82" t="s">
        <v>20</v>
      </c>
      <c r="T334" s="81" t="s">
        <v>144</v>
      </c>
      <c r="U334" s="81"/>
    </row>
    <row r="335" spans="1:21" ht="45" x14ac:dyDescent="0.25">
      <c r="A335" s="81"/>
      <c r="B335" s="81"/>
      <c r="C335" s="81" t="s">
        <v>144</v>
      </c>
      <c r="D335" s="81" t="s">
        <v>147</v>
      </c>
      <c r="E335" s="81" t="s">
        <v>1315</v>
      </c>
      <c r="F335" s="81" t="s">
        <v>165</v>
      </c>
      <c r="G335" s="81" t="s">
        <v>1316</v>
      </c>
      <c r="H335" s="81"/>
      <c r="I335" s="81"/>
      <c r="J335" s="81"/>
      <c r="K335" s="81"/>
      <c r="L335" s="81"/>
      <c r="M335" s="82" t="s">
        <v>52</v>
      </c>
      <c r="N335" s="82"/>
      <c r="O335" s="82"/>
      <c r="P335" s="82"/>
      <c r="Q335" s="82" t="s">
        <v>1317</v>
      </c>
      <c r="R335" s="111">
        <v>45919</v>
      </c>
      <c r="S335" s="82" t="s">
        <v>20</v>
      </c>
      <c r="T335" s="81" t="s">
        <v>144</v>
      </c>
      <c r="U335" s="81"/>
    </row>
    <row r="336" spans="1:21" ht="90" x14ac:dyDescent="0.25">
      <c r="A336" s="81"/>
      <c r="B336" s="81"/>
      <c r="C336" s="81" t="s">
        <v>144</v>
      </c>
      <c r="D336" s="81" t="s">
        <v>147</v>
      </c>
      <c r="E336" s="81" t="s">
        <v>1318</v>
      </c>
      <c r="F336" s="81" t="s">
        <v>149</v>
      </c>
      <c r="G336" s="81" t="s">
        <v>1319</v>
      </c>
      <c r="H336" s="81"/>
      <c r="I336" s="81"/>
      <c r="J336" s="81"/>
      <c r="K336" s="81"/>
      <c r="L336" s="81"/>
      <c r="M336" s="82" t="s">
        <v>52</v>
      </c>
      <c r="N336" s="82"/>
      <c r="O336" s="82"/>
      <c r="P336" s="82"/>
      <c r="Q336" s="82" t="s">
        <v>1320</v>
      </c>
      <c r="R336" s="111">
        <v>45923</v>
      </c>
      <c r="S336" s="82" t="s">
        <v>20</v>
      </c>
      <c r="T336" s="81" t="s">
        <v>144</v>
      </c>
      <c r="U336" s="81"/>
    </row>
    <row r="337" spans="1:21" ht="30" x14ac:dyDescent="0.25">
      <c r="A337" s="81"/>
      <c r="B337" s="81"/>
      <c r="C337" s="81" t="s">
        <v>144</v>
      </c>
      <c r="D337" s="81" t="s">
        <v>147</v>
      </c>
      <c r="E337" s="81" t="s">
        <v>1321</v>
      </c>
      <c r="F337" s="81" t="s">
        <v>165</v>
      </c>
      <c r="G337" s="81" t="s">
        <v>1322</v>
      </c>
      <c r="H337" s="81"/>
      <c r="I337" s="81"/>
      <c r="J337" s="81"/>
      <c r="K337" s="81"/>
      <c r="L337" s="81"/>
      <c r="M337" s="82" t="s">
        <v>52</v>
      </c>
      <c r="N337" s="82"/>
      <c r="O337" s="82"/>
      <c r="P337" s="82"/>
      <c r="Q337" s="82" t="s">
        <v>1323</v>
      </c>
      <c r="R337" s="111">
        <v>45923</v>
      </c>
      <c r="S337" s="82" t="s">
        <v>238</v>
      </c>
      <c r="T337" s="81" t="s">
        <v>144</v>
      </c>
      <c r="U337" s="81"/>
    </row>
    <row r="338" spans="1:21" ht="90" x14ac:dyDescent="0.25">
      <c r="A338" s="81"/>
      <c r="B338" s="81"/>
      <c r="C338" s="81" t="s">
        <v>144</v>
      </c>
      <c r="D338" s="81" t="s">
        <v>147</v>
      </c>
      <c r="E338" s="81" t="s">
        <v>1324</v>
      </c>
      <c r="F338" s="81" t="s">
        <v>165</v>
      </c>
      <c r="G338" s="81" t="s">
        <v>1325</v>
      </c>
      <c r="H338" s="81"/>
      <c r="I338" s="81"/>
      <c r="J338" s="81"/>
      <c r="K338" s="81"/>
      <c r="L338" s="81"/>
      <c r="M338" s="82" t="s">
        <v>52</v>
      </c>
      <c r="N338" s="82"/>
      <c r="O338" s="82"/>
      <c r="P338" s="82"/>
      <c r="Q338" s="82" t="s">
        <v>1326</v>
      </c>
      <c r="R338" s="111">
        <v>45929</v>
      </c>
      <c r="S338" s="82" t="s">
        <v>11</v>
      </c>
      <c r="T338" s="81" t="s">
        <v>144</v>
      </c>
      <c r="U338" s="81"/>
    </row>
    <row r="339" spans="1:21" x14ac:dyDescent="0.25">
      <c r="A339" s="81"/>
      <c r="B339" s="81"/>
      <c r="C339" s="81" t="s">
        <v>144</v>
      </c>
      <c r="D339" s="81" t="s">
        <v>147</v>
      </c>
      <c r="E339" s="81" t="s">
        <v>1327</v>
      </c>
      <c r="F339" s="81" t="s">
        <v>165</v>
      </c>
      <c r="G339" s="81" t="s">
        <v>1328</v>
      </c>
      <c r="H339" s="81"/>
      <c r="I339" s="81"/>
      <c r="J339" s="81"/>
      <c r="K339" s="81"/>
      <c r="L339" s="81"/>
      <c r="M339" s="82" t="s">
        <v>52</v>
      </c>
      <c r="N339" s="82"/>
      <c r="O339" s="82"/>
      <c r="P339" s="82"/>
      <c r="Q339" s="82" t="s">
        <v>1329</v>
      </c>
      <c r="R339" s="111">
        <v>45931</v>
      </c>
      <c r="S339" s="82" t="s">
        <v>45</v>
      </c>
      <c r="T339" s="81" t="s">
        <v>144</v>
      </c>
      <c r="U339" s="81"/>
    </row>
    <row r="340" spans="1:21" ht="30" x14ac:dyDescent="0.25">
      <c r="A340" s="81"/>
      <c r="B340" s="81"/>
      <c r="C340" s="81" t="s">
        <v>144</v>
      </c>
      <c r="D340" s="81" t="s">
        <v>147</v>
      </c>
      <c r="E340" s="81" t="s">
        <v>1330</v>
      </c>
      <c r="F340" s="81" t="s">
        <v>164</v>
      </c>
      <c r="G340" s="81" t="s">
        <v>1331</v>
      </c>
      <c r="H340" s="81"/>
      <c r="I340" s="81"/>
      <c r="J340" s="81"/>
      <c r="K340" s="81"/>
      <c r="L340" s="81"/>
      <c r="M340" s="82" t="s">
        <v>52</v>
      </c>
      <c r="N340" s="82"/>
      <c r="O340" s="82"/>
      <c r="P340" s="82"/>
      <c r="Q340" s="82" t="s">
        <v>1332</v>
      </c>
      <c r="R340" s="111">
        <v>45937</v>
      </c>
      <c r="S340" s="82" t="s">
        <v>23</v>
      </c>
      <c r="T340" s="81" t="s">
        <v>144</v>
      </c>
      <c r="U340" s="81"/>
    </row>
    <row r="341" spans="1:21" ht="45" x14ac:dyDescent="0.25">
      <c r="A341" s="81"/>
      <c r="B341" s="81"/>
      <c r="C341" s="81" t="s">
        <v>144</v>
      </c>
      <c r="D341" s="81" t="s">
        <v>147</v>
      </c>
      <c r="E341" s="81" t="s">
        <v>1333</v>
      </c>
      <c r="F341" s="81" t="s">
        <v>164</v>
      </c>
      <c r="G341" s="81" t="s">
        <v>1334</v>
      </c>
      <c r="H341" s="81"/>
      <c r="I341" s="81"/>
      <c r="J341" s="81"/>
      <c r="K341" s="81"/>
      <c r="L341" s="81"/>
      <c r="M341" s="82" t="s">
        <v>52</v>
      </c>
      <c r="N341" s="82"/>
      <c r="O341" s="82"/>
      <c r="P341" s="82"/>
      <c r="Q341" s="82" t="s">
        <v>1335</v>
      </c>
      <c r="R341" s="111">
        <v>45944</v>
      </c>
      <c r="S341" s="82" t="s">
        <v>623</v>
      </c>
      <c r="T341" s="81" t="s">
        <v>144</v>
      </c>
      <c r="U341" s="81"/>
    </row>
    <row r="342" spans="1:21" ht="60" x14ac:dyDescent="0.25">
      <c r="A342" s="81"/>
      <c r="B342" s="81"/>
      <c r="C342" s="81" t="s">
        <v>144</v>
      </c>
      <c r="D342" s="81" t="s">
        <v>10</v>
      </c>
      <c r="E342" s="81" t="s">
        <v>1493</v>
      </c>
      <c r="F342" s="81" t="s">
        <v>199</v>
      </c>
      <c r="G342" s="81" t="s">
        <v>1494</v>
      </c>
      <c r="H342" s="81"/>
      <c r="I342" s="81"/>
      <c r="J342" s="81"/>
      <c r="K342" s="81"/>
      <c r="L342" s="81"/>
      <c r="M342" s="82" t="s">
        <v>52</v>
      </c>
      <c r="N342" s="82"/>
      <c r="O342" s="82"/>
      <c r="P342" s="82"/>
      <c r="Q342" s="82" t="s">
        <v>1495</v>
      </c>
      <c r="R342" s="111">
        <v>45951</v>
      </c>
      <c r="S342" s="82" t="s">
        <v>45</v>
      </c>
      <c r="T342" s="81" t="s">
        <v>144</v>
      </c>
      <c r="U342" s="81" t="s">
        <v>144</v>
      </c>
    </row>
    <row r="343" spans="1:21" ht="30" x14ac:dyDescent="0.25">
      <c r="A343" s="81"/>
      <c r="B343" s="81"/>
      <c r="C343" s="81" t="s">
        <v>144</v>
      </c>
      <c r="D343" s="81" t="s">
        <v>10</v>
      </c>
      <c r="E343" s="81" t="s">
        <v>1496</v>
      </c>
      <c r="F343" s="81" t="s">
        <v>167</v>
      </c>
      <c r="G343" s="81" t="s">
        <v>1497</v>
      </c>
      <c r="H343" s="81"/>
      <c r="I343" s="81"/>
      <c r="J343" s="81"/>
      <c r="K343" s="81"/>
      <c r="L343" s="81"/>
      <c r="M343" s="82" t="s">
        <v>52</v>
      </c>
      <c r="N343" s="82"/>
      <c r="O343" s="82"/>
      <c r="P343" s="82"/>
      <c r="Q343" s="82" t="s">
        <v>1498</v>
      </c>
      <c r="R343" s="111">
        <v>45947</v>
      </c>
      <c r="S343" s="82" t="s">
        <v>227</v>
      </c>
      <c r="T343" s="81" t="s">
        <v>144</v>
      </c>
      <c r="U343" s="81" t="s">
        <v>144</v>
      </c>
    </row>
    <row r="344" spans="1:21" ht="30" x14ac:dyDescent="0.25">
      <c r="A344" s="81"/>
      <c r="B344" s="81"/>
      <c r="C344" s="81" t="s">
        <v>144</v>
      </c>
      <c r="D344" s="81" t="s">
        <v>10</v>
      </c>
      <c r="E344" s="81" t="s">
        <v>1499</v>
      </c>
      <c r="F344" s="81" t="s">
        <v>167</v>
      </c>
      <c r="G344" s="81" t="s">
        <v>1500</v>
      </c>
      <c r="H344" s="81"/>
      <c r="I344" s="81"/>
      <c r="J344" s="81"/>
      <c r="K344" s="81"/>
      <c r="L344" s="81"/>
      <c r="M344" s="82" t="s">
        <v>52</v>
      </c>
      <c r="N344" s="82"/>
      <c r="O344" s="82"/>
      <c r="P344" s="82"/>
      <c r="Q344" s="82" t="s">
        <v>1501</v>
      </c>
      <c r="R344" s="111">
        <v>45917</v>
      </c>
      <c r="S344" s="82" t="s">
        <v>23</v>
      </c>
      <c r="T344" s="81" t="s">
        <v>144</v>
      </c>
      <c r="U344" s="81" t="s">
        <v>3261</v>
      </c>
    </row>
    <row r="345" spans="1:21" x14ac:dyDescent="0.25">
      <c r="A345" s="81"/>
      <c r="B345" s="81"/>
      <c r="C345" s="81" t="s">
        <v>144</v>
      </c>
      <c r="D345" s="81" t="s">
        <v>10</v>
      </c>
      <c r="E345" s="81" t="s">
        <v>1502</v>
      </c>
      <c r="F345" s="81" t="s">
        <v>159</v>
      </c>
      <c r="G345" s="81" t="s">
        <v>1503</v>
      </c>
      <c r="H345" s="81"/>
      <c r="I345" s="81"/>
      <c r="J345" s="81"/>
      <c r="K345" s="81"/>
      <c r="L345" s="81"/>
      <c r="M345" s="82" t="s">
        <v>52</v>
      </c>
      <c r="N345" s="82"/>
      <c r="O345" s="82"/>
      <c r="P345" s="82"/>
      <c r="Q345" s="82" t="s">
        <v>1504</v>
      </c>
      <c r="R345" s="111">
        <v>45873</v>
      </c>
      <c r="S345" s="82"/>
      <c r="T345" s="81" t="s">
        <v>144</v>
      </c>
      <c r="U345" s="81" t="s">
        <v>144</v>
      </c>
    </row>
    <row r="346" spans="1:21" ht="30" x14ac:dyDescent="0.25">
      <c r="A346" s="81"/>
      <c r="B346" s="81"/>
      <c r="C346" s="81" t="s">
        <v>144</v>
      </c>
      <c r="D346" s="81" t="s">
        <v>10</v>
      </c>
      <c r="E346" s="81" t="s">
        <v>1505</v>
      </c>
      <c r="F346" s="81" t="s">
        <v>159</v>
      </c>
      <c r="G346" s="81" t="s">
        <v>1506</v>
      </c>
      <c r="H346" s="81"/>
      <c r="I346" s="81"/>
      <c r="J346" s="81"/>
      <c r="K346" s="81"/>
      <c r="L346" s="81"/>
      <c r="M346" s="82" t="s">
        <v>52</v>
      </c>
      <c r="N346" s="82"/>
      <c r="O346" s="82"/>
      <c r="P346" s="82"/>
      <c r="Q346" s="82" t="s">
        <v>1507</v>
      </c>
      <c r="R346" s="111">
        <v>45883</v>
      </c>
      <c r="S346" s="82" t="s">
        <v>1508</v>
      </c>
      <c r="T346" s="81" t="s">
        <v>144</v>
      </c>
      <c r="U346" s="81" t="s">
        <v>3262</v>
      </c>
    </row>
    <row r="347" spans="1:21" ht="30" x14ac:dyDescent="0.25">
      <c r="A347" s="81"/>
      <c r="B347" s="81"/>
      <c r="C347" s="81" t="s">
        <v>144</v>
      </c>
      <c r="D347" s="81" t="s">
        <v>10</v>
      </c>
      <c r="E347" s="81" t="s">
        <v>1509</v>
      </c>
      <c r="F347" s="81" t="s">
        <v>160</v>
      </c>
      <c r="G347" s="81" t="s">
        <v>1510</v>
      </c>
      <c r="H347" s="81"/>
      <c r="I347" s="81"/>
      <c r="J347" s="81"/>
      <c r="K347" s="81"/>
      <c r="L347" s="81"/>
      <c r="M347" s="82" t="s">
        <v>52</v>
      </c>
      <c r="N347" s="82"/>
      <c r="O347" s="82"/>
      <c r="P347" s="82"/>
      <c r="Q347" s="82" t="s">
        <v>1511</v>
      </c>
      <c r="R347" s="111">
        <v>45888</v>
      </c>
      <c r="S347" s="82" t="s">
        <v>23</v>
      </c>
      <c r="T347" s="81" t="s">
        <v>144</v>
      </c>
      <c r="U347" s="81" t="s">
        <v>3263</v>
      </c>
    </row>
    <row r="348" spans="1:21" ht="30" x14ac:dyDescent="0.25">
      <c r="A348" s="81"/>
      <c r="B348" s="81"/>
      <c r="C348" s="81" t="s">
        <v>144</v>
      </c>
      <c r="D348" s="81" t="s">
        <v>10</v>
      </c>
      <c r="E348" s="81" t="s">
        <v>1512</v>
      </c>
      <c r="F348" s="81" t="s">
        <v>3264</v>
      </c>
      <c r="G348" s="81" t="s">
        <v>1513</v>
      </c>
      <c r="H348" s="81"/>
      <c r="I348" s="81"/>
      <c r="J348" s="81"/>
      <c r="K348" s="81"/>
      <c r="L348" s="81"/>
      <c r="M348" s="82" t="s">
        <v>52</v>
      </c>
      <c r="N348" s="82"/>
      <c r="O348" s="82"/>
      <c r="P348" s="82"/>
      <c r="Q348" s="82" t="s">
        <v>1514</v>
      </c>
      <c r="R348" s="111">
        <v>45881</v>
      </c>
      <c r="S348" s="82" t="s">
        <v>735</v>
      </c>
      <c r="T348" s="81" t="s">
        <v>144</v>
      </c>
      <c r="U348" s="81" t="s">
        <v>144</v>
      </c>
    </row>
    <row r="349" spans="1:21" ht="45" x14ac:dyDescent="0.25">
      <c r="A349" s="81"/>
      <c r="B349" s="81"/>
      <c r="C349" s="81" t="s">
        <v>144</v>
      </c>
      <c r="D349" s="81" t="s">
        <v>10</v>
      </c>
      <c r="E349" s="81" t="s">
        <v>1515</v>
      </c>
      <c r="F349" s="81" t="s">
        <v>167</v>
      </c>
      <c r="G349" s="81" t="s">
        <v>1516</v>
      </c>
      <c r="H349" s="81"/>
      <c r="I349" s="81"/>
      <c r="J349" s="81"/>
      <c r="K349" s="81"/>
      <c r="L349" s="81"/>
      <c r="M349" s="82" t="s">
        <v>52</v>
      </c>
      <c r="N349" s="82"/>
      <c r="O349" s="82"/>
      <c r="P349" s="82"/>
      <c r="Q349" s="82" t="s">
        <v>1517</v>
      </c>
      <c r="R349" s="111">
        <v>45881</v>
      </c>
      <c r="S349" s="82" t="s">
        <v>23</v>
      </c>
      <c r="T349" s="81" t="s">
        <v>144</v>
      </c>
      <c r="U349" s="81" t="s">
        <v>3265</v>
      </c>
    </row>
    <row r="350" spans="1:21" x14ac:dyDescent="0.25">
      <c r="A350" s="81"/>
      <c r="B350" s="81"/>
      <c r="C350" s="81" t="s">
        <v>144</v>
      </c>
      <c r="D350" s="81" t="s">
        <v>10</v>
      </c>
      <c r="E350" s="81" t="s">
        <v>1518</v>
      </c>
      <c r="F350" s="81" t="s">
        <v>157</v>
      </c>
      <c r="G350" s="81" t="s">
        <v>1519</v>
      </c>
      <c r="H350" s="81"/>
      <c r="I350" s="81"/>
      <c r="J350" s="81"/>
      <c r="K350" s="81"/>
      <c r="L350" s="81"/>
      <c r="M350" s="82" t="s">
        <v>52</v>
      </c>
      <c r="N350" s="82"/>
      <c r="O350" s="82"/>
      <c r="P350" s="82"/>
      <c r="Q350" s="82" t="s">
        <v>1520</v>
      </c>
      <c r="R350" s="111">
        <v>45869</v>
      </c>
      <c r="S350" s="82" t="s">
        <v>45</v>
      </c>
      <c r="T350" s="81" t="s">
        <v>144</v>
      </c>
      <c r="U350" s="81" t="s">
        <v>3266</v>
      </c>
    </row>
    <row r="351" spans="1:21" x14ac:dyDescent="0.25">
      <c r="A351" s="81"/>
      <c r="B351" s="81">
        <v>3</v>
      </c>
      <c r="C351" s="81" t="s">
        <v>144</v>
      </c>
      <c r="D351" s="81" t="s">
        <v>10</v>
      </c>
      <c r="E351" s="81" t="s">
        <v>1521</v>
      </c>
      <c r="F351" s="81" t="s">
        <v>198</v>
      </c>
      <c r="G351" s="81" t="s">
        <v>1522</v>
      </c>
      <c r="H351" s="81"/>
      <c r="I351" s="81"/>
      <c r="J351" s="81"/>
      <c r="K351" s="81"/>
      <c r="L351" s="81"/>
      <c r="M351" s="82" t="s">
        <v>52</v>
      </c>
      <c r="N351" s="82"/>
      <c r="O351" s="82"/>
      <c r="P351" s="82"/>
      <c r="Q351" s="82" t="s">
        <v>1523</v>
      </c>
      <c r="R351" s="111">
        <v>45812</v>
      </c>
      <c r="S351" s="82" t="s">
        <v>674</v>
      </c>
      <c r="T351" s="81" t="s">
        <v>144</v>
      </c>
      <c r="U351" s="81" t="s">
        <v>144</v>
      </c>
    </row>
    <row r="352" spans="1:21" ht="30" x14ac:dyDescent="0.25">
      <c r="A352" s="81"/>
      <c r="B352" s="81">
        <v>3</v>
      </c>
      <c r="C352" s="81" t="s">
        <v>144</v>
      </c>
      <c r="D352" s="81" t="s">
        <v>10</v>
      </c>
      <c r="E352" s="81" t="s">
        <v>1524</v>
      </c>
      <c r="F352" s="81" t="s">
        <v>167</v>
      </c>
      <c r="G352" s="81" t="s">
        <v>1525</v>
      </c>
      <c r="H352" s="81"/>
      <c r="I352" s="81"/>
      <c r="J352" s="81"/>
      <c r="K352" s="81"/>
      <c r="L352" s="81"/>
      <c r="M352" s="82" t="s">
        <v>52</v>
      </c>
      <c r="N352" s="82"/>
      <c r="O352" s="82"/>
      <c r="P352" s="82"/>
      <c r="Q352" s="82" t="s">
        <v>1526</v>
      </c>
      <c r="R352" s="111">
        <v>45825</v>
      </c>
      <c r="S352" s="82" t="s">
        <v>1403</v>
      </c>
      <c r="T352" s="81" t="s">
        <v>144</v>
      </c>
      <c r="U352" s="81" t="s">
        <v>3267</v>
      </c>
    </row>
    <row r="353" spans="1:21" ht="30" x14ac:dyDescent="0.25">
      <c r="A353" s="81"/>
      <c r="B353" s="81" t="s">
        <v>8</v>
      </c>
      <c r="C353" s="81" t="s">
        <v>144</v>
      </c>
      <c r="D353" s="81" t="s">
        <v>10</v>
      </c>
      <c r="E353" s="81" t="s">
        <v>1527</v>
      </c>
      <c r="F353" s="81" t="s">
        <v>3264</v>
      </c>
      <c r="G353" s="81" t="s">
        <v>1528</v>
      </c>
      <c r="H353" s="81"/>
      <c r="I353" s="81"/>
      <c r="J353" s="81"/>
      <c r="K353" s="81"/>
      <c r="L353" s="81"/>
      <c r="M353" s="82" t="s">
        <v>52</v>
      </c>
      <c r="N353" s="82"/>
      <c r="O353" s="82"/>
      <c r="P353" s="82"/>
      <c r="Q353" s="82" t="s">
        <v>725</v>
      </c>
      <c r="R353" s="111">
        <v>45763</v>
      </c>
      <c r="S353" s="82" t="s">
        <v>238</v>
      </c>
      <c r="T353" s="81" t="s">
        <v>144</v>
      </c>
      <c r="U353" s="81" t="s">
        <v>144</v>
      </c>
    </row>
    <row r="354" spans="1:21" x14ac:dyDescent="0.25">
      <c r="A354" s="81"/>
      <c r="B354" s="81" t="s">
        <v>8</v>
      </c>
      <c r="C354" s="81" t="s">
        <v>144</v>
      </c>
      <c r="D354" s="81" t="s">
        <v>10</v>
      </c>
      <c r="E354" s="81" t="s">
        <v>1529</v>
      </c>
      <c r="F354" s="81" t="s">
        <v>3264</v>
      </c>
      <c r="G354" s="81" t="s">
        <v>1530</v>
      </c>
      <c r="H354" s="81"/>
      <c r="I354" s="81"/>
      <c r="J354" s="81"/>
      <c r="K354" s="81"/>
      <c r="L354" s="81"/>
      <c r="M354" s="82" t="s">
        <v>52</v>
      </c>
      <c r="N354" s="82"/>
      <c r="O354" s="82"/>
      <c r="P354" s="82"/>
      <c r="Q354" s="82" t="s">
        <v>725</v>
      </c>
      <c r="R354" s="111">
        <v>45763</v>
      </c>
      <c r="S354" s="82" t="s">
        <v>238</v>
      </c>
      <c r="T354" s="81" t="s">
        <v>144</v>
      </c>
      <c r="U354" s="81" t="s">
        <v>144</v>
      </c>
    </row>
    <row r="355" spans="1:21" x14ac:dyDescent="0.25">
      <c r="A355" s="81"/>
      <c r="B355" s="81" t="s">
        <v>8</v>
      </c>
      <c r="C355" s="81" t="s">
        <v>144</v>
      </c>
      <c r="D355" s="81" t="s">
        <v>10</v>
      </c>
      <c r="E355" s="81" t="s">
        <v>1531</v>
      </c>
      <c r="F355" s="81" t="s">
        <v>106</v>
      </c>
      <c r="G355" s="81" t="s">
        <v>1532</v>
      </c>
      <c r="H355" s="81"/>
      <c r="I355" s="81"/>
      <c r="J355" s="81"/>
      <c r="K355" s="81"/>
      <c r="L355" s="81"/>
      <c r="M355" s="82" t="s">
        <v>52</v>
      </c>
      <c r="N355" s="82"/>
      <c r="O355" s="82"/>
      <c r="P355" s="82"/>
      <c r="Q355" s="82" t="s">
        <v>725</v>
      </c>
      <c r="R355" s="111">
        <v>45765</v>
      </c>
      <c r="S355" s="82" t="s">
        <v>23</v>
      </c>
      <c r="T355" s="81" t="s">
        <v>144</v>
      </c>
      <c r="U355" s="81" t="s">
        <v>3268</v>
      </c>
    </row>
    <row r="356" spans="1:21" ht="30" x14ac:dyDescent="0.25">
      <c r="A356" s="81"/>
      <c r="B356" s="81" t="s">
        <v>8</v>
      </c>
      <c r="C356" s="81" t="s">
        <v>144</v>
      </c>
      <c r="D356" s="81" t="s">
        <v>10</v>
      </c>
      <c r="E356" s="81" t="s">
        <v>1533</v>
      </c>
      <c r="F356" s="81" t="s">
        <v>3264</v>
      </c>
      <c r="G356" s="81" t="s">
        <v>1534</v>
      </c>
      <c r="H356" s="81"/>
      <c r="I356" s="81"/>
      <c r="J356" s="81"/>
      <c r="K356" s="81"/>
      <c r="L356" s="81"/>
      <c r="M356" s="82" t="s">
        <v>52</v>
      </c>
      <c r="N356" s="82"/>
      <c r="O356" s="82"/>
      <c r="P356" s="82"/>
      <c r="Q356" s="82" t="s">
        <v>725</v>
      </c>
      <c r="R356" s="111">
        <v>45796</v>
      </c>
      <c r="S356" s="82" t="s">
        <v>535</v>
      </c>
      <c r="T356" s="81" t="s">
        <v>144</v>
      </c>
      <c r="U356" s="81" t="s">
        <v>144</v>
      </c>
    </row>
    <row r="357" spans="1:21" x14ac:dyDescent="0.25">
      <c r="A357" s="81"/>
      <c r="B357" s="81" t="s">
        <v>8</v>
      </c>
      <c r="C357" s="81" t="s">
        <v>144</v>
      </c>
      <c r="D357" s="81" t="s">
        <v>10</v>
      </c>
      <c r="E357" s="81" t="s">
        <v>1535</v>
      </c>
      <c r="F357" s="81" t="s">
        <v>3264</v>
      </c>
      <c r="G357" s="81" t="s">
        <v>1536</v>
      </c>
      <c r="H357" s="81"/>
      <c r="I357" s="81"/>
      <c r="J357" s="81"/>
      <c r="K357" s="81"/>
      <c r="L357" s="81"/>
      <c r="M357" s="82" t="s">
        <v>52</v>
      </c>
      <c r="N357" s="82"/>
      <c r="O357" s="82"/>
      <c r="P357" s="82"/>
      <c r="Q357" s="82" t="s">
        <v>725</v>
      </c>
      <c r="R357" s="111">
        <v>45798</v>
      </c>
      <c r="S357" s="82" t="s">
        <v>23</v>
      </c>
      <c r="T357" s="81" t="s">
        <v>144</v>
      </c>
      <c r="U357" s="81" t="s">
        <v>144</v>
      </c>
    </row>
    <row r="358" spans="1:21" x14ac:dyDescent="0.25">
      <c r="A358" s="81"/>
      <c r="B358" s="81" t="s">
        <v>8</v>
      </c>
      <c r="C358" s="81" t="s">
        <v>144</v>
      </c>
      <c r="D358" s="81" t="s">
        <v>10</v>
      </c>
      <c r="E358" s="81" t="s">
        <v>1537</v>
      </c>
      <c r="F358" s="81" t="s">
        <v>3264</v>
      </c>
      <c r="G358" s="81" t="s">
        <v>1538</v>
      </c>
      <c r="H358" s="81"/>
      <c r="I358" s="81"/>
      <c r="J358" s="81"/>
      <c r="K358" s="81"/>
      <c r="L358" s="81"/>
      <c r="M358" s="82" t="s">
        <v>52</v>
      </c>
      <c r="N358" s="82"/>
      <c r="O358" s="82"/>
      <c r="P358" s="82"/>
      <c r="Q358" s="82" t="s">
        <v>725</v>
      </c>
      <c r="R358" s="111">
        <v>45807</v>
      </c>
      <c r="S358" s="82" t="s">
        <v>23</v>
      </c>
      <c r="T358" s="81" t="s">
        <v>144</v>
      </c>
      <c r="U358" s="81" t="s">
        <v>144</v>
      </c>
    </row>
    <row r="359" spans="1:21" ht="30" x14ac:dyDescent="0.25">
      <c r="A359" s="81"/>
      <c r="B359" s="81">
        <v>3</v>
      </c>
      <c r="C359" s="81" t="s">
        <v>144</v>
      </c>
      <c r="D359" s="81" t="s">
        <v>10</v>
      </c>
      <c r="E359" s="81" t="s">
        <v>1539</v>
      </c>
      <c r="F359" s="81" t="s">
        <v>150</v>
      </c>
      <c r="G359" s="81" t="s">
        <v>1540</v>
      </c>
      <c r="H359" s="81"/>
      <c r="I359" s="81"/>
      <c r="J359" s="81"/>
      <c r="K359" s="81"/>
      <c r="L359" s="81"/>
      <c r="M359" s="82" t="s">
        <v>52</v>
      </c>
      <c r="N359" s="82"/>
      <c r="O359" s="82"/>
      <c r="P359" s="82"/>
      <c r="Q359" s="82" t="s">
        <v>725</v>
      </c>
      <c r="R359" s="111">
        <v>45811</v>
      </c>
      <c r="S359" s="82" t="s">
        <v>1211</v>
      </c>
      <c r="T359" s="81" t="s">
        <v>144</v>
      </c>
      <c r="U359" s="81" t="s">
        <v>144</v>
      </c>
    </row>
    <row r="360" spans="1:21" ht="30" x14ac:dyDescent="0.25">
      <c r="A360" s="81"/>
      <c r="B360" s="81" t="s">
        <v>8</v>
      </c>
      <c r="C360" s="81" t="s">
        <v>144</v>
      </c>
      <c r="D360" s="81" t="s">
        <v>10</v>
      </c>
      <c r="E360" s="81" t="s">
        <v>1541</v>
      </c>
      <c r="F360" s="81" t="s">
        <v>203</v>
      </c>
      <c r="G360" s="81" t="s">
        <v>1542</v>
      </c>
      <c r="H360" s="81"/>
      <c r="I360" s="81"/>
      <c r="J360" s="81"/>
      <c r="K360" s="81"/>
      <c r="L360" s="81"/>
      <c r="M360" s="82" t="s">
        <v>52</v>
      </c>
      <c r="N360" s="82"/>
      <c r="O360" s="82"/>
      <c r="P360" s="82"/>
      <c r="Q360" s="82" t="s">
        <v>1543</v>
      </c>
      <c r="R360" s="111">
        <v>45803</v>
      </c>
      <c r="S360" s="82" t="s">
        <v>9</v>
      </c>
      <c r="T360" s="81" t="s">
        <v>144</v>
      </c>
      <c r="U360" s="81" t="s">
        <v>3269</v>
      </c>
    </row>
    <row r="361" spans="1:21" x14ac:dyDescent="0.25">
      <c r="A361" s="81"/>
      <c r="B361" s="81" t="s">
        <v>8</v>
      </c>
      <c r="C361" s="81" t="s">
        <v>144</v>
      </c>
      <c r="D361" s="81" t="s">
        <v>10</v>
      </c>
      <c r="E361" s="81" t="s">
        <v>1544</v>
      </c>
      <c r="F361" s="81" t="s">
        <v>168</v>
      </c>
      <c r="G361" s="81" t="s">
        <v>1545</v>
      </c>
      <c r="H361" s="81"/>
      <c r="I361" s="81"/>
      <c r="J361" s="81"/>
      <c r="K361" s="81"/>
      <c r="L361" s="81"/>
      <c r="M361" s="82" t="s">
        <v>52</v>
      </c>
      <c r="N361" s="82"/>
      <c r="O361" s="82"/>
      <c r="P361" s="82"/>
      <c r="Q361" s="82" t="s">
        <v>1546</v>
      </c>
      <c r="R361" s="111">
        <v>45797</v>
      </c>
      <c r="S361" s="82" t="s">
        <v>238</v>
      </c>
      <c r="T361" s="81" t="s">
        <v>144</v>
      </c>
      <c r="U361" s="81" t="s">
        <v>144</v>
      </c>
    </row>
    <row r="362" spans="1:21" x14ac:dyDescent="0.25">
      <c r="A362" s="81"/>
      <c r="B362" s="81" t="s">
        <v>8</v>
      </c>
      <c r="C362" s="81" t="s">
        <v>144</v>
      </c>
      <c r="D362" s="81" t="s">
        <v>10</v>
      </c>
      <c r="E362" s="81" t="s">
        <v>1547</v>
      </c>
      <c r="F362" s="81" t="s">
        <v>168</v>
      </c>
      <c r="G362" s="81" t="s">
        <v>1548</v>
      </c>
      <c r="H362" s="81"/>
      <c r="I362" s="81"/>
      <c r="J362" s="81"/>
      <c r="K362" s="81"/>
      <c r="L362" s="81"/>
      <c r="M362" s="82" t="s">
        <v>52</v>
      </c>
      <c r="N362" s="82"/>
      <c r="O362" s="82"/>
      <c r="P362" s="82"/>
      <c r="Q362" s="82" t="s">
        <v>1549</v>
      </c>
      <c r="R362" s="111">
        <v>45797</v>
      </c>
      <c r="S362" s="82" t="s">
        <v>20</v>
      </c>
      <c r="T362" s="81" t="s">
        <v>144</v>
      </c>
      <c r="U362" s="81" t="s">
        <v>144</v>
      </c>
    </row>
    <row r="363" spans="1:21" ht="45" x14ac:dyDescent="0.25">
      <c r="A363" s="81"/>
      <c r="B363" s="81" t="s">
        <v>8</v>
      </c>
      <c r="C363" s="81" t="s">
        <v>144</v>
      </c>
      <c r="D363" s="81" t="s">
        <v>10</v>
      </c>
      <c r="E363" s="81" t="s">
        <v>1550</v>
      </c>
      <c r="F363" s="81" t="s">
        <v>198</v>
      </c>
      <c r="G363" s="81" t="s">
        <v>1551</v>
      </c>
      <c r="H363" s="81"/>
      <c r="I363" s="81"/>
      <c r="J363" s="81"/>
      <c r="K363" s="81"/>
      <c r="L363" s="81"/>
      <c r="M363" s="82" t="s">
        <v>52</v>
      </c>
      <c r="N363" s="82"/>
      <c r="O363" s="82"/>
      <c r="P363" s="82"/>
      <c r="Q363" s="82" t="s">
        <v>1552</v>
      </c>
      <c r="R363" s="111">
        <v>45791</v>
      </c>
      <c r="S363" s="82" t="s">
        <v>45</v>
      </c>
      <c r="T363" s="81" t="s">
        <v>144</v>
      </c>
      <c r="U363" s="81" t="s">
        <v>3270</v>
      </c>
    </row>
    <row r="364" spans="1:21" ht="30" x14ac:dyDescent="0.25">
      <c r="A364" s="81"/>
      <c r="B364" s="81">
        <v>1</v>
      </c>
      <c r="C364" s="81" t="s">
        <v>144</v>
      </c>
      <c r="D364" s="81" t="s">
        <v>10</v>
      </c>
      <c r="E364" s="81" t="s">
        <v>1553</v>
      </c>
      <c r="F364" s="81" t="s">
        <v>168</v>
      </c>
      <c r="G364" s="81" t="s">
        <v>1554</v>
      </c>
      <c r="H364" s="81"/>
      <c r="I364" s="81"/>
      <c r="J364" s="81"/>
      <c r="K364" s="81"/>
      <c r="L364" s="81"/>
      <c r="M364" s="82" t="s">
        <v>52</v>
      </c>
      <c r="N364" s="82"/>
      <c r="O364" s="82"/>
      <c r="P364" s="82"/>
      <c r="Q364" s="82" t="s">
        <v>1555</v>
      </c>
      <c r="R364" s="111">
        <v>45797</v>
      </c>
      <c r="S364" s="82" t="s">
        <v>238</v>
      </c>
      <c r="T364" s="81" t="s">
        <v>144</v>
      </c>
      <c r="U364" s="81" t="s">
        <v>144</v>
      </c>
    </row>
    <row r="365" spans="1:21" x14ac:dyDescent="0.25">
      <c r="A365" s="81"/>
      <c r="B365" s="81" t="s">
        <v>8</v>
      </c>
      <c r="C365" s="81" t="s">
        <v>144</v>
      </c>
      <c r="D365" s="81" t="s">
        <v>10</v>
      </c>
      <c r="E365" s="81" t="s">
        <v>1556</v>
      </c>
      <c r="F365" s="81" t="s">
        <v>168</v>
      </c>
      <c r="G365" s="81" t="s">
        <v>1557</v>
      </c>
      <c r="H365" s="81"/>
      <c r="I365" s="81"/>
      <c r="J365" s="81"/>
      <c r="K365" s="81"/>
      <c r="L365" s="81"/>
      <c r="M365" s="82" t="s">
        <v>52</v>
      </c>
      <c r="N365" s="82"/>
      <c r="O365" s="82"/>
      <c r="P365" s="82"/>
      <c r="Q365" s="82" t="s">
        <v>1558</v>
      </c>
      <c r="R365" s="111">
        <v>45797</v>
      </c>
      <c r="S365" s="82" t="s">
        <v>238</v>
      </c>
      <c r="T365" s="81" t="s">
        <v>144</v>
      </c>
      <c r="U365" s="81" t="s">
        <v>144</v>
      </c>
    </row>
    <row r="366" spans="1:21" ht="30" x14ac:dyDescent="0.25">
      <c r="A366" s="81"/>
      <c r="B366" s="81" t="s">
        <v>8</v>
      </c>
      <c r="C366" s="81" t="s">
        <v>144</v>
      </c>
      <c r="D366" s="81" t="s">
        <v>10</v>
      </c>
      <c r="E366" s="81" t="s">
        <v>1559</v>
      </c>
      <c r="F366" s="81" t="s">
        <v>198</v>
      </c>
      <c r="G366" s="81" t="s">
        <v>1560</v>
      </c>
      <c r="H366" s="81"/>
      <c r="I366" s="81"/>
      <c r="J366" s="81"/>
      <c r="K366" s="81"/>
      <c r="L366" s="81"/>
      <c r="M366" s="82" t="s">
        <v>52</v>
      </c>
      <c r="N366" s="82"/>
      <c r="O366" s="82"/>
      <c r="P366" s="82"/>
      <c r="Q366" s="82"/>
      <c r="R366" s="111"/>
      <c r="S366" s="82"/>
      <c r="T366" s="81" t="s">
        <v>144</v>
      </c>
      <c r="U366" s="81" t="s">
        <v>144</v>
      </c>
    </row>
    <row r="367" spans="1:21" ht="30" x14ac:dyDescent="0.25">
      <c r="A367" s="81"/>
      <c r="B367" s="81" t="s">
        <v>8</v>
      </c>
      <c r="C367" s="81" t="s">
        <v>144</v>
      </c>
      <c r="D367" s="81" t="s">
        <v>10</v>
      </c>
      <c r="E367" s="81" t="s">
        <v>1561</v>
      </c>
      <c r="F367" s="81" t="s">
        <v>198</v>
      </c>
      <c r="G367" s="81" t="s">
        <v>1562</v>
      </c>
      <c r="H367" s="81"/>
      <c r="I367" s="81"/>
      <c r="J367" s="81"/>
      <c r="K367" s="81"/>
      <c r="L367" s="81"/>
      <c r="M367" s="82" t="s">
        <v>52</v>
      </c>
      <c r="N367" s="82"/>
      <c r="O367" s="82"/>
      <c r="P367" s="82"/>
      <c r="Q367" s="82" t="s">
        <v>1563</v>
      </c>
      <c r="R367" s="111">
        <v>45754</v>
      </c>
      <c r="S367" s="82" t="s">
        <v>610</v>
      </c>
      <c r="T367" s="81" t="s">
        <v>144</v>
      </c>
      <c r="U367" s="81" t="s">
        <v>144</v>
      </c>
    </row>
    <row r="368" spans="1:21" ht="30" x14ac:dyDescent="0.25">
      <c r="A368" s="81"/>
      <c r="B368" s="81" t="s">
        <v>8</v>
      </c>
      <c r="C368" s="81" t="s">
        <v>144</v>
      </c>
      <c r="D368" s="81" t="s">
        <v>10</v>
      </c>
      <c r="E368" s="81" t="s">
        <v>1564</v>
      </c>
      <c r="F368" s="81" t="s">
        <v>168</v>
      </c>
      <c r="G368" s="81" t="s">
        <v>1565</v>
      </c>
      <c r="H368" s="81"/>
      <c r="I368" s="81"/>
      <c r="J368" s="81"/>
      <c r="K368" s="81"/>
      <c r="L368" s="81"/>
      <c r="M368" s="82" t="s">
        <v>52</v>
      </c>
      <c r="N368" s="82"/>
      <c r="O368" s="82"/>
      <c r="P368" s="82"/>
      <c r="Q368" s="82"/>
      <c r="R368" s="111"/>
      <c r="S368" s="82"/>
      <c r="T368" s="81" t="s">
        <v>144</v>
      </c>
      <c r="U368" s="81" t="s">
        <v>144</v>
      </c>
    </row>
    <row r="369" spans="1:21" x14ac:dyDescent="0.25">
      <c r="A369" s="81"/>
      <c r="B369" s="81" t="s">
        <v>8</v>
      </c>
      <c r="C369" s="81" t="s">
        <v>144</v>
      </c>
      <c r="D369" s="81" t="s">
        <v>10</v>
      </c>
      <c r="E369" s="81" t="s">
        <v>1566</v>
      </c>
      <c r="F369" s="81" t="s">
        <v>168</v>
      </c>
      <c r="G369" s="81" t="s">
        <v>1567</v>
      </c>
      <c r="H369" s="81"/>
      <c r="I369" s="81"/>
      <c r="J369" s="81"/>
      <c r="K369" s="81"/>
      <c r="L369" s="81"/>
      <c r="M369" s="82" t="s">
        <v>52</v>
      </c>
      <c r="N369" s="82"/>
      <c r="O369" s="82"/>
      <c r="P369" s="82"/>
      <c r="Q369" s="82" t="s">
        <v>1568</v>
      </c>
      <c r="R369" s="111">
        <v>45729</v>
      </c>
      <c r="S369" s="82" t="s">
        <v>535</v>
      </c>
      <c r="T369" s="81" t="s">
        <v>144</v>
      </c>
      <c r="U369" s="81" t="s">
        <v>144</v>
      </c>
    </row>
    <row r="370" spans="1:21" x14ac:dyDescent="0.25">
      <c r="A370" s="81"/>
      <c r="B370" s="81" t="s">
        <v>8</v>
      </c>
      <c r="C370" s="81" t="s">
        <v>144</v>
      </c>
      <c r="D370" s="81" t="s">
        <v>10</v>
      </c>
      <c r="E370" s="81" t="s">
        <v>1569</v>
      </c>
      <c r="F370" s="81" t="s">
        <v>168</v>
      </c>
      <c r="G370" s="81" t="s">
        <v>1570</v>
      </c>
      <c r="H370" s="81"/>
      <c r="I370" s="81"/>
      <c r="J370" s="81"/>
      <c r="K370" s="81"/>
      <c r="L370" s="81"/>
      <c r="M370" s="82" t="s">
        <v>52</v>
      </c>
      <c r="N370" s="82"/>
      <c r="O370" s="82"/>
      <c r="P370" s="82"/>
      <c r="Q370" s="82" t="s">
        <v>1568</v>
      </c>
      <c r="R370" s="111">
        <v>45729</v>
      </c>
      <c r="S370" s="82" t="s">
        <v>535</v>
      </c>
      <c r="T370" s="81" t="s">
        <v>144</v>
      </c>
      <c r="U370" s="81" t="s">
        <v>144</v>
      </c>
    </row>
    <row r="371" spans="1:21" ht="30" x14ac:dyDescent="0.25">
      <c r="A371" s="81"/>
      <c r="B371" s="81" t="s">
        <v>8</v>
      </c>
      <c r="C371" s="81" t="s">
        <v>144</v>
      </c>
      <c r="D371" s="81" t="s">
        <v>10</v>
      </c>
      <c r="E371" s="81" t="s">
        <v>1571</v>
      </c>
      <c r="F371" s="81" t="s">
        <v>168</v>
      </c>
      <c r="G371" s="81" t="s">
        <v>1572</v>
      </c>
      <c r="H371" s="81"/>
      <c r="I371" s="81"/>
      <c r="J371" s="81"/>
      <c r="K371" s="81"/>
      <c r="L371" s="81"/>
      <c r="M371" s="82" t="s">
        <v>52</v>
      </c>
      <c r="N371" s="82"/>
      <c r="O371" s="82"/>
      <c r="P371" s="82"/>
      <c r="Q371" s="82" t="s">
        <v>427</v>
      </c>
      <c r="R371" s="111">
        <v>45728</v>
      </c>
      <c r="S371" s="82" t="s">
        <v>535</v>
      </c>
      <c r="T371" s="81" t="s">
        <v>144</v>
      </c>
      <c r="U371" s="81" t="s">
        <v>144</v>
      </c>
    </row>
    <row r="372" spans="1:21" x14ac:dyDescent="0.25">
      <c r="A372" s="81"/>
      <c r="B372" s="81" t="s">
        <v>8</v>
      </c>
      <c r="C372" s="81" t="s">
        <v>144</v>
      </c>
      <c r="D372" s="81" t="s">
        <v>10</v>
      </c>
      <c r="E372" s="81" t="s">
        <v>1573</v>
      </c>
      <c r="F372" s="81" t="s">
        <v>168</v>
      </c>
      <c r="G372" s="81" t="s">
        <v>1574</v>
      </c>
      <c r="H372" s="81"/>
      <c r="I372" s="81"/>
      <c r="J372" s="81"/>
      <c r="K372" s="81"/>
      <c r="L372" s="81"/>
      <c r="M372" s="82" t="s">
        <v>52</v>
      </c>
      <c r="N372" s="82"/>
      <c r="O372" s="82"/>
      <c r="P372" s="82"/>
      <c r="Q372" s="82" t="s">
        <v>427</v>
      </c>
      <c r="R372" s="111">
        <v>45728</v>
      </c>
      <c r="S372" s="82" t="s">
        <v>535</v>
      </c>
      <c r="T372" s="81" t="s">
        <v>144</v>
      </c>
      <c r="U372" s="81" t="s">
        <v>144</v>
      </c>
    </row>
    <row r="373" spans="1:21" x14ac:dyDescent="0.25">
      <c r="A373" s="81"/>
      <c r="B373" s="81" t="s">
        <v>8</v>
      </c>
      <c r="C373" s="81" t="s">
        <v>144</v>
      </c>
      <c r="D373" s="81" t="s">
        <v>10</v>
      </c>
      <c r="E373" s="81" t="s">
        <v>1575</v>
      </c>
      <c r="F373" s="81" t="s">
        <v>168</v>
      </c>
      <c r="G373" s="81" t="s">
        <v>1576</v>
      </c>
      <c r="H373" s="81"/>
      <c r="I373" s="81"/>
      <c r="J373" s="81"/>
      <c r="K373" s="81"/>
      <c r="L373" s="81"/>
      <c r="M373" s="82" t="s">
        <v>52</v>
      </c>
      <c r="N373" s="82"/>
      <c r="O373" s="82"/>
      <c r="P373" s="82"/>
      <c r="Q373" s="82" t="s">
        <v>427</v>
      </c>
      <c r="R373" s="111">
        <v>45728</v>
      </c>
      <c r="S373" s="82" t="s">
        <v>535</v>
      </c>
      <c r="T373" s="81" t="s">
        <v>144</v>
      </c>
      <c r="U373" s="81" t="s">
        <v>144</v>
      </c>
    </row>
    <row r="374" spans="1:21" x14ac:dyDescent="0.25">
      <c r="A374" s="81"/>
      <c r="B374" s="81" t="s">
        <v>8</v>
      </c>
      <c r="C374" s="81" t="s">
        <v>144</v>
      </c>
      <c r="D374" s="81" t="s">
        <v>10</v>
      </c>
      <c r="E374" s="81" t="s">
        <v>1577</v>
      </c>
      <c r="F374" s="81" t="s">
        <v>168</v>
      </c>
      <c r="G374" s="81" t="s">
        <v>1578</v>
      </c>
      <c r="H374" s="81"/>
      <c r="I374" s="81"/>
      <c r="J374" s="81"/>
      <c r="K374" s="81"/>
      <c r="L374" s="81"/>
      <c r="M374" s="82" t="s">
        <v>52</v>
      </c>
      <c r="N374" s="82"/>
      <c r="O374" s="82"/>
      <c r="P374" s="82"/>
      <c r="Q374" s="82" t="s">
        <v>1579</v>
      </c>
      <c r="R374" s="111">
        <v>45728</v>
      </c>
      <c r="S374" s="82" t="s">
        <v>535</v>
      </c>
      <c r="T374" s="81" t="s">
        <v>144</v>
      </c>
      <c r="U374" s="81" t="s">
        <v>144</v>
      </c>
    </row>
    <row r="375" spans="1:21" x14ac:dyDescent="0.25">
      <c r="A375" s="81"/>
      <c r="B375" s="81" t="s">
        <v>8</v>
      </c>
      <c r="C375" s="81" t="s">
        <v>144</v>
      </c>
      <c r="D375" s="81" t="s">
        <v>10</v>
      </c>
      <c r="E375" s="81" t="s">
        <v>1580</v>
      </c>
      <c r="F375" s="81" t="s">
        <v>168</v>
      </c>
      <c r="G375" s="81" t="s">
        <v>1581</v>
      </c>
      <c r="H375" s="81"/>
      <c r="I375" s="81"/>
      <c r="J375" s="81"/>
      <c r="K375" s="81"/>
      <c r="L375" s="81"/>
      <c r="M375" s="82" t="s">
        <v>52</v>
      </c>
      <c r="N375" s="82"/>
      <c r="O375" s="82"/>
      <c r="P375" s="82"/>
      <c r="Q375" s="82" t="s">
        <v>427</v>
      </c>
      <c r="R375" s="111">
        <v>45728</v>
      </c>
      <c r="S375" s="82" t="s">
        <v>535</v>
      </c>
      <c r="T375" s="81" t="s">
        <v>144</v>
      </c>
      <c r="U375" s="81" t="s">
        <v>144</v>
      </c>
    </row>
    <row r="376" spans="1:21" x14ac:dyDescent="0.25">
      <c r="A376" s="81"/>
      <c r="B376" s="81" t="s">
        <v>8</v>
      </c>
      <c r="C376" s="81" t="s">
        <v>144</v>
      </c>
      <c r="D376" s="81" t="s">
        <v>10</v>
      </c>
      <c r="E376" s="81" t="s">
        <v>1582</v>
      </c>
      <c r="F376" s="81" t="s">
        <v>168</v>
      </c>
      <c r="G376" s="81" t="s">
        <v>1583</v>
      </c>
      <c r="H376" s="81"/>
      <c r="I376" s="81"/>
      <c r="J376" s="81"/>
      <c r="K376" s="81"/>
      <c r="L376" s="81"/>
      <c r="M376" s="82" t="s">
        <v>52</v>
      </c>
      <c r="N376" s="82"/>
      <c r="O376" s="82"/>
      <c r="P376" s="82"/>
      <c r="Q376" s="82" t="s">
        <v>427</v>
      </c>
      <c r="R376" s="111">
        <v>45729</v>
      </c>
      <c r="S376" s="82" t="s">
        <v>535</v>
      </c>
      <c r="T376" s="81" t="s">
        <v>144</v>
      </c>
      <c r="U376" s="81" t="s">
        <v>144</v>
      </c>
    </row>
    <row r="377" spans="1:21" ht="45" x14ac:dyDescent="0.25">
      <c r="A377" s="81"/>
      <c r="B377" s="81" t="s">
        <v>8</v>
      </c>
      <c r="C377" s="81" t="s">
        <v>144</v>
      </c>
      <c r="D377" s="81" t="s">
        <v>10</v>
      </c>
      <c r="E377" s="81" t="s">
        <v>1584</v>
      </c>
      <c r="F377" s="81" t="s">
        <v>198</v>
      </c>
      <c r="G377" s="81" t="s">
        <v>1585</v>
      </c>
      <c r="H377" s="81"/>
      <c r="I377" s="81"/>
      <c r="J377" s="81"/>
      <c r="K377" s="81"/>
      <c r="L377" s="81"/>
      <c r="M377" s="82" t="s">
        <v>52</v>
      </c>
      <c r="N377" s="82"/>
      <c r="O377" s="82"/>
      <c r="P377" s="82"/>
      <c r="Q377" s="82" t="s">
        <v>1586</v>
      </c>
      <c r="R377" s="111"/>
      <c r="S377" s="82"/>
      <c r="T377" s="81" t="s">
        <v>144</v>
      </c>
      <c r="U377" s="81" t="s">
        <v>144</v>
      </c>
    </row>
    <row r="378" spans="1:21" ht="45" x14ac:dyDescent="0.25">
      <c r="A378" s="81"/>
      <c r="B378" s="81" t="s">
        <v>8</v>
      </c>
      <c r="C378" s="81" t="s">
        <v>144</v>
      </c>
      <c r="D378" s="81" t="s">
        <v>10</v>
      </c>
      <c r="E378" s="81" t="s">
        <v>1587</v>
      </c>
      <c r="F378" s="81" t="s">
        <v>199</v>
      </c>
      <c r="G378" s="81" t="s">
        <v>1588</v>
      </c>
      <c r="H378" s="81"/>
      <c r="I378" s="81"/>
      <c r="J378" s="81"/>
      <c r="K378" s="81"/>
      <c r="L378" s="81"/>
      <c r="M378" s="82" t="s">
        <v>52</v>
      </c>
      <c r="N378" s="82"/>
      <c r="O378" s="82"/>
      <c r="P378" s="82"/>
      <c r="Q378" s="82" t="s">
        <v>1589</v>
      </c>
      <c r="R378" s="111">
        <v>45790</v>
      </c>
      <c r="S378" s="82" t="s">
        <v>238</v>
      </c>
      <c r="T378" s="81" t="s">
        <v>144</v>
      </c>
      <c r="U378" s="81" t="s">
        <v>3305</v>
      </c>
    </row>
    <row r="379" spans="1:21" x14ac:dyDescent="0.25">
      <c r="A379" s="81"/>
      <c r="B379" s="81" t="s">
        <v>8</v>
      </c>
      <c r="C379" s="81" t="s">
        <v>144</v>
      </c>
      <c r="D379" s="81" t="s">
        <v>10</v>
      </c>
      <c r="E379" s="81" t="s">
        <v>1590</v>
      </c>
      <c r="F379" s="81" t="s">
        <v>3306</v>
      </c>
      <c r="G379" s="81" t="s">
        <v>1591</v>
      </c>
      <c r="H379" s="81"/>
      <c r="I379" s="81"/>
      <c r="J379" s="81"/>
      <c r="K379" s="81"/>
      <c r="L379" s="81"/>
      <c r="M379" s="82" t="s">
        <v>52</v>
      </c>
      <c r="N379" s="82"/>
      <c r="O379" s="82"/>
      <c r="P379" s="82"/>
      <c r="Q379" s="82" t="s">
        <v>1592</v>
      </c>
      <c r="R379" s="111">
        <v>45874</v>
      </c>
      <c r="S379" s="82" t="s">
        <v>238</v>
      </c>
      <c r="T379" s="81" t="s">
        <v>144</v>
      </c>
      <c r="U379" s="81" t="s">
        <v>144</v>
      </c>
    </row>
    <row r="380" spans="1:21" ht="30" x14ac:dyDescent="0.25">
      <c r="A380" s="81"/>
      <c r="B380" s="81" t="s">
        <v>8</v>
      </c>
      <c r="C380" s="81" t="s">
        <v>144</v>
      </c>
      <c r="D380" s="81" t="s">
        <v>10</v>
      </c>
      <c r="E380" s="81" t="s">
        <v>1593</v>
      </c>
      <c r="F380" s="81" t="s">
        <v>157</v>
      </c>
      <c r="G380" s="81" t="s">
        <v>1594</v>
      </c>
      <c r="H380" s="81"/>
      <c r="I380" s="81"/>
      <c r="J380" s="81"/>
      <c r="K380" s="81"/>
      <c r="L380" s="81"/>
      <c r="M380" s="82" t="s">
        <v>52</v>
      </c>
      <c r="N380" s="82"/>
      <c r="O380" s="82"/>
      <c r="P380" s="82"/>
      <c r="Q380" s="82" t="s">
        <v>1595</v>
      </c>
      <c r="R380" s="111">
        <v>45813</v>
      </c>
      <c r="S380" s="82" t="s">
        <v>1596</v>
      </c>
      <c r="T380" s="81" t="s">
        <v>144</v>
      </c>
      <c r="U380" s="81" t="s">
        <v>3267</v>
      </c>
    </row>
    <row r="381" spans="1:21" ht="30" x14ac:dyDescent="0.25">
      <c r="A381" s="81"/>
      <c r="B381" s="81" t="s">
        <v>8</v>
      </c>
      <c r="C381" s="81" t="s">
        <v>144</v>
      </c>
      <c r="D381" s="81" t="s">
        <v>10</v>
      </c>
      <c r="E381" s="81" t="s">
        <v>1597</v>
      </c>
      <c r="F381" s="81" t="s">
        <v>199</v>
      </c>
      <c r="G381" s="81" t="s">
        <v>1598</v>
      </c>
      <c r="H381" s="81"/>
      <c r="I381" s="81"/>
      <c r="J381" s="81"/>
      <c r="K381" s="81"/>
      <c r="L381" s="81"/>
      <c r="M381" s="82" t="s">
        <v>52</v>
      </c>
      <c r="N381" s="82"/>
      <c r="O381" s="82"/>
      <c r="P381" s="82"/>
      <c r="Q381" s="82" t="s">
        <v>1599</v>
      </c>
      <c r="R381" s="111">
        <v>45779</v>
      </c>
      <c r="S381" s="82" t="s">
        <v>1600</v>
      </c>
      <c r="T381" s="81" t="s">
        <v>144</v>
      </c>
      <c r="U381" s="81" t="s">
        <v>144</v>
      </c>
    </row>
    <row r="382" spans="1:21" ht="30" x14ac:dyDescent="0.25">
      <c r="A382" s="81"/>
      <c r="B382" s="81" t="s">
        <v>8</v>
      </c>
      <c r="C382" s="81" t="s">
        <v>144</v>
      </c>
      <c r="D382" s="81" t="s">
        <v>10</v>
      </c>
      <c r="E382" s="81" t="s">
        <v>1601</v>
      </c>
      <c r="F382" s="81" t="s">
        <v>168</v>
      </c>
      <c r="G382" s="81" t="s">
        <v>1602</v>
      </c>
      <c r="H382" s="81"/>
      <c r="I382" s="81"/>
      <c r="J382" s="81"/>
      <c r="K382" s="81"/>
      <c r="L382" s="81"/>
      <c r="M382" s="82" t="s">
        <v>52</v>
      </c>
      <c r="N382" s="82"/>
      <c r="O382" s="82"/>
      <c r="P382" s="82"/>
      <c r="Q382" s="82" t="s">
        <v>1603</v>
      </c>
      <c r="R382" s="111">
        <v>45756</v>
      </c>
      <c r="S382" s="82" t="s">
        <v>23</v>
      </c>
      <c r="T382" s="81" t="s">
        <v>144</v>
      </c>
      <c r="U382" s="81" t="s">
        <v>144</v>
      </c>
    </row>
    <row r="383" spans="1:21" x14ac:dyDescent="0.25">
      <c r="A383" s="81"/>
      <c r="B383" s="81" t="s">
        <v>8</v>
      </c>
      <c r="C383" s="81" t="s">
        <v>144</v>
      </c>
      <c r="D383" s="81" t="s">
        <v>10</v>
      </c>
      <c r="E383" s="81" t="s">
        <v>1604</v>
      </c>
      <c r="F383" s="81" t="s">
        <v>201</v>
      </c>
      <c r="G383" s="81" t="s">
        <v>1605</v>
      </c>
      <c r="H383" s="81"/>
      <c r="I383" s="81"/>
      <c r="J383" s="81"/>
      <c r="K383" s="81"/>
      <c r="L383" s="81"/>
      <c r="M383" s="82" t="s">
        <v>52</v>
      </c>
      <c r="N383" s="82"/>
      <c r="O383" s="82"/>
      <c r="P383" s="82"/>
      <c r="Q383" s="82"/>
      <c r="R383" s="111">
        <v>45779</v>
      </c>
      <c r="S383" s="82"/>
      <c r="T383" s="81" t="s">
        <v>144</v>
      </c>
      <c r="U383" s="81" t="s">
        <v>3307</v>
      </c>
    </row>
    <row r="384" spans="1:21" x14ac:dyDescent="0.25">
      <c r="A384" s="81"/>
      <c r="B384" s="81" t="s">
        <v>8</v>
      </c>
      <c r="C384" s="81" t="s">
        <v>144</v>
      </c>
      <c r="D384" s="81" t="s">
        <v>10</v>
      </c>
      <c r="E384" s="81" t="s">
        <v>1606</v>
      </c>
      <c r="F384" s="81" t="s">
        <v>3306</v>
      </c>
      <c r="G384" s="81" t="s">
        <v>1607</v>
      </c>
      <c r="H384" s="81"/>
      <c r="I384" s="81"/>
      <c r="J384" s="81"/>
      <c r="K384" s="81"/>
      <c r="L384" s="81"/>
      <c r="M384" s="82" t="s">
        <v>52</v>
      </c>
      <c r="N384" s="82"/>
      <c r="O384" s="82"/>
      <c r="P384" s="82"/>
      <c r="Q384" s="82" t="s">
        <v>1608</v>
      </c>
      <c r="R384" s="111">
        <v>45779</v>
      </c>
      <c r="S384" s="82" t="s">
        <v>20</v>
      </c>
      <c r="T384" s="81" t="s">
        <v>144</v>
      </c>
      <c r="U384" s="81" t="s">
        <v>144</v>
      </c>
    </row>
    <row r="385" spans="1:21" ht="30" x14ac:dyDescent="0.25">
      <c r="A385" s="81"/>
      <c r="B385" s="81" t="s">
        <v>8</v>
      </c>
      <c r="C385" s="81" t="s">
        <v>144</v>
      </c>
      <c r="D385" s="81" t="s">
        <v>10</v>
      </c>
      <c r="E385" s="81" t="s">
        <v>1609</v>
      </c>
      <c r="F385" s="81" t="s">
        <v>199</v>
      </c>
      <c r="G385" s="81" t="s">
        <v>1610</v>
      </c>
      <c r="H385" s="81"/>
      <c r="I385" s="81"/>
      <c r="J385" s="81"/>
      <c r="K385" s="81"/>
      <c r="L385" s="81"/>
      <c r="M385" s="82" t="s">
        <v>52</v>
      </c>
      <c r="N385" s="82"/>
      <c r="O385" s="82"/>
      <c r="P385" s="82"/>
      <c r="Q385" s="82" t="s">
        <v>1611</v>
      </c>
      <c r="R385" s="111">
        <v>45775</v>
      </c>
      <c r="S385" s="82" t="s">
        <v>11</v>
      </c>
      <c r="T385" s="81" t="s">
        <v>144</v>
      </c>
      <c r="U385" s="81" t="s">
        <v>3267</v>
      </c>
    </row>
    <row r="386" spans="1:21" ht="30" x14ac:dyDescent="0.25">
      <c r="A386" s="81"/>
      <c r="B386" s="81" t="s">
        <v>8</v>
      </c>
      <c r="C386" s="81" t="s">
        <v>144</v>
      </c>
      <c r="D386" s="81" t="s">
        <v>10</v>
      </c>
      <c r="E386" s="81" t="s">
        <v>1612</v>
      </c>
      <c r="F386" s="81" t="s">
        <v>167</v>
      </c>
      <c r="G386" s="81" t="s">
        <v>1613</v>
      </c>
      <c r="H386" s="81"/>
      <c r="I386" s="81"/>
      <c r="J386" s="81"/>
      <c r="K386" s="81"/>
      <c r="L386" s="81"/>
      <c r="M386" s="82" t="s">
        <v>52</v>
      </c>
      <c r="N386" s="82"/>
      <c r="O386" s="82"/>
      <c r="P386" s="82"/>
      <c r="Q386" s="82" t="s">
        <v>1614</v>
      </c>
      <c r="R386" s="111">
        <v>45775</v>
      </c>
      <c r="S386" s="82" t="s">
        <v>1615</v>
      </c>
      <c r="T386" s="81" t="s">
        <v>144</v>
      </c>
      <c r="U386" s="81" t="s">
        <v>3267</v>
      </c>
    </row>
    <row r="387" spans="1:21" ht="30" x14ac:dyDescent="0.25">
      <c r="A387" s="81"/>
      <c r="B387" s="81" t="s">
        <v>8</v>
      </c>
      <c r="C387" s="81" t="s">
        <v>144</v>
      </c>
      <c r="D387" s="81" t="s">
        <v>10</v>
      </c>
      <c r="E387" s="81" t="s">
        <v>1616</v>
      </c>
      <c r="F387" s="81" t="s">
        <v>159</v>
      </c>
      <c r="G387" s="81" t="s">
        <v>1617</v>
      </c>
      <c r="H387" s="81"/>
      <c r="I387" s="81"/>
      <c r="J387" s="81"/>
      <c r="K387" s="81"/>
      <c r="L387" s="81"/>
      <c r="M387" s="82" t="s">
        <v>52</v>
      </c>
      <c r="N387" s="82"/>
      <c r="O387" s="82"/>
      <c r="P387" s="82"/>
      <c r="Q387" s="82" t="s">
        <v>1618</v>
      </c>
      <c r="R387" s="111">
        <v>45775</v>
      </c>
      <c r="S387" s="82" t="s">
        <v>242</v>
      </c>
      <c r="T387" s="81" t="s">
        <v>144</v>
      </c>
      <c r="U387" s="81" t="s">
        <v>3308</v>
      </c>
    </row>
    <row r="388" spans="1:21" x14ac:dyDescent="0.25">
      <c r="A388" s="81"/>
      <c r="B388" s="81" t="s">
        <v>8</v>
      </c>
      <c r="C388" s="81" t="s">
        <v>144</v>
      </c>
      <c r="D388" s="81" t="s">
        <v>10</v>
      </c>
      <c r="E388" s="81" t="s">
        <v>1619</v>
      </c>
      <c r="F388" s="81" t="s">
        <v>159</v>
      </c>
      <c r="G388" s="81" t="s">
        <v>1620</v>
      </c>
      <c r="H388" s="81"/>
      <c r="I388" s="81"/>
      <c r="J388" s="81"/>
      <c r="K388" s="81"/>
      <c r="L388" s="81"/>
      <c r="M388" s="82" t="s">
        <v>52</v>
      </c>
      <c r="N388" s="82"/>
      <c r="O388" s="82"/>
      <c r="P388" s="82"/>
      <c r="Q388" s="82" t="s">
        <v>1621</v>
      </c>
      <c r="R388" s="111">
        <v>45771</v>
      </c>
      <c r="S388" s="82" t="s">
        <v>20</v>
      </c>
      <c r="T388" s="81" t="s">
        <v>144</v>
      </c>
      <c r="U388" s="81" t="s">
        <v>144</v>
      </c>
    </row>
    <row r="389" spans="1:21" x14ac:dyDescent="0.25">
      <c r="A389" s="81"/>
      <c r="B389" s="81" t="s">
        <v>8</v>
      </c>
      <c r="C389" s="81" t="s">
        <v>144</v>
      </c>
      <c r="D389" s="81" t="s">
        <v>10</v>
      </c>
      <c r="E389" s="81" t="s">
        <v>1622</v>
      </c>
      <c r="F389" s="81" t="s">
        <v>150</v>
      </c>
      <c r="G389" s="81" t="s">
        <v>1623</v>
      </c>
      <c r="H389" s="81"/>
      <c r="I389" s="81"/>
      <c r="J389" s="81"/>
      <c r="K389" s="81"/>
      <c r="L389" s="81"/>
      <c r="M389" s="82" t="s">
        <v>52</v>
      </c>
      <c r="N389" s="82"/>
      <c r="O389" s="82"/>
      <c r="P389" s="82"/>
      <c r="Q389" s="82" t="s">
        <v>47</v>
      </c>
      <c r="R389" s="111">
        <v>45771</v>
      </c>
      <c r="S389" s="82" t="s">
        <v>46</v>
      </c>
      <c r="T389" s="81" t="s">
        <v>144</v>
      </c>
      <c r="U389" s="81" t="s">
        <v>3309</v>
      </c>
    </row>
    <row r="390" spans="1:21" ht="30" x14ac:dyDescent="0.25">
      <c r="A390" s="81"/>
      <c r="B390" s="81" t="s">
        <v>8</v>
      </c>
      <c r="C390" s="81" t="s">
        <v>144</v>
      </c>
      <c r="D390" s="81" t="s">
        <v>10</v>
      </c>
      <c r="E390" s="81" t="s">
        <v>1624</v>
      </c>
      <c r="F390" s="81" t="s">
        <v>199</v>
      </c>
      <c r="G390" s="81" t="s">
        <v>1625</v>
      </c>
      <c r="H390" s="81"/>
      <c r="I390" s="81"/>
      <c r="J390" s="81"/>
      <c r="K390" s="81"/>
      <c r="L390" s="81"/>
      <c r="M390" s="82" t="s">
        <v>52</v>
      </c>
      <c r="N390" s="82"/>
      <c r="O390" s="82"/>
      <c r="P390" s="82"/>
      <c r="Q390" s="82" t="s">
        <v>1626</v>
      </c>
      <c r="R390" s="111">
        <v>45770</v>
      </c>
      <c r="S390" s="82" t="s">
        <v>238</v>
      </c>
      <c r="T390" s="81" t="s">
        <v>144</v>
      </c>
      <c r="U390" s="81" t="s">
        <v>144</v>
      </c>
    </row>
    <row r="391" spans="1:21" x14ac:dyDescent="0.25">
      <c r="A391" s="81"/>
      <c r="B391" s="81" t="s">
        <v>8</v>
      </c>
      <c r="C391" s="81" t="s">
        <v>144</v>
      </c>
      <c r="D391" s="81" t="s">
        <v>10</v>
      </c>
      <c r="E391" s="81" t="s">
        <v>1627</v>
      </c>
      <c r="F391" s="81" t="s">
        <v>200</v>
      </c>
      <c r="G391" s="81" t="s">
        <v>1628</v>
      </c>
      <c r="H391" s="81"/>
      <c r="I391" s="81"/>
      <c r="J391" s="81"/>
      <c r="K391" s="81"/>
      <c r="L391" s="81"/>
      <c r="M391" s="82" t="s">
        <v>52</v>
      </c>
      <c r="N391" s="82"/>
      <c r="O391" s="82"/>
      <c r="P391" s="82"/>
      <c r="Q391" s="82"/>
      <c r="R391" s="111"/>
      <c r="S391" s="82"/>
      <c r="T391" s="81" t="s">
        <v>144</v>
      </c>
      <c r="U391" s="81" t="s">
        <v>144</v>
      </c>
    </row>
    <row r="392" spans="1:21" x14ac:dyDescent="0.25">
      <c r="A392" s="81"/>
      <c r="B392" s="81" t="s">
        <v>8</v>
      </c>
      <c r="C392" s="81" t="s">
        <v>144</v>
      </c>
      <c r="D392" s="81" t="s">
        <v>10</v>
      </c>
      <c r="E392" s="81" t="s">
        <v>1629</v>
      </c>
      <c r="F392" s="81" t="s">
        <v>160</v>
      </c>
      <c r="G392" s="81" t="s">
        <v>1630</v>
      </c>
      <c r="H392" s="81"/>
      <c r="I392" s="81"/>
      <c r="J392" s="81"/>
      <c r="K392" s="81"/>
      <c r="L392" s="81"/>
      <c r="M392" s="82" t="s">
        <v>52</v>
      </c>
      <c r="N392" s="82"/>
      <c r="O392" s="82"/>
      <c r="P392" s="82"/>
      <c r="Q392" s="82" t="s">
        <v>1631</v>
      </c>
      <c r="R392" s="111">
        <v>45761</v>
      </c>
      <c r="S392" s="82" t="s">
        <v>238</v>
      </c>
      <c r="T392" s="81" t="s">
        <v>144</v>
      </c>
      <c r="U392" s="81" t="s">
        <v>3310</v>
      </c>
    </row>
    <row r="393" spans="1:21" ht="30" x14ac:dyDescent="0.25">
      <c r="A393" s="81"/>
      <c r="B393" s="81" t="s">
        <v>8</v>
      </c>
      <c r="C393" s="81" t="s">
        <v>144</v>
      </c>
      <c r="D393" s="81" t="s">
        <v>10</v>
      </c>
      <c r="E393" s="81" t="s">
        <v>1632</v>
      </c>
      <c r="F393" s="81" t="s">
        <v>203</v>
      </c>
      <c r="G393" s="81" t="s">
        <v>1633</v>
      </c>
      <c r="H393" s="81"/>
      <c r="I393" s="81"/>
      <c r="J393" s="81"/>
      <c r="K393" s="81"/>
      <c r="L393" s="81"/>
      <c r="M393" s="82" t="s">
        <v>52</v>
      </c>
      <c r="N393" s="82"/>
      <c r="O393" s="82"/>
      <c r="P393" s="82"/>
      <c r="Q393" s="82" t="s">
        <v>1634</v>
      </c>
      <c r="R393" s="111">
        <v>45758</v>
      </c>
      <c r="S393" s="82" t="s">
        <v>20</v>
      </c>
      <c r="T393" s="81" t="s">
        <v>144</v>
      </c>
      <c r="U393" s="81" t="s">
        <v>3269</v>
      </c>
    </row>
    <row r="394" spans="1:21" x14ac:dyDescent="0.25">
      <c r="A394" s="81"/>
      <c r="B394" s="81" t="s">
        <v>8</v>
      </c>
      <c r="C394" s="81" t="s">
        <v>144</v>
      </c>
      <c r="D394" s="81" t="s">
        <v>10</v>
      </c>
      <c r="E394" s="81" t="s">
        <v>1635</v>
      </c>
      <c r="F394" s="81" t="s">
        <v>167</v>
      </c>
      <c r="G394" s="81" t="s">
        <v>1636</v>
      </c>
      <c r="H394" s="81"/>
      <c r="I394" s="81"/>
      <c r="J394" s="81"/>
      <c r="K394" s="81"/>
      <c r="L394" s="81"/>
      <c r="M394" s="82" t="s">
        <v>52</v>
      </c>
      <c r="N394" s="82"/>
      <c r="O394" s="82"/>
      <c r="P394" s="82"/>
      <c r="Q394" s="82" t="s">
        <v>1637</v>
      </c>
      <c r="R394" s="111">
        <v>45757</v>
      </c>
      <c r="S394" s="82" t="s">
        <v>45</v>
      </c>
      <c r="T394" s="81" t="s">
        <v>144</v>
      </c>
      <c r="U394" s="81" t="s">
        <v>144</v>
      </c>
    </row>
    <row r="395" spans="1:21" x14ac:dyDescent="0.25">
      <c r="A395" s="81"/>
      <c r="B395" s="81" t="s">
        <v>8</v>
      </c>
      <c r="C395" s="81" t="s">
        <v>144</v>
      </c>
      <c r="D395" s="81" t="s">
        <v>10</v>
      </c>
      <c r="E395" s="81" t="s">
        <v>1638</v>
      </c>
      <c r="F395" s="81" t="s">
        <v>203</v>
      </c>
      <c r="G395" s="81" t="s">
        <v>1639</v>
      </c>
      <c r="H395" s="81"/>
      <c r="I395" s="81"/>
      <c r="J395" s="81"/>
      <c r="K395" s="81"/>
      <c r="L395" s="81"/>
      <c r="M395" s="82" t="s">
        <v>52</v>
      </c>
      <c r="N395" s="82"/>
      <c r="O395" s="82"/>
      <c r="P395" s="82"/>
      <c r="Q395" s="82"/>
      <c r="R395" s="111">
        <v>45755</v>
      </c>
      <c r="S395" s="82" t="s">
        <v>1470</v>
      </c>
      <c r="T395" s="81" t="s">
        <v>144</v>
      </c>
      <c r="U395" s="81" t="s">
        <v>144</v>
      </c>
    </row>
    <row r="396" spans="1:21" ht="30" x14ac:dyDescent="0.25">
      <c r="A396" s="81"/>
      <c r="B396" s="81" t="s">
        <v>8</v>
      </c>
      <c r="C396" s="81" t="s">
        <v>144</v>
      </c>
      <c r="D396" s="81" t="s">
        <v>10</v>
      </c>
      <c r="E396" s="81" t="s">
        <v>1640</v>
      </c>
      <c r="F396" s="81" t="s">
        <v>150</v>
      </c>
      <c r="G396" s="81" t="s">
        <v>1641</v>
      </c>
      <c r="H396" s="81"/>
      <c r="I396" s="81"/>
      <c r="J396" s="81"/>
      <c r="K396" s="81"/>
      <c r="L396" s="81"/>
      <c r="M396" s="82" t="s">
        <v>52</v>
      </c>
      <c r="N396" s="82"/>
      <c r="O396" s="82"/>
      <c r="P396" s="82"/>
      <c r="Q396" s="82" t="s">
        <v>1642</v>
      </c>
      <c r="R396" s="111">
        <v>45755</v>
      </c>
      <c r="S396" s="82" t="s">
        <v>11</v>
      </c>
      <c r="T396" s="81" t="s">
        <v>144</v>
      </c>
      <c r="U396" s="81" t="s">
        <v>3311</v>
      </c>
    </row>
    <row r="397" spans="1:21" ht="30" x14ac:dyDescent="0.25">
      <c r="A397" s="81"/>
      <c r="B397" s="81" t="s">
        <v>8</v>
      </c>
      <c r="C397" s="81" t="s">
        <v>144</v>
      </c>
      <c r="D397" s="81" t="s">
        <v>10</v>
      </c>
      <c r="E397" s="81" t="s">
        <v>1643</v>
      </c>
      <c r="F397" s="81" t="s">
        <v>160</v>
      </c>
      <c r="G397" s="81" t="s">
        <v>1644</v>
      </c>
      <c r="H397" s="81"/>
      <c r="I397" s="81"/>
      <c r="J397" s="81"/>
      <c r="K397" s="81"/>
      <c r="L397" s="81"/>
      <c r="M397" s="82" t="s">
        <v>52</v>
      </c>
      <c r="N397" s="82"/>
      <c r="O397" s="82"/>
      <c r="P397" s="82"/>
      <c r="Q397" s="82" t="s">
        <v>1645</v>
      </c>
      <c r="R397" s="111">
        <v>45755</v>
      </c>
      <c r="S397" s="82" t="s">
        <v>1470</v>
      </c>
      <c r="T397" s="81" t="s">
        <v>144</v>
      </c>
      <c r="U397" s="81" t="s">
        <v>144</v>
      </c>
    </row>
    <row r="398" spans="1:21" x14ac:dyDescent="0.25">
      <c r="A398" s="81"/>
      <c r="B398" s="81" t="s">
        <v>8</v>
      </c>
      <c r="C398" s="81" t="s">
        <v>144</v>
      </c>
      <c r="D398" s="81" t="s">
        <v>10</v>
      </c>
      <c r="E398" s="81" t="s">
        <v>1646</v>
      </c>
      <c r="F398" s="81" t="s">
        <v>199</v>
      </c>
      <c r="G398" s="81" t="s">
        <v>1647</v>
      </c>
      <c r="H398" s="81"/>
      <c r="I398" s="81"/>
      <c r="J398" s="81"/>
      <c r="K398" s="81"/>
      <c r="L398" s="81"/>
      <c r="M398" s="82" t="s">
        <v>52</v>
      </c>
      <c r="N398" s="82"/>
      <c r="O398" s="82"/>
      <c r="P398" s="82"/>
      <c r="Q398" s="82"/>
      <c r="R398" s="111">
        <v>45756</v>
      </c>
      <c r="S398" s="82"/>
      <c r="T398" s="81" t="s">
        <v>144</v>
      </c>
      <c r="U398" s="81" t="s">
        <v>3312</v>
      </c>
    </row>
    <row r="399" spans="1:21" ht="30" x14ac:dyDescent="0.25">
      <c r="A399" s="81"/>
      <c r="B399" s="81" t="s">
        <v>8</v>
      </c>
      <c r="C399" s="81" t="s">
        <v>144</v>
      </c>
      <c r="D399" s="81" t="s">
        <v>10</v>
      </c>
      <c r="E399" s="81" t="s">
        <v>1648</v>
      </c>
      <c r="F399" s="81" t="s">
        <v>150</v>
      </c>
      <c r="G399" s="81" t="s">
        <v>1649</v>
      </c>
      <c r="H399" s="81"/>
      <c r="I399" s="81"/>
      <c r="J399" s="81"/>
      <c r="K399" s="81"/>
      <c r="L399" s="81"/>
      <c r="M399" s="82" t="s">
        <v>52</v>
      </c>
      <c r="N399" s="82"/>
      <c r="O399" s="82"/>
      <c r="P399" s="82"/>
      <c r="Q399" s="82" t="s">
        <v>1650</v>
      </c>
      <c r="R399" s="111">
        <v>45718</v>
      </c>
      <c r="S399" s="82" t="s">
        <v>23</v>
      </c>
      <c r="T399" s="81" t="s">
        <v>144</v>
      </c>
      <c r="U399" s="81" t="s">
        <v>144</v>
      </c>
    </row>
    <row r="400" spans="1:21" x14ac:dyDescent="0.25">
      <c r="A400" s="81"/>
      <c r="B400" s="81" t="s">
        <v>8</v>
      </c>
      <c r="C400" s="81" t="s">
        <v>144</v>
      </c>
      <c r="D400" s="81" t="s">
        <v>10</v>
      </c>
      <c r="E400" s="81" t="s">
        <v>1651</v>
      </c>
      <c r="F400" s="81" t="s">
        <v>3313</v>
      </c>
      <c r="G400" s="81" t="s">
        <v>1652</v>
      </c>
      <c r="H400" s="81"/>
      <c r="I400" s="81"/>
      <c r="J400" s="81"/>
      <c r="K400" s="81"/>
      <c r="L400" s="81"/>
      <c r="M400" s="82" t="s">
        <v>52</v>
      </c>
      <c r="N400" s="82"/>
      <c r="O400" s="82"/>
      <c r="P400" s="82"/>
      <c r="Q400" s="82" t="s">
        <v>1653</v>
      </c>
      <c r="R400" s="111"/>
      <c r="S400" s="82"/>
      <c r="T400" s="81" t="s">
        <v>144</v>
      </c>
      <c r="U400" s="81" t="s">
        <v>3314</v>
      </c>
    </row>
    <row r="401" spans="1:21" x14ac:dyDescent="0.25">
      <c r="A401" s="81"/>
      <c r="B401" s="81" t="s">
        <v>8</v>
      </c>
      <c r="C401" s="81" t="s">
        <v>144</v>
      </c>
      <c r="D401" s="81" t="s">
        <v>10</v>
      </c>
      <c r="E401" s="81" t="s">
        <v>1654</v>
      </c>
      <c r="F401" s="81" t="s">
        <v>199</v>
      </c>
      <c r="G401" s="81" t="s">
        <v>1655</v>
      </c>
      <c r="H401" s="81"/>
      <c r="I401" s="81"/>
      <c r="J401" s="81"/>
      <c r="K401" s="81"/>
      <c r="L401" s="81"/>
      <c r="M401" s="82" t="s">
        <v>52</v>
      </c>
      <c r="N401" s="82"/>
      <c r="O401" s="82"/>
      <c r="P401" s="82"/>
      <c r="Q401" s="82" t="s">
        <v>1656</v>
      </c>
      <c r="R401" s="111">
        <v>45729</v>
      </c>
      <c r="S401" s="82" t="s">
        <v>238</v>
      </c>
      <c r="T401" s="81" t="s">
        <v>144</v>
      </c>
      <c r="U401" s="81" t="s">
        <v>144</v>
      </c>
    </row>
    <row r="402" spans="1:21" ht="45" x14ac:dyDescent="0.25">
      <c r="A402" s="81"/>
      <c r="B402" s="81" t="s">
        <v>8</v>
      </c>
      <c r="C402" s="81" t="s">
        <v>144</v>
      </c>
      <c r="D402" s="81" t="s">
        <v>10</v>
      </c>
      <c r="E402" s="81" t="s">
        <v>1657</v>
      </c>
      <c r="F402" s="81" t="s">
        <v>202</v>
      </c>
      <c r="G402" s="81" t="s">
        <v>1658</v>
      </c>
      <c r="H402" s="81"/>
      <c r="I402" s="81"/>
      <c r="J402" s="81"/>
      <c r="K402" s="81"/>
      <c r="L402" s="81"/>
      <c r="M402" s="82" t="s">
        <v>52</v>
      </c>
      <c r="N402" s="82"/>
      <c r="O402" s="82"/>
      <c r="P402" s="82"/>
      <c r="Q402" s="82"/>
      <c r="R402" s="111"/>
      <c r="S402" s="82"/>
      <c r="T402" s="81" t="s">
        <v>144</v>
      </c>
      <c r="U402" s="81" t="s">
        <v>144</v>
      </c>
    </row>
    <row r="403" spans="1:21" x14ac:dyDescent="0.25">
      <c r="A403" s="81"/>
      <c r="B403" s="81" t="s">
        <v>8</v>
      </c>
      <c r="C403" s="81" t="s">
        <v>144</v>
      </c>
      <c r="D403" s="81" t="s">
        <v>10</v>
      </c>
      <c r="E403" s="81" t="s">
        <v>1659</v>
      </c>
      <c r="F403" s="81" t="s">
        <v>199</v>
      </c>
      <c r="G403" s="81" t="s">
        <v>1660</v>
      </c>
      <c r="H403" s="81"/>
      <c r="I403" s="81"/>
      <c r="J403" s="81"/>
      <c r="K403" s="81"/>
      <c r="L403" s="81"/>
      <c r="M403" s="82" t="s">
        <v>52</v>
      </c>
      <c r="N403" s="82"/>
      <c r="O403" s="82"/>
      <c r="P403" s="82"/>
      <c r="Q403" s="82"/>
      <c r="R403" s="111"/>
      <c r="S403" s="82"/>
      <c r="T403" s="81" t="s">
        <v>144</v>
      </c>
      <c r="U403" s="81" t="s">
        <v>3315</v>
      </c>
    </row>
    <row r="404" spans="1:21" ht="30" x14ac:dyDescent="0.25">
      <c r="A404" s="81"/>
      <c r="B404" s="81" t="s">
        <v>8</v>
      </c>
      <c r="C404" s="81" t="s">
        <v>144</v>
      </c>
      <c r="D404" s="81" t="s">
        <v>10</v>
      </c>
      <c r="E404" s="81" t="s">
        <v>1661</v>
      </c>
      <c r="F404" s="81" t="s">
        <v>199</v>
      </c>
      <c r="G404" s="81" t="s">
        <v>1662</v>
      </c>
      <c r="H404" s="81"/>
      <c r="I404" s="81"/>
      <c r="J404" s="81"/>
      <c r="K404" s="81"/>
      <c r="L404" s="81"/>
      <c r="M404" s="82" t="s">
        <v>52</v>
      </c>
      <c r="N404" s="82"/>
      <c r="O404" s="82"/>
      <c r="P404" s="82"/>
      <c r="Q404" s="82" t="s">
        <v>1663</v>
      </c>
      <c r="R404" s="111"/>
      <c r="S404" s="82" t="s">
        <v>3316</v>
      </c>
      <c r="T404" s="81" t="s">
        <v>144</v>
      </c>
      <c r="U404" s="81" t="s">
        <v>144</v>
      </c>
    </row>
    <row r="405" spans="1:21" x14ac:dyDescent="0.25">
      <c r="A405" s="81"/>
      <c r="B405" s="81" t="s">
        <v>8</v>
      </c>
      <c r="C405" s="81" t="s">
        <v>144</v>
      </c>
      <c r="D405" s="81" t="s">
        <v>10</v>
      </c>
      <c r="E405" s="81" t="s">
        <v>1664</v>
      </c>
      <c r="F405" s="81" t="s">
        <v>167</v>
      </c>
      <c r="G405" s="81" t="s">
        <v>1665</v>
      </c>
      <c r="H405" s="81"/>
      <c r="I405" s="81"/>
      <c r="J405" s="81"/>
      <c r="K405" s="81"/>
      <c r="L405" s="81"/>
      <c r="M405" s="82" t="s">
        <v>52</v>
      </c>
      <c r="N405" s="82"/>
      <c r="O405" s="82"/>
      <c r="P405" s="82"/>
      <c r="Q405" s="82"/>
      <c r="R405" s="111"/>
      <c r="S405" s="82"/>
      <c r="T405" s="81" t="s">
        <v>144</v>
      </c>
      <c r="U405" s="81" t="s">
        <v>144</v>
      </c>
    </row>
    <row r="406" spans="1:21" ht="30" x14ac:dyDescent="0.25">
      <c r="A406" s="81"/>
      <c r="B406" s="81" t="s">
        <v>8</v>
      </c>
      <c r="C406" s="81" t="s">
        <v>144</v>
      </c>
      <c r="D406" s="81" t="s">
        <v>10</v>
      </c>
      <c r="E406" s="81" t="s">
        <v>1666</v>
      </c>
      <c r="F406" s="81" t="s">
        <v>159</v>
      </c>
      <c r="G406" s="81" t="s">
        <v>1667</v>
      </c>
      <c r="H406" s="81"/>
      <c r="I406" s="81"/>
      <c r="J406" s="81"/>
      <c r="K406" s="81"/>
      <c r="L406" s="81"/>
      <c r="M406" s="82" t="s">
        <v>52</v>
      </c>
      <c r="N406" s="82"/>
      <c r="O406" s="82"/>
      <c r="P406" s="82"/>
      <c r="Q406" s="82"/>
      <c r="R406" s="111"/>
      <c r="S406" s="82"/>
      <c r="T406" s="81" t="s">
        <v>144</v>
      </c>
      <c r="U406" s="81" t="s">
        <v>3317</v>
      </c>
    </row>
    <row r="407" spans="1:21" x14ac:dyDescent="0.25">
      <c r="A407" s="81"/>
      <c r="B407" s="81" t="s">
        <v>8</v>
      </c>
      <c r="C407" s="81" t="s">
        <v>144</v>
      </c>
      <c r="D407" s="81" t="s">
        <v>10</v>
      </c>
      <c r="E407" s="81" t="s">
        <v>1668</v>
      </c>
      <c r="F407" s="81" t="s">
        <v>203</v>
      </c>
      <c r="G407" s="81" t="s">
        <v>1669</v>
      </c>
      <c r="H407" s="81"/>
      <c r="I407" s="81"/>
      <c r="J407" s="81"/>
      <c r="K407" s="81"/>
      <c r="L407" s="81"/>
      <c r="M407" s="82" t="s">
        <v>52</v>
      </c>
      <c r="N407" s="82"/>
      <c r="O407" s="82"/>
      <c r="P407" s="82"/>
      <c r="Q407" s="82" t="s">
        <v>19</v>
      </c>
      <c r="R407" s="111"/>
      <c r="S407" s="82"/>
      <c r="T407" s="81" t="s">
        <v>144</v>
      </c>
      <c r="U407" s="81" t="s">
        <v>3318</v>
      </c>
    </row>
    <row r="408" spans="1:21" x14ac:dyDescent="0.25">
      <c r="A408" s="81"/>
      <c r="B408" s="81" t="s">
        <v>8</v>
      </c>
      <c r="C408" s="81" t="s">
        <v>144</v>
      </c>
      <c r="D408" s="81" t="s">
        <v>10</v>
      </c>
      <c r="E408" s="81" t="s">
        <v>1670</v>
      </c>
      <c r="F408" s="81" t="s">
        <v>203</v>
      </c>
      <c r="G408" s="81" t="s">
        <v>1671</v>
      </c>
      <c r="H408" s="81"/>
      <c r="I408" s="81"/>
      <c r="J408" s="81"/>
      <c r="K408" s="81"/>
      <c r="L408" s="81"/>
      <c r="M408" s="82" t="s">
        <v>52</v>
      </c>
      <c r="N408" s="82"/>
      <c r="O408" s="82"/>
      <c r="P408" s="82"/>
      <c r="Q408" s="82"/>
      <c r="R408" s="111"/>
      <c r="S408" s="82"/>
      <c r="T408" s="81" t="s">
        <v>144</v>
      </c>
      <c r="U408" s="81" t="s">
        <v>144</v>
      </c>
    </row>
    <row r="409" spans="1:21" x14ac:dyDescent="0.25">
      <c r="A409" s="81"/>
      <c r="B409" s="81" t="s">
        <v>8</v>
      </c>
      <c r="C409" s="81" t="s">
        <v>144</v>
      </c>
      <c r="D409" s="81" t="s">
        <v>10</v>
      </c>
      <c r="E409" s="81" t="s">
        <v>1672</v>
      </c>
      <c r="F409" s="81" t="s">
        <v>199</v>
      </c>
      <c r="G409" s="81" t="s">
        <v>1673</v>
      </c>
      <c r="H409" s="81"/>
      <c r="I409" s="81"/>
      <c r="J409" s="81"/>
      <c r="K409" s="81"/>
      <c r="L409" s="81"/>
      <c r="M409" s="82" t="s">
        <v>52</v>
      </c>
      <c r="N409" s="82"/>
      <c r="O409" s="82"/>
      <c r="P409" s="82"/>
      <c r="Q409" s="82" t="s">
        <v>1674</v>
      </c>
      <c r="R409" s="111">
        <v>45727</v>
      </c>
      <c r="S409" s="82" t="s">
        <v>20</v>
      </c>
      <c r="T409" s="81" t="s">
        <v>144</v>
      </c>
      <c r="U409" s="81" t="s">
        <v>144</v>
      </c>
    </row>
    <row r="410" spans="1:21" x14ac:dyDescent="0.25">
      <c r="A410" s="81"/>
      <c r="B410" s="81" t="s">
        <v>8</v>
      </c>
      <c r="C410" s="81" t="s">
        <v>144</v>
      </c>
      <c r="D410" s="81" t="s">
        <v>10</v>
      </c>
      <c r="E410" s="81" t="s">
        <v>1675</v>
      </c>
      <c r="F410" s="81" t="s">
        <v>199</v>
      </c>
      <c r="G410" s="81" t="s">
        <v>1676</v>
      </c>
      <c r="H410" s="81"/>
      <c r="I410" s="81"/>
      <c r="J410" s="81"/>
      <c r="K410" s="81"/>
      <c r="L410" s="81"/>
      <c r="M410" s="82" t="s">
        <v>52</v>
      </c>
      <c r="N410" s="82"/>
      <c r="O410" s="82"/>
      <c r="P410" s="82"/>
      <c r="Q410" s="82"/>
      <c r="R410" s="111">
        <v>45728</v>
      </c>
      <c r="S410" s="82" t="s">
        <v>535</v>
      </c>
      <c r="T410" s="81" t="s">
        <v>144</v>
      </c>
      <c r="U410" s="81" t="s">
        <v>144</v>
      </c>
    </row>
    <row r="411" spans="1:21" x14ac:dyDescent="0.25">
      <c r="A411" s="81"/>
      <c r="B411" s="81" t="s">
        <v>8</v>
      </c>
      <c r="C411" s="81" t="s">
        <v>144</v>
      </c>
      <c r="D411" s="81" t="s">
        <v>10</v>
      </c>
      <c r="E411" s="81" t="s">
        <v>1677</v>
      </c>
      <c r="F411" s="81" t="s">
        <v>199</v>
      </c>
      <c r="G411" s="81" t="s">
        <v>1678</v>
      </c>
      <c r="H411" s="81"/>
      <c r="I411" s="81"/>
      <c r="J411" s="81"/>
      <c r="K411" s="81"/>
      <c r="L411" s="81"/>
      <c r="M411" s="82" t="s">
        <v>52</v>
      </c>
      <c r="N411" s="82"/>
      <c r="O411" s="82"/>
      <c r="P411" s="82"/>
      <c r="Q411" s="82"/>
      <c r="R411" s="111">
        <v>45727</v>
      </c>
      <c r="S411" s="82" t="s">
        <v>238</v>
      </c>
      <c r="T411" s="81" t="s">
        <v>144</v>
      </c>
      <c r="U411" s="81" t="s">
        <v>144</v>
      </c>
    </row>
    <row r="412" spans="1:21" x14ac:dyDescent="0.25">
      <c r="A412" s="81"/>
      <c r="B412" s="81" t="s">
        <v>8</v>
      </c>
      <c r="C412" s="81" t="s">
        <v>144</v>
      </c>
      <c r="D412" s="81" t="s">
        <v>10</v>
      </c>
      <c r="E412" s="81" t="s">
        <v>1679</v>
      </c>
      <c r="F412" s="81" t="s">
        <v>157</v>
      </c>
      <c r="G412" s="81" t="s">
        <v>1680</v>
      </c>
      <c r="H412" s="81"/>
      <c r="I412" s="81"/>
      <c r="J412" s="81"/>
      <c r="K412" s="81"/>
      <c r="L412" s="81"/>
      <c r="M412" s="82" t="s">
        <v>52</v>
      </c>
      <c r="N412" s="82"/>
      <c r="O412" s="82"/>
      <c r="P412" s="82"/>
      <c r="Q412" s="82"/>
      <c r="R412" s="111"/>
      <c r="S412" s="82"/>
      <c r="T412" s="81" t="s">
        <v>144</v>
      </c>
      <c r="U412" s="81" t="s">
        <v>144</v>
      </c>
    </row>
    <row r="413" spans="1:21" x14ac:dyDescent="0.25">
      <c r="A413" s="81"/>
      <c r="B413" s="81" t="s">
        <v>8</v>
      </c>
      <c r="C413" s="81" t="s">
        <v>144</v>
      </c>
      <c r="D413" s="81" t="s">
        <v>10</v>
      </c>
      <c r="E413" s="81" t="s">
        <v>1681</v>
      </c>
      <c r="F413" s="81" t="s">
        <v>160</v>
      </c>
      <c r="G413" s="81" t="s">
        <v>1682</v>
      </c>
      <c r="H413" s="81"/>
      <c r="I413" s="81"/>
      <c r="J413" s="81"/>
      <c r="K413" s="81"/>
      <c r="L413" s="81"/>
      <c r="M413" s="82" t="s">
        <v>52</v>
      </c>
      <c r="N413" s="82"/>
      <c r="O413" s="82"/>
      <c r="P413" s="82"/>
      <c r="Q413" s="82"/>
      <c r="R413" s="111"/>
      <c r="S413" s="82"/>
      <c r="T413" s="81" t="s">
        <v>144</v>
      </c>
      <c r="U413" s="81" t="s">
        <v>144</v>
      </c>
    </row>
    <row r="414" spans="1:21" ht="30" x14ac:dyDescent="0.25">
      <c r="A414" s="81"/>
      <c r="B414" s="81" t="s">
        <v>8</v>
      </c>
      <c r="C414" s="81" t="s">
        <v>144</v>
      </c>
      <c r="D414" s="81" t="s">
        <v>10</v>
      </c>
      <c r="E414" s="81" t="s">
        <v>1683</v>
      </c>
      <c r="F414" s="81" t="s">
        <v>199</v>
      </c>
      <c r="G414" s="81" t="s">
        <v>1684</v>
      </c>
      <c r="H414" s="81"/>
      <c r="I414" s="81"/>
      <c r="J414" s="81"/>
      <c r="K414" s="81"/>
      <c r="L414" s="81"/>
      <c r="M414" s="82" t="s">
        <v>52</v>
      </c>
      <c r="N414" s="82"/>
      <c r="O414" s="82"/>
      <c r="P414" s="82"/>
      <c r="Q414" s="82" t="s">
        <v>1685</v>
      </c>
      <c r="R414" s="111">
        <v>45726</v>
      </c>
      <c r="S414" s="82" t="s">
        <v>1686</v>
      </c>
      <c r="T414" s="81" t="s">
        <v>144</v>
      </c>
      <c r="U414" s="81" t="s">
        <v>144</v>
      </c>
    </row>
    <row r="415" spans="1:21" ht="30" x14ac:dyDescent="0.25">
      <c r="A415" s="81"/>
      <c r="B415" s="81" t="s">
        <v>8</v>
      </c>
      <c r="C415" s="81" t="s">
        <v>144</v>
      </c>
      <c r="D415" s="81" t="s">
        <v>10</v>
      </c>
      <c r="E415" s="81" t="s">
        <v>1687</v>
      </c>
      <c r="F415" s="81" t="s">
        <v>198</v>
      </c>
      <c r="G415" s="81" t="s">
        <v>1688</v>
      </c>
      <c r="H415" s="81"/>
      <c r="I415" s="81"/>
      <c r="J415" s="81"/>
      <c r="K415" s="81"/>
      <c r="L415" s="81"/>
      <c r="M415" s="82" t="s">
        <v>52</v>
      </c>
      <c r="N415" s="82"/>
      <c r="O415" s="82"/>
      <c r="P415" s="82"/>
      <c r="Q415" s="82" t="s">
        <v>1689</v>
      </c>
      <c r="R415" s="111">
        <v>45720</v>
      </c>
      <c r="S415" s="82" t="s">
        <v>1690</v>
      </c>
      <c r="T415" s="81" t="s">
        <v>144</v>
      </c>
      <c r="U415" s="81" t="s">
        <v>144</v>
      </c>
    </row>
    <row r="416" spans="1:21" ht="30" x14ac:dyDescent="0.25">
      <c r="A416" s="81"/>
      <c r="B416" s="81" t="s">
        <v>8</v>
      </c>
      <c r="C416" s="81" t="s">
        <v>144</v>
      </c>
      <c r="D416" s="81" t="s">
        <v>10</v>
      </c>
      <c r="E416" s="81" t="s">
        <v>1691</v>
      </c>
      <c r="F416" s="81" t="s">
        <v>203</v>
      </c>
      <c r="G416" s="81" t="s">
        <v>1692</v>
      </c>
      <c r="H416" s="81"/>
      <c r="I416" s="81"/>
      <c r="J416" s="81"/>
      <c r="K416" s="81"/>
      <c r="L416" s="81"/>
      <c r="M416" s="82" t="s">
        <v>52</v>
      </c>
      <c r="N416" s="82"/>
      <c r="O416" s="82"/>
      <c r="P416" s="82"/>
      <c r="Q416" s="82" t="s">
        <v>1693</v>
      </c>
      <c r="R416" s="111">
        <v>45720</v>
      </c>
      <c r="S416" s="82" t="s">
        <v>1686</v>
      </c>
      <c r="T416" s="81" t="s">
        <v>144</v>
      </c>
      <c r="U416" s="81" t="s">
        <v>144</v>
      </c>
    </row>
    <row r="417" spans="1:21" ht="30" x14ac:dyDescent="0.25">
      <c r="A417" s="81"/>
      <c r="B417" s="81" t="s">
        <v>8</v>
      </c>
      <c r="C417" s="81" t="s">
        <v>144</v>
      </c>
      <c r="D417" s="81" t="s">
        <v>10</v>
      </c>
      <c r="E417" s="81" t="s">
        <v>1694</v>
      </c>
      <c r="F417" s="81" t="s">
        <v>199</v>
      </c>
      <c r="G417" s="81" t="s">
        <v>1695</v>
      </c>
      <c r="H417" s="81"/>
      <c r="I417" s="81"/>
      <c r="J417" s="81"/>
      <c r="K417" s="81"/>
      <c r="L417" s="81"/>
      <c r="M417" s="82" t="s">
        <v>52</v>
      </c>
      <c r="N417" s="82"/>
      <c r="O417" s="82"/>
      <c r="P417" s="82"/>
      <c r="Q417" s="82" t="s">
        <v>1696</v>
      </c>
      <c r="R417" s="111">
        <v>45719</v>
      </c>
      <c r="S417" s="82" t="s">
        <v>1483</v>
      </c>
      <c r="T417" s="81" t="s">
        <v>144</v>
      </c>
      <c r="U417" s="81" t="s">
        <v>144</v>
      </c>
    </row>
    <row r="418" spans="1:21" ht="30" x14ac:dyDescent="0.25">
      <c r="A418" s="81"/>
      <c r="B418" s="81" t="s">
        <v>8</v>
      </c>
      <c r="C418" s="81" t="s">
        <v>144</v>
      </c>
      <c r="D418" s="81" t="s">
        <v>10</v>
      </c>
      <c r="E418" s="81" t="s">
        <v>1697</v>
      </c>
      <c r="F418" s="81" t="s">
        <v>199</v>
      </c>
      <c r="G418" s="81" t="s">
        <v>1698</v>
      </c>
      <c r="H418" s="81"/>
      <c r="I418" s="81"/>
      <c r="J418" s="81"/>
      <c r="K418" s="81"/>
      <c r="L418" s="81"/>
      <c r="M418" s="82" t="s">
        <v>52</v>
      </c>
      <c r="N418" s="82"/>
      <c r="O418" s="82"/>
      <c r="P418" s="82"/>
      <c r="Q418" s="82" t="s">
        <v>1699</v>
      </c>
      <c r="R418" s="111">
        <v>45716</v>
      </c>
      <c r="S418" s="82" t="s">
        <v>9</v>
      </c>
      <c r="T418" s="81" t="s">
        <v>144</v>
      </c>
      <c r="U418" s="81" t="s">
        <v>144</v>
      </c>
    </row>
    <row r="419" spans="1:21" ht="60" x14ac:dyDescent="0.25">
      <c r="A419" s="81"/>
      <c r="B419" s="81" t="s">
        <v>8</v>
      </c>
      <c r="C419" s="81" t="s">
        <v>144</v>
      </c>
      <c r="D419" s="81" t="s">
        <v>10</v>
      </c>
      <c r="E419" s="81" t="s">
        <v>1700</v>
      </c>
      <c r="F419" s="81" t="s">
        <v>150</v>
      </c>
      <c r="G419" s="81" t="s">
        <v>1701</v>
      </c>
      <c r="H419" s="81"/>
      <c r="I419" s="81"/>
      <c r="J419" s="81"/>
      <c r="K419" s="81"/>
      <c r="L419" s="81"/>
      <c r="M419" s="82" t="s">
        <v>52</v>
      </c>
      <c r="N419" s="82"/>
      <c r="O419" s="82"/>
      <c r="P419" s="82"/>
      <c r="Q419" s="82" t="s">
        <v>1702</v>
      </c>
      <c r="R419" s="111">
        <v>45719</v>
      </c>
      <c r="S419" s="82" t="s">
        <v>254</v>
      </c>
      <c r="T419" s="81" t="s">
        <v>144</v>
      </c>
      <c r="U419" s="81" t="s">
        <v>3319</v>
      </c>
    </row>
    <row r="420" spans="1:21" ht="30" x14ac:dyDescent="0.25">
      <c r="A420" s="81"/>
      <c r="B420" s="81" t="s">
        <v>8</v>
      </c>
      <c r="C420" s="81" t="s">
        <v>144</v>
      </c>
      <c r="D420" s="81" t="s">
        <v>10</v>
      </c>
      <c r="E420" s="81" t="s">
        <v>1703</v>
      </c>
      <c r="F420" s="81" t="s">
        <v>199</v>
      </c>
      <c r="G420" s="81" t="s">
        <v>1704</v>
      </c>
      <c r="H420" s="81"/>
      <c r="I420" s="81"/>
      <c r="J420" s="81"/>
      <c r="K420" s="81"/>
      <c r="L420" s="81"/>
      <c r="M420" s="82" t="s">
        <v>52</v>
      </c>
      <c r="N420" s="82"/>
      <c r="O420" s="82"/>
      <c r="P420" s="82"/>
      <c r="Q420" s="82" t="s">
        <v>1705</v>
      </c>
      <c r="R420" s="111">
        <v>45701</v>
      </c>
      <c r="S420" s="82" t="s">
        <v>238</v>
      </c>
      <c r="T420" s="81" t="s">
        <v>144</v>
      </c>
      <c r="U420" s="81" t="s">
        <v>144</v>
      </c>
    </row>
    <row r="421" spans="1:21" ht="30" x14ac:dyDescent="0.25">
      <c r="A421" s="81"/>
      <c r="B421" s="81" t="s">
        <v>8</v>
      </c>
      <c r="C421" s="81" t="s">
        <v>144</v>
      </c>
      <c r="D421" s="81" t="s">
        <v>10</v>
      </c>
      <c r="E421" s="81" t="s">
        <v>1706</v>
      </c>
      <c r="F421" s="81" t="s">
        <v>3313</v>
      </c>
      <c r="G421" s="81" t="s">
        <v>1707</v>
      </c>
      <c r="H421" s="81"/>
      <c r="I421" s="81"/>
      <c r="J421" s="81"/>
      <c r="K421" s="81"/>
      <c r="L421" s="81"/>
      <c r="M421" s="82" t="s">
        <v>52</v>
      </c>
      <c r="N421" s="82" t="s">
        <v>8</v>
      </c>
      <c r="O421" s="82"/>
      <c r="P421" s="82"/>
      <c r="Q421" s="82" t="s">
        <v>1708</v>
      </c>
      <c r="R421" s="111">
        <v>45635</v>
      </c>
      <c r="S421" s="82"/>
      <c r="T421" s="81" t="s">
        <v>144</v>
      </c>
      <c r="U421" s="81" t="s">
        <v>144</v>
      </c>
    </row>
    <row r="422" spans="1:21" ht="30" x14ac:dyDescent="0.25">
      <c r="A422" s="81"/>
      <c r="B422" s="81" t="s">
        <v>8</v>
      </c>
      <c r="C422" s="81" t="s">
        <v>144</v>
      </c>
      <c r="D422" s="81" t="s">
        <v>10</v>
      </c>
      <c r="E422" s="81" t="s">
        <v>1709</v>
      </c>
      <c r="F422" s="81" t="s">
        <v>159</v>
      </c>
      <c r="G422" s="81" t="s">
        <v>1710</v>
      </c>
      <c r="H422" s="81"/>
      <c r="I422" s="81"/>
      <c r="J422" s="81"/>
      <c r="K422" s="81"/>
      <c r="L422" s="81"/>
      <c r="M422" s="82" t="s">
        <v>52</v>
      </c>
      <c r="N422" s="82"/>
      <c r="O422" s="82"/>
      <c r="P422" s="82"/>
      <c r="Q422" s="82" t="s">
        <v>1711</v>
      </c>
      <c r="R422" s="111">
        <v>45714</v>
      </c>
      <c r="S422" s="82" t="s">
        <v>1712</v>
      </c>
      <c r="T422" s="81" t="s">
        <v>144</v>
      </c>
      <c r="U422" s="81" t="s">
        <v>144</v>
      </c>
    </row>
    <row r="423" spans="1:21" ht="45" x14ac:dyDescent="0.25">
      <c r="A423" s="81"/>
      <c r="B423" s="81" t="s">
        <v>8</v>
      </c>
      <c r="C423" s="81" t="s">
        <v>144</v>
      </c>
      <c r="D423" s="81" t="s">
        <v>10</v>
      </c>
      <c r="E423" s="81" t="s">
        <v>1713</v>
      </c>
      <c r="F423" s="81" t="s">
        <v>160</v>
      </c>
      <c r="G423" s="81" t="s">
        <v>1714</v>
      </c>
      <c r="H423" s="81"/>
      <c r="I423" s="81"/>
      <c r="J423" s="81"/>
      <c r="K423" s="81"/>
      <c r="L423" s="81"/>
      <c r="M423" s="82" t="s">
        <v>52</v>
      </c>
      <c r="N423" s="82"/>
      <c r="O423" s="82"/>
      <c r="P423" s="82"/>
      <c r="Q423" s="82" t="s">
        <v>1715</v>
      </c>
      <c r="R423" s="111">
        <v>45700</v>
      </c>
      <c r="S423" s="82" t="s">
        <v>610</v>
      </c>
      <c r="T423" s="81" t="s">
        <v>144</v>
      </c>
      <c r="U423" s="81" t="s">
        <v>144</v>
      </c>
    </row>
    <row r="424" spans="1:21" x14ac:dyDescent="0.25">
      <c r="A424" s="81"/>
      <c r="B424" s="81" t="s">
        <v>8</v>
      </c>
      <c r="C424" s="81" t="s">
        <v>144</v>
      </c>
      <c r="D424" s="81" t="s">
        <v>10</v>
      </c>
      <c r="E424" s="81" t="s">
        <v>1716</v>
      </c>
      <c r="F424" s="81" t="s">
        <v>160</v>
      </c>
      <c r="G424" s="81" t="s">
        <v>1717</v>
      </c>
      <c r="H424" s="81"/>
      <c r="I424" s="81"/>
      <c r="J424" s="81"/>
      <c r="K424" s="81"/>
      <c r="L424" s="81"/>
      <c r="M424" s="82" t="s">
        <v>52</v>
      </c>
      <c r="N424" s="82"/>
      <c r="O424" s="82"/>
      <c r="P424" s="82"/>
      <c r="Q424" s="82" t="s">
        <v>1718</v>
      </c>
      <c r="R424" s="111"/>
      <c r="S424" s="82"/>
      <c r="T424" s="81" t="s">
        <v>144</v>
      </c>
      <c r="U424" s="81" t="s">
        <v>144</v>
      </c>
    </row>
    <row r="425" spans="1:21" x14ac:dyDescent="0.25">
      <c r="A425" s="81"/>
      <c r="B425" s="81" t="s">
        <v>8</v>
      </c>
      <c r="C425" s="81" t="s">
        <v>144</v>
      </c>
      <c r="D425" s="81" t="s">
        <v>10</v>
      </c>
      <c r="E425" s="81" t="s">
        <v>1719</v>
      </c>
      <c r="F425" s="81" t="s">
        <v>159</v>
      </c>
      <c r="G425" s="81" t="s">
        <v>1720</v>
      </c>
      <c r="H425" s="81"/>
      <c r="I425" s="81"/>
      <c r="J425" s="81"/>
      <c r="K425" s="81"/>
      <c r="L425" s="81"/>
      <c r="M425" s="82" t="s">
        <v>52</v>
      </c>
      <c r="N425" s="82"/>
      <c r="O425" s="82"/>
      <c r="P425" s="82"/>
      <c r="Q425" s="82"/>
      <c r="R425" s="111"/>
      <c r="S425" s="82"/>
      <c r="T425" s="81" t="s">
        <v>144</v>
      </c>
      <c r="U425" s="81" t="s">
        <v>3320</v>
      </c>
    </row>
    <row r="426" spans="1:21" x14ac:dyDescent="0.25">
      <c r="A426" s="81"/>
      <c r="B426" s="81" t="s">
        <v>8</v>
      </c>
      <c r="C426" s="81" t="s">
        <v>144</v>
      </c>
      <c r="D426" s="81" t="s">
        <v>10</v>
      </c>
      <c r="E426" s="81" t="s">
        <v>1721</v>
      </c>
      <c r="F426" s="81" t="s">
        <v>199</v>
      </c>
      <c r="G426" s="81" t="s">
        <v>1722</v>
      </c>
      <c r="H426" s="81"/>
      <c r="I426" s="81"/>
      <c r="J426" s="81"/>
      <c r="K426" s="81"/>
      <c r="L426" s="81"/>
      <c r="M426" s="82" t="s">
        <v>52</v>
      </c>
      <c r="N426" s="82"/>
      <c r="O426" s="82"/>
      <c r="P426" s="82"/>
      <c r="Q426" s="82" t="s">
        <v>1723</v>
      </c>
      <c r="R426" s="111">
        <v>45701</v>
      </c>
      <c r="S426" s="82" t="s">
        <v>238</v>
      </c>
      <c r="T426" s="81" t="s">
        <v>144</v>
      </c>
      <c r="U426" s="81" t="s">
        <v>144</v>
      </c>
    </row>
    <row r="427" spans="1:21" ht="30" x14ac:dyDescent="0.25">
      <c r="A427" s="81"/>
      <c r="B427" s="81" t="s">
        <v>8</v>
      </c>
      <c r="C427" s="81" t="s">
        <v>144</v>
      </c>
      <c r="D427" s="81" t="s">
        <v>10</v>
      </c>
      <c r="E427" s="81" t="s">
        <v>1724</v>
      </c>
      <c r="F427" s="81" t="s">
        <v>157</v>
      </c>
      <c r="G427" s="81" t="s">
        <v>1725</v>
      </c>
      <c r="H427" s="81"/>
      <c r="I427" s="81"/>
      <c r="J427" s="81"/>
      <c r="K427" s="81"/>
      <c r="L427" s="81"/>
      <c r="M427" s="82" t="s">
        <v>52</v>
      </c>
      <c r="N427" s="82"/>
      <c r="O427" s="82"/>
      <c r="P427" s="82"/>
      <c r="Q427" s="82" t="s">
        <v>1726</v>
      </c>
      <c r="R427" s="111">
        <v>45637</v>
      </c>
      <c r="S427" s="82" t="s">
        <v>1727</v>
      </c>
      <c r="T427" s="81" t="s">
        <v>144</v>
      </c>
      <c r="U427" s="81" t="s">
        <v>3321</v>
      </c>
    </row>
    <row r="428" spans="1:21" ht="30" x14ac:dyDescent="0.25">
      <c r="A428" s="81"/>
      <c r="B428" s="81" t="s">
        <v>8</v>
      </c>
      <c r="C428" s="81" t="s">
        <v>144</v>
      </c>
      <c r="D428" s="81" t="s">
        <v>10</v>
      </c>
      <c r="E428" s="81" t="s">
        <v>1728</v>
      </c>
      <c r="F428" s="81" t="s">
        <v>157</v>
      </c>
      <c r="G428" s="81" t="s">
        <v>1729</v>
      </c>
      <c r="H428" s="81"/>
      <c r="I428" s="81"/>
      <c r="J428" s="81"/>
      <c r="K428" s="81"/>
      <c r="L428" s="81"/>
      <c r="M428" s="82" t="s">
        <v>52</v>
      </c>
      <c r="N428" s="82"/>
      <c r="O428" s="82"/>
      <c r="P428" s="82"/>
      <c r="Q428" s="82" t="s">
        <v>1730</v>
      </c>
      <c r="R428" s="111">
        <v>45637</v>
      </c>
      <c r="S428" s="82" t="s">
        <v>1727</v>
      </c>
      <c r="T428" s="81" t="s">
        <v>144</v>
      </c>
      <c r="U428" s="81" t="s">
        <v>3321</v>
      </c>
    </row>
    <row r="429" spans="1:21" x14ac:dyDescent="0.25">
      <c r="A429" s="81"/>
      <c r="B429" s="81" t="s">
        <v>8</v>
      </c>
      <c r="C429" s="81" t="s">
        <v>144</v>
      </c>
      <c r="D429" s="81" t="s">
        <v>10</v>
      </c>
      <c r="E429" s="81" t="s">
        <v>1731</v>
      </c>
      <c r="F429" s="81" t="s">
        <v>198</v>
      </c>
      <c r="G429" s="81" t="s">
        <v>1732</v>
      </c>
      <c r="H429" s="81"/>
      <c r="I429" s="81"/>
      <c r="J429" s="81"/>
      <c r="K429" s="81"/>
      <c r="L429" s="81"/>
      <c r="M429" s="82" t="s">
        <v>52</v>
      </c>
      <c r="N429" s="82"/>
      <c r="O429" s="82"/>
      <c r="P429" s="82"/>
      <c r="Q429" s="82" t="s">
        <v>1133</v>
      </c>
      <c r="R429" s="111">
        <v>45681</v>
      </c>
      <c r="S429" s="82" t="s">
        <v>238</v>
      </c>
      <c r="T429" s="81" t="s">
        <v>144</v>
      </c>
      <c r="U429" s="81" t="s">
        <v>144</v>
      </c>
    </row>
    <row r="430" spans="1:21" ht="30" x14ac:dyDescent="0.25">
      <c r="A430" s="81"/>
      <c r="B430" s="81" t="s">
        <v>8</v>
      </c>
      <c r="C430" s="81" t="s">
        <v>144</v>
      </c>
      <c r="D430" s="81" t="s">
        <v>10</v>
      </c>
      <c r="E430" s="81" t="s">
        <v>1733</v>
      </c>
      <c r="F430" s="81" t="s">
        <v>168</v>
      </c>
      <c r="G430" s="81" t="s">
        <v>1734</v>
      </c>
      <c r="H430" s="81"/>
      <c r="I430" s="81"/>
      <c r="J430" s="81"/>
      <c r="K430" s="81"/>
      <c r="L430" s="81"/>
      <c r="M430" s="82" t="s">
        <v>52</v>
      </c>
      <c r="N430" s="82"/>
      <c r="O430" s="82"/>
      <c r="P430" s="82"/>
      <c r="Q430" s="82" t="s">
        <v>1735</v>
      </c>
      <c r="R430" s="111">
        <v>45590</v>
      </c>
      <c r="S430" s="82" t="s">
        <v>11</v>
      </c>
      <c r="T430" s="81" t="s">
        <v>144</v>
      </c>
      <c r="U430" s="81" t="s">
        <v>144</v>
      </c>
    </row>
    <row r="431" spans="1:21" ht="30" x14ac:dyDescent="0.25">
      <c r="A431" s="81"/>
      <c r="B431" s="81" t="s">
        <v>8</v>
      </c>
      <c r="C431" s="81" t="s">
        <v>144</v>
      </c>
      <c r="D431" s="81" t="s">
        <v>10</v>
      </c>
      <c r="E431" s="81" t="s">
        <v>1736</v>
      </c>
      <c r="F431" s="81" t="s">
        <v>168</v>
      </c>
      <c r="G431" s="81" t="s">
        <v>1737</v>
      </c>
      <c r="H431" s="81"/>
      <c r="I431" s="81"/>
      <c r="J431" s="81"/>
      <c r="K431" s="81"/>
      <c r="L431" s="81"/>
      <c r="M431" s="82" t="s">
        <v>52</v>
      </c>
      <c r="N431" s="82"/>
      <c r="O431" s="82"/>
      <c r="P431" s="82"/>
      <c r="Q431" s="82" t="s">
        <v>1735</v>
      </c>
      <c r="R431" s="111">
        <v>45590</v>
      </c>
      <c r="S431" s="82" t="s">
        <v>11</v>
      </c>
      <c r="T431" s="81" t="s">
        <v>144</v>
      </c>
      <c r="U431" s="81" t="s">
        <v>144</v>
      </c>
    </row>
    <row r="432" spans="1:21" ht="45" x14ac:dyDescent="0.25">
      <c r="A432" s="81"/>
      <c r="B432" s="81" t="s">
        <v>8</v>
      </c>
      <c r="C432" s="81" t="s">
        <v>144</v>
      </c>
      <c r="D432" s="81" t="s">
        <v>10</v>
      </c>
      <c r="E432" s="81" t="s">
        <v>1738</v>
      </c>
      <c r="F432" s="81" t="s">
        <v>160</v>
      </c>
      <c r="G432" s="81" t="s">
        <v>1739</v>
      </c>
      <c r="H432" s="81"/>
      <c r="I432" s="81"/>
      <c r="J432" s="81"/>
      <c r="K432" s="81"/>
      <c r="L432" s="81"/>
      <c r="M432" s="82" t="s">
        <v>52</v>
      </c>
      <c r="N432" s="82"/>
      <c r="O432" s="82"/>
      <c r="P432" s="82"/>
      <c r="Q432" s="82" t="s">
        <v>1740</v>
      </c>
      <c r="R432" s="111">
        <v>45694</v>
      </c>
      <c r="S432" s="82" t="s">
        <v>9</v>
      </c>
      <c r="T432" s="81" t="s">
        <v>144</v>
      </c>
      <c r="U432" s="81" t="s">
        <v>144</v>
      </c>
    </row>
    <row r="433" spans="1:21" ht="30" x14ac:dyDescent="0.25">
      <c r="A433" s="81"/>
      <c r="B433" s="81" t="s">
        <v>8</v>
      </c>
      <c r="C433" s="81" t="s">
        <v>144</v>
      </c>
      <c r="D433" s="81" t="s">
        <v>10</v>
      </c>
      <c r="E433" s="81" t="s">
        <v>1741</v>
      </c>
      <c r="F433" s="81" t="s">
        <v>168</v>
      </c>
      <c r="G433" s="81" t="s">
        <v>1742</v>
      </c>
      <c r="H433" s="81"/>
      <c r="I433" s="81"/>
      <c r="J433" s="81"/>
      <c r="K433" s="81"/>
      <c r="L433" s="81"/>
      <c r="M433" s="82" t="s">
        <v>52</v>
      </c>
      <c r="N433" s="82"/>
      <c r="O433" s="82"/>
      <c r="P433" s="82"/>
      <c r="Q433" s="82" t="s">
        <v>1743</v>
      </c>
      <c r="R433" s="111">
        <v>45700</v>
      </c>
      <c r="S433" s="82"/>
      <c r="T433" s="81" t="s">
        <v>144</v>
      </c>
      <c r="U433" s="81" t="s">
        <v>3322</v>
      </c>
    </row>
    <row r="434" spans="1:21" ht="30" x14ac:dyDescent="0.25">
      <c r="A434" s="81"/>
      <c r="B434" s="81" t="s">
        <v>8</v>
      </c>
      <c r="C434" s="81" t="s">
        <v>144</v>
      </c>
      <c r="D434" s="81" t="s">
        <v>10</v>
      </c>
      <c r="E434" s="81" t="s">
        <v>1744</v>
      </c>
      <c r="F434" s="81" t="s">
        <v>159</v>
      </c>
      <c r="G434" s="81" t="s">
        <v>1745</v>
      </c>
      <c r="H434" s="81"/>
      <c r="I434" s="81"/>
      <c r="J434" s="81"/>
      <c r="K434" s="81"/>
      <c r="L434" s="81"/>
      <c r="M434" s="82" t="s">
        <v>52</v>
      </c>
      <c r="N434" s="82"/>
      <c r="O434" s="82"/>
      <c r="P434" s="82"/>
      <c r="Q434" s="82" t="s">
        <v>1746</v>
      </c>
      <c r="R434" s="111">
        <v>45628</v>
      </c>
      <c r="S434" s="82" t="s">
        <v>11</v>
      </c>
      <c r="T434" s="81" t="s">
        <v>144</v>
      </c>
      <c r="U434" s="81" t="s">
        <v>144</v>
      </c>
    </row>
    <row r="435" spans="1:21" ht="30" x14ac:dyDescent="0.25">
      <c r="A435" s="81"/>
      <c r="B435" s="81" t="s">
        <v>8</v>
      </c>
      <c r="C435" s="81" t="s">
        <v>144</v>
      </c>
      <c r="D435" s="81" t="s">
        <v>10</v>
      </c>
      <c r="E435" s="81" t="s">
        <v>1747</v>
      </c>
      <c r="F435" s="81" t="s">
        <v>150</v>
      </c>
      <c r="G435" s="81" t="s">
        <v>1748</v>
      </c>
      <c r="H435" s="81"/>
      <c r="I435" s="81"/>
      <c r="J435" s="81"/>
      <c r="K435" s="81"/>
      <c r="L435" s="81"/>
      <c r="M435" s="82" t="s">
        <v>52</v>
      </c>
      <c r="N435" s="82"/>
      <c r="O435" s="82"/>
      <c r="P435" s="82"/>
      <c r="Q435" s="82" t="s">
        <v>1749</v>
      </c>
      <c r="R435" s="111">
        <v>45698</v>
      </c>
      <c r="S435" s="82" t="s">
        <v>1750</v>
      </c>
      <c r="T435" s="81" t="s">
        <v>144</v>
      </c>
      <c r="U435" s="81" t="s">
        <v>144</v>
      </c>
    </row>
    <row r="436" spans="1:21" ht="30" x14ac:dyDescent="0.25">
      <c r="A436" s="81"/>
      <c r="B436" s="81" t="s">
        <v>8</v>
      </c>
      <c r="C436" s="81" t="s">
        <v>144</v>
      </c>
      <c r="D436" s="81" t="s">
        <v>10</v>
      </c>
      <c r="E436" s="81" t="s">
        <v>1751</v>
      </c>
      <c r="F436" s="81" t="s">
        <v>159</v>
      </c>
      <c r="G436" s="81" t="s">
        <v>1752</v>
      </c>
      <c r="H436" s="81"/>
      <c r="I436" s="81"/>
      <c r="J436" s="81"/>
      <c r="K436" s="81"/>
      <c r="L436" s="81"/>
      <c r="M436" s="82" t="s">
        <v>52</v>
      </c>
      <c r="N436" s="82"/>
      <c r="O436" s="82"/>
      <c r="P436" s="82"/>
      <c r="Q436" s="82" t="s">
        <v>1753</v>
      </c>
      <c r="R436" s="111">
        <v>45692</v>
      </c>
      <c r="S436" s="82" t="s">
        <v>1750</v>
      </c>
      <c r="T436" s="81" t="s">
        <v>144</v>
      </c>
      <c r="U436" s="81" t="s">
        <v>3323</v>
      </c>
    </row>
    <row r="437" spans="1:21" ht="30" x14ac:dyDescent="0.25">
      <c r="A437" s="81"/>
      <c r="B437" s="81" t="s">
        <v>8</v>
      </c>
      <c r="C437" s="81" t="s">
        <v>144</v>
      </c>
      <c r="D437" s="81" t="s">
        <v>10</v>
      </c>
      <c r="E437" s="81" t="s">
        <v>1754</v>
      </c>
      <c r="F437" s="81" t="s">
        <v>167</v>
      </c>
      <c r="G437" s="81" t="s">
        <v>1755</v>
      </c>
      <c r="H437" s="81"/>
      <c r="I437" s="81"/>
      <c r="J437" s="81"/>
      <c r="K437" s="81"/>
      <c r="L437" s="81"/>
      <c r="M437" s="82" t="s">
        <v>52</v>
      </c>
      <c r="N437" s="82"/>
      <c r="O437" s="82"/>
      <c r="P437" s="82"/>
      <c r="Q437" s="82" t="s">
        <v>1756</v>
      </c>
      <c r="R437" s="111">
        <v>45692</v>
      </c>
      <c r="S437" s="82" t="s">
        <v>9</v>
      </c>
      <c r="T437" s="81" t="s">
        <v>144</v>
      </c>
      <c r="U437" s="81" t="s">
        <v>144</v>
      </c>
    </row>
    <row r="438" spans="1:21" ht="30" x14ac:dyDescent="0.25">
      <c r="A438" s="81"/>
      <c r="B438" s="81" t="s">
        <v>8</v>
      </c>
      <c r="C438" s="81" t="s">
        <v>144</v>
      </c>
      <c r="D438" s="81" t="s">
        <v>10</v>
      </c>
      <c r="E438" s="81" t="s">
        <v>1757</v>
      </c>
      <c r="F438" s="81" t="s">
        <v>167</v>
      </c>
      <c r="G438" s="81" t="s">
        <v>1758</v>
      </c>
      <c r="H438" s="81"/>
      <c r="I438" s="81"/>
      <c r="J438" s="81"/>
      <c r="K438" s="81"/>
      <c r="L438" s="81"/>
      <c r="M438" s="82" t="s">
        <v>52</v>
      </c>
      <c r="N438" s="82"/>
      <c r="O438" s="82"/>
      <c r="P438" s="82"/>
      <c r="Q438" s="82" t="s">
        <v>1756</v>
      </c>
      <c r="R438" s="111">
        <v>45692</v>
      </c>
      <c r="S438" s="82" t="s">
        <v>9</v>
      </c>
      <c r="T438" s="81" t="s">
        <v>144</v>
      </c>
      <c r="U438" s="81" t="s">
        <v>144</v>
      </c>
    </row>
    <row r="439" spans="1:21" ht="30" x14ac:dyDescent="0.25">
      <c r="A439" s="81"/>
      <c r="B439" s="81" t="s">
        <v>8</v>
      </c>
      <c r="C439" s="81" t="s">
        <v>144</v>
      </c>
      <c r="D439" s="81" t="s">
        <v>10</v>
      </c>
      <c r="E439" s="81" t="s">
        <v>1759</v>
      </c>
      <c r="F439" s="81" t="s">
        <v>167</v>
      </c>
      <c r="G439" s="81" t="s">
        <v>1760</v>
      </c>
      <c r="H439" s="81"/>
      <c r="I439" s="81"/>
      <c r="J439" s="81"/>
      <c r="K439" s="81"/>
      <c r="L439" s="81"/>
      <c r="M439" s="82" t="s">
        <v>52</v>
      </c>
      <c r="N439" s="82"/>
      <c r="O439" s="82"/>
      <c r="P439" s="82"/>
      <c r="Q439" s="82" t="s">
        <v>1756</v>
      </c>
      <c r="R439" s="111">
        <v>45692</v>
      </c>
      <c r="S439" s="82" t="s">
        <v>9</v>
      </c>
      <c r="T439" s="81" t="s">
        <v>144</v>
      </c>
      <c r="U439" s="81" t="s">
        <v>144</v>
      </c>
    </row>
    <row r="440" spans="1:21" x14ac:dyDescent="0.25">
      <c r="A440" s="81"/>
      <c r="B440" s="81" t="s">
        <v>8</v>
      </c>
      <c r="C440" s="81" t="s">
        <v>144</v>
      </c>
      <c r="D440" s="81" t="s">
        <v>10</v>
      </c>
      <c r="E440" s="81" t="s">
        <v>1761</v>
      </c>
      <c r="F440" s="81" t="s">
        <v>150</v>
      </c>
      <c r="G440" s="81" t="s">
        <v>1762</v>
      </c>
      <c r="H440" s="81"/>
      <c r="I440" s="81"/>
      <c r="J440" s="81"/>
      <c r="K440" s="81"/>
      <c r="L440" s="81"/>
      <c r="M440" s="82" t="s">
        <v>52</v>
      </c>
      <c r="N440" s="82"/>
      <c r="O440" s="82"/>
      <c r="P440" s="82"/>
      <c r="Q440" s="82" t="s">
        <v>1763</v>
      </c>
      <c r="R440" s="111">
        <v>45674</v>
      </c>
      <c r="S440" s="82" t="s">
        <v>238</v>
      </c>
      <c r="T440" s="81" t="s">
        <v>144</v>
      </c>
      <c r="U440" s="81" t="s">
        <v>144</v>
      </c>
    </row>
    <row r="441" spans="1:21" ht="45" x14ac:dyDescent="0.25">
      <c r="A441" s="81"/>
      <c r="B441" s="81" t="s">
        <v>8</v>
      </c>
      <c r="C441" s="81" t="s">
        <v>144</v>
      </c>
      <c r="D441" s="81" t="s">
        <v>10</v>
      </c>
      <c r="E441" s="81" t="s">
        <v>1764</v>
      </c>
      <c r="F441" s="81" t="s">
        <v>167</v>
      </c>
      <c r="G441" s="81" t="s">
        <v>1765</v>
      </c>
      <c r="H441" s="81"/>
      <c r="I441" s="81"/>
      <c r="J441" s="81"/>
      <c r="K441" s="81"/>
      <c r="L441" s="81"/>
      <c r="M441" s="82" t="s">
        <v>52</v>
      </c>
      <c r="N441" s="82"/>
      <c r="O441" s="82"/>
      <c r="P441" s="82"/>
      <c r="Q441" s="82" t="s">
        <v>1766</v>
      </c>
      <c r="R441" s="111">
        <v>45693</v>
      </c>
      <c r="S441" s="82" t="s">
        <v>1690</v>
      </c>
      <c r="T441" s="81" t="s">
        <v>144</v>
      </c>
      <c r="U441" s="81" t="s">
        <v>144</v>
      </c>
    </row>
    <row r="442" spans="1:21" ht="30" x14ac:dyDescent="0.25">
      <c r="A442" s="81"/>
      <c r="B442" s="81" t="s">
        <v>8</v>
      </c>
      <c r="C442" s="81" t="s">
        <v>144</v>
      </c>
      <c r="D442" s="81" t="s">
        <v>10</v>
      </c>
      <c r="E442" s="81" t="s">
        <v>1767</v>
      </c>
      <c r="F442" s="81" t="s">
        <v>200</v>
      </c>
      <c r="G442" s="81" t="s">
        <v>1768</v>
      </c>
      <c r="H442" s="81"/>
      <c r="I442" s="81"/>
      <c r="J442" s="81"/>
      <c r="K442" s="81"/>
      <c r="L442" s="81"/>
      <c r="M442" s="82" t="s">
        <v>52</v>
      </c>
      <c r="N442" s="82"/>
      <c r="O442" s="82"/>
      <c r="P442" s="82"/>
      <c r="Q442" s="82" t="s">
        <v>1769</v>
      </c>
      <c r="R442" s="111">
        <v>45693</v>
      </c>
      <c r="S442" s="82" t="s">
        <v>254</v>
      </c>
      <c r="T442" s="81" t="s">
        <v>144</v>
      </c>
      <c r="U442" s="81" t="s">
        <v>144</v>
      </c>
    </row>
    <row r="443" spans="1:21" ht="30" x14ac:dyDescent="0.25">
      <c r="A443" s="81"/>
      <c r="B443" s="81" t="s">
        <v>8</v>
      </c>
      <c r="C443" s="81" t="s">
        <v>144</v>
      </c>
      <c r="D443" s="81" t="s">
        <v>10</v>
      </c>
      <c r="E443" s="81" t="s">
        <v>1770</v>
      </c>
      <c r="F443" s="81" t="s">
        <v>200</v>
      </c>
      <c r="G443" s="81" t="s">
        <v>1771</v>
      </c>
      <c r="H443" s="81"/>
      <c r="I443" s="81"/>
      <c r="J443" s="81"/>
      <c r="K443" s="81"/>
      <c r="L443" s="81"/>
      <c r="M443" s="82" t="s">
        <v>52</v>
      </c>
      <c r="N443" s="82"/>
      <c r="O443" s="82"/>
      <c r="P443" s="82"/>
      <c r="Q443" s="82" t="s">
        <v>1772</v>
      </c>
      <c r="R443" s="111">
        <v>45693</v>
      </c>
      <c r="S443" s="82" t="s">
        <v>9</v>
      </c>
      <c r="T443" s="81" t="s">
        <v>144</v>
      </c>
      <c r="U443" s="81" t="s">
        <v>144</v>
      </c>
    </row>
    <row r="444" spans="1:21" ht="30" x14ac:dyDescent="0.25">
      <c r="A444" s="81"/>
      <c r="B444" s="81" t="s">
        <v>8</v>
      </c>
      <c r="C444" s="81" t="s">
        <v>144</v>
      </c>
      <c r="D444" s="81" t="s">
        <v>10</v>
      </c>
      <c r="E444" s="81" t="s">
        <v>1773</v>
      </c>
      <c r="F444" s="81" t="s">
        <v>199</v>
      </c>
      <c r="G444" s="81" t="s">
        <v>1774</v>
      </c>
      <c r="H444" s="81"/>
      <c r="I444" s="81"/>
      <c r="J444" s="81"/>
      <c r="K444" s="81"/>
      <c r="L444" s="81"/>
      <c r="M444" s="82" t="s">
        <v>52</v>
      </c>
      <c r="N444" s="82"/>
      <c r="O444" s="82"/>
      <c r="P444" s="82"/>
      <c r="Q444" s="82"/>
      <c r="R444" s="111">
        <v>45691</v>
      </c>
      <c r="S444" s="82" t="s">
        <v>9</v>
      </c>
      <c r="T444" s="81" t="s">
        <v>144</v>
      </c>
      <c r="U444" s="81" t="s">
        <v>144</v>
      </c>
    </row>
    <row r="445" spans="1:21" x14ac:dyDescent="0.25">
      <c r="A445" s="81"/>
      <c r="B445" s="81" t="s">
        <v>8</v>
      </c>
      <c r="C445" s="81" t="s">
        <v>144</v>
      </c>
      <c r="D445" s="81" t="s">
        <v>10</v>
      </c>
      <c r="E445" s="81" t="s">
        <v>1775</v>
      </c>
      <c r="F445" s="81" t="s">
        <v>160</v>
      </c>
      <c r="G445" s="81" t="s">
        <v>1776</v>
      </c>
      <c r="H445" s="81"/>
      <c r="I445" s="81"/>
      <c r="J445" s="81"/>
      <c r="K445" s="81"/>
      <c r="L445" s="81"/>
      <c r="M445" s="82" t="s">
        <v>52</v>
      </c>
      <c r="N445" s="82"/>
      <c r="O445" s="82"/>
      <c r="P445" s="82"/>
      <c r="Q445" s="82" t="s">
        <v>1777</v>
      </c>
      <c r="R445" s="111">
        <v>45574</v>
      </c>
      <c r="S445" s="82"/>
      <c r="T445" s="81" t="s">
        <v>144</v>
      </c>
      <c r="U445" s="81" t="s">
        <v>144</v>
      </c>
    </row>
    <row r="446" spans="1:21" x14ac:dyDescent="0.25">
      <c r="A446" s="81"/>
      <c r="B446" s="81" t="s">
        <v>8</v>
      </c>
      <c r="C446" s="81" t="s">
        <v>144</v>
      </c>
      <c r="D446" s="81" t="s">
        <v>10</v>
      </c>
      <c r="E446" s="81" t="s">
        <v>1778</v>
      </c>
      <c r="F446" s="81" t="s">
        <v>203</v>
      </c>
      <c r="G446" s="81" t="s">
        <v>1779</v>
      </c>
      <c r="H446" s="81"/>
      <c r="I446" s="81"/>
      <c r="J446" s="81"/>
      <c r="K446" s="81"/>
      <c r="L446" s="81"/>
      <c r="M446" s="82" t="s">
        <v>52</v>
      </c>
      <c r="N446" s="82"/>
      <c r="O446" s="82"/>
      <c r="P446" s="82"/>
      <c r="Q446" s="82" t="s">
        <v>1780</v>
      </c>
      <c r="R446" s="111"/>
      <c r="S446" s="82"/>
      <c r="T446" s="81" t="s">
        <v>144</v>
      </c>
      <c r="U446" s="81" t="s">
        <v>144</v>
      </c>
    </row>
    <row r="447" spans="1:21" ht="30" x14ac:dyDescent="0.25">
      <c r="A447" s="81"/>
      <c r="B447" s="81" t="s">
        <v>8</v>
      </c>
      <c r="C447" s="81" t="s">
        <v>144</v>
      </c>
      <c r="D447" s="81" t="s">
        <v>10</v>
      </c>
      <c r="E447" s="81" t="s">
        <v>1781</v>
      </c>
      <c r="F447" s="81" t="s">
        <v>159</v>
      </c>
      <c r="G447" s="81" t="s">
        <v>1782</v>
      </c>
      <c r="H447" s="81"/>
      <c r="I447" s="81"/>
      <c r="J447" s="81"/>
      <c r="K447" s="81"/>
      <c r="L447" s="81"/>
      <c r="M447" s="82" t="s">
        <v>52</v>
      </c>
      <c r="N447" s="82"/>
      <c r="O447" s="82"/>
      <c r="P447" s="82"/>
      <c r="Q447" s="82" t="s">
        <v>1783</v>
      </c>
      <c r="R447" s="111">
        <v>45688</v>
      </c>
      <c r="S447" s="82" t="s">
        <v>1750</v>
      </c>
      <c r="T447" s="81" t="s">
        <v>144</v>
      </c>
      <c r="U447" s="81" t="s">
        <v>144</v>
      </c>
    </row>
    <row r="448" spans="1:21" ht="30" x14ac:dyDescent="0.25">
      <c r="A448" s="81"/>
      <c r="B448" s="81" t="s">
        <v>8</v>
      </c>
      <c r="C448" s="81" t="s">
        <v>144</v>
      </c>
      <c r="D448" s="81" t="s">
        <v>10</v>
      </c>
      <c r="E448" s="81" t="s">
        <v>1784</v>
      </c>
      <c r="F448" s="81" t="s">
        <v>150</v>
      </c>
      <c r="G448" s="81" t="s">
        <v>1785</v>
      </c>
      <c r="H448" s="81"/>
      <c r="I448" s="81"/>
      <c r="J448" s="81"/>
      <c r="K448" s="81"/>
      <c r="L448" s="81"/>
      <c r="M448" s="82" t="s">
        <v>52</v>
      </c>
      <c r="N448" s="82"/>
      <c r="O448" s="82"/>
      <c r="P448" s="82"/>
      <c r="Q448" s="82"/>
      <c r="R448" s="111">
        <v>45687</v>
      </c>
      <c r="S448" s="82" t="s">
        <v>1750</v>
      </c>
      <c r="T448" s="81" t="s">
        <v>144</v>
      </c>
      <c r="U448" s="81" t="s">
        <v>144</v>
      </c>
    </row>
    <row r="449" spans="1:21" x14ac:dyDescent="0.25">
      <c r="A449" s="81"/>
      <c r="B449" s="81" t="s">
        <v>8</v>
      </c>
      <c r="C449" s="81" t="s">
        <v>144</v>
      </c>
      <c r="D449" s="81" t="s">
        <v>10</v>
      </c>
      <c r="E449" s="81" t="s">
        <v>1786</v>
      </c>
      <c r="F449" s="81" t="s">
        <v>159</v>
      </c>
      <c r="G449" s="81" t="s">
        <v>1787</v>
      </c>
      <c r="H449" s="81"/>
      <c r="I449" s="81"/>
      <c r="J449" s="81"/>
      <c r="K449" s="81"/>
      <c r="L449" s="81"/>
      <c r="M449" s="82" t="s">
        <v>52</v>
      </c>
      <c r="N449" s="82"/>
      <c r="O449" s="82"/>
      <c r="P449" s="82"/>
      <c r="Q449" s="82" t="s">
        <v>1552</v>
      </c>
      <c r="R449" s="111">
        <v>45682</v>
      </c>
      <c r="S449" s="82" t="s">
        <v>1166</v>
      </c>
      <c r="T449" s="81" t="s">
        <v>144</v>
      </c>
      <c r="U449" s="81" t="s">
        <v>144</v>
      </c>
    </row>
    <row r="450" spans="1:21" x14ac:dyDescent="0.25">
      <c r="A450" s="81"/>
      <c r="B450" s="81" t="s">
        <v>8</v>
      </c>
      <c r="C450" s="81" t="s">
        <v>144</v>
      </c>
      <c r="D450" s="81" t="s">
        <v>10</v>
      </c>
      <c r="E450" s="81" t="s">
        <v>1788</v>
      </c>
      <c r="F450" s="81" t="s">
        <v>159</v>
      </c>
      <c r="G450" s="81" t="s">
        <v>1789</v>
      </c>
      <c r="H450" s="81"/>
      <c r="I450" s="81"/>
      <c r="J450" s="81"/>
      <c r="K450" s="81"/>
      <c r="L450" s="81"/>
      <c r="M450" s="82" t="s">
        <v>52</v>
      </c>
      <c r="N450" s="82"/>
      <c r="O450" s="82"/>
      <c r="P450" s="82"/>
      <c r="Q450" s="82" t="s">
        <v>1790</v>
      </c>
      <c r="R450" s="111">
        <v>45686</v>
      </c>
      <c r="S450" s="82" t="s">
        <v>238</v>
      </c>
      <c r="T450" s="81" t="s">
        <v>144</v>
      </c>
      <c r="U450" s="81" t="s">
        <v>3324</v>
      </c>
    </row>
    <row r="451" spans="1:21" ht="30" x14ac:dyDescent="0.25">
      <c r="A451" s="81"/>
      <c r="B451" s="81" t="s">
        <v>8</v>
      </c>
      <c r="C451" s="81" t="s">
        <v>144</v>
      </c>
      <c r="D451" s="81" t="s">
        <v>10</v>
      </c>
      <c r="E451" s="81" t="s">
        <v>1791</v>
      </c>
      <c r="F451" s="81" t="s">
        <v>160</v>
      </c>
      <c r="G451" s="81" t="s">
        <v>1792</v>
      </c>
      <c r="H451" s="81"/>
      <c r="I451" s="81"/>
      <c r="J451" s="81"/>
      <c r="K451" s="81"/>
      <c r="L451" s="81"/>
      <c r="M451" s="82" t="s">
        <v>52</v>
      </c>
      <c r="N451" s="82"/>
      <c r="O451" s="82"/>
      <c r="P451" s="82"/>
      <c r="Q451" s="82" t="s">
        <v>1793</v>
      </c>
      <c r="R451" s="111">
        <v>45685</v>
      </c>
      <c r="S451" s="82" t="s">
        <v>238</v>
      </c>
      <c r="T451" s="81" t="s">
        <v>144</v>
      </c>
      <c r="U451" s="81" t="s">
        <v>144</v>
      </c>
    </row>
    <row r="452" spans="1:21" ht="60" x14ac:dyDescent="0.25">
      <c r="A452" s="81"/>
      <c r="B452" s="81" t="s">
        <v>8</v>
      </c>
      <c r="C452" s="81" t="s">
        <v>144</v>
      </c>
      <c r="D452" s="81" t="s">
        <v>10</v>
      </c>
      <c r="E452" s="81" t="s">
        <v>1794</v>
      </c>
      <c r="F452" s="81" t="s">
        <v>150</v>
      </c>
      <c r="G452" s="81" t="s">
        <v>1795</v>
      </c>
      <c r="H452" s="81"/>
      <c r="I452" s="81"/>
      <c r="J452" s="81"/>
      <c r="K452" s="81"/>
      <c r="L452" s="81"/>
      <c r="M452" s="82" t="s">
        <v>52</v>
      </c>
      <c r="N452" s="82"/>
      <c r="O452" s="82"/>
      <c r="P452" s="82"/>
      <c r="Q452" s="82" t="s">
        <v>1796</v>
      </c>
      <c r="R452" s="111">
        <v>45673</v>
      </c>
      <c r="S452" s="82" t="s">
        <v>238</v>
      </c>
      <c r="T452" s="81" t="s">
        <v>144</v>
      </c>
      <c r="U452" s="81" t="s">
        <v>3325</v>
      </c>
    </row>
    <row r="453" spans="1:21" x14ac:dyDescent="0.25">
      <c r="A453" s="81"/>
      <c r="B453" s="81" t="s">
        <v>8</v>
      </c>
      <c r="C453" s="81" t="s">
        <v>144</v>
      </c>
      <c r="D453" s="81" t="s">
        <v>10</v>
      </c>
      <c r="E453" s="81" t="s">
        <v>1797</v>
      </c>
      <c r="F453" s="81" t="s">
        <v>168</v>
      </c>
      <c r="G453" s="81" t="s">
        <v>1798</v>
      </c>
      <c r="H453" s="81"/>
      <c r="I453" s="81"/>
      <c r="J453" s="81"/>
      <c r="K453" s="81"/>
      <c r="L453" s="81"/>
      <c r="M453" s="82" t="s">
        <v>52</v>
      </c>
      <c r="N453" s="82"/>
      <c r="O453" s="82"/>
      <c r="P453" s="82"/>
      <c r="Q453" s="82" t="s">
        <v>1799</v>
      </c>
      <c r="R453" s="111">
        <v>45686</v>
      </c>
      <c r="S453" s="82" t="s">
        <v>238</v>
      </c>
      <c r="T453" s="81" t="s">
        <v>144</v>
      </c>
      <c r="U453" s="81" t="s">
        <v>144</v>
      </c>
    </row>
    <row r="454" spans="1:21" ht="30" x14ac:dyDescent="0.25">
      <c r="A454" s="81"/>
      <c r="B454" s="81" t="s">
        <v>8</v>
      </c>
      <c r="C454" s="81" t="s">
        <v>144</v>
      </c>
      <c r="D454" s="81" t="s">
        <v>10</v>
      </c>
      <c r="E454" s="81" t="s">
        <v>1800</v>
      </c>
      <c r="F454" s="81" t="s">
        <v>150</v>
      </c>
      <c r="G454" s="81" t="s">
        <v>1801</v>
      </c>
      <c r="H454" s="81"/>
      <c r="I454" s="81"/>
      <c r="J454" s="81"/>
      <c r="K454" s="81"/>
      <c r="L454" s="81"/>
      <c r="M454" s="82" t="s">
        <v>52</v>
      </c>
      <c r="N454" s="82"/>
      <c r="O454" s="82"/>
      <c r="P454" s="82"/>
      <c r="Q454" s="82" t="s">
        <v>1802</v>
      </c>
      <c r="R454" s="111">
        <v>45684</v>
      </c>
      <c r="S454" s="82" t="s">
        <v>238</v>
      </c>
      <c r="T454" s="81" t="s">
        <v>144</v>
      </c>
      <c r="U454" s="81" t="s">
        <v>144</v>
      </c>
    </row>
    <row r="455" spans="1:21" x14ac:dyDescent="0.25">
      <c r="A455" s="81"/>
      <c r="B455" s="81" t="s">
        <v>8</v>
      </c>
      <c r="C455" s="81" t="s">
        <v>144</v>
      </c>
      <c r="D455" s="81" t="s">
        <v>10</v>
      </c>
      <c r="E455" s="81" t="s">
        <v>1803</v>
      </c>
      <c r="F455" s="81" t="s">
        <v>168</v>
      </c>
      <c r="G455" s="81" t="s">
        <v>1804</v>
      </c>
      <c r="H455" s="81"/>
      <c r="I455" s="81"/>
      <c r="J455" s="81"/>
      <c r="K455" s="81"/>
      <c r="L455" s="81"/>
      <c r="M455" s="82" t="s">
        <v>52</v>
      </c>
      <c r="N455" s="82"/>
      <c r="O455" s="82"/>
      <c r="P455" s="82"/>
      <c r="Q455" s="82" t="s">
        <v>1133</v>
      </c>
      <c r="R455" s="111">
        <v>45681</v>
      </c>
      <c r="S455" s="82" t="s">
        <v>238</v>
      </c>
      <c r="T455" s="81" t="s">
        <v>144</v>
      </c>
      <c r="U455" s="81" t="s">
        <v>3326</v>
      </c>
    </row>
    <row r="456" spans="1:21" ht="30" x14ac:dyDescent="0.25">
      <c r="A456" s="81"/>
      <c r="B456" s="81" t="s">
        <v>8</v>
      </c>
      <c r="C456" s="81" t="s">
        <v>144</v>
      </c>
      <c r="D456" s="81" t="s">
        <v>10</v>
      </c>
      <c r="E456" s="81" t="s">
        <v>1805</v>
      </c>
      <c r="F456" s="81" t="s">
        <v>159</v>
      </c>
      <c r="G456" s="81" t="s">
        <v>1806</v>
      </c>
      <c r="H456" s="81"/>
      <c r="I456" s="81"/>
      <c r="J456" s="81"/>
      <c r="K456" s="81"/>
      <c r="L456" s="81"/>
      <c r="M456" s="82" t="s">
        <v>52</v>
      </c>
      <c r="N456" s="82"/>
      <c r="O456" s="82"/>
      <c r="P456" s="82"/>
      <c r="Q456" s="82"/>
      <c r="R456" s="111">
        <v>45680</v>
      </c>
      <c r="S456" s="82" t="s">
        <v>20</v>
      </c>
      <c r="T456" s="81" t="s">
        <v>144</v>
      </c>
      <c r="U456" s="81" t="s">
        <v>144</v>
      </c>
    </row>
    <row r="457" spans="1:21" x14ac:dyDescent="0.25">
      <c r="A457" s="81"/>
      <c r="B457" s="81" t="s">
        <v>8</v>
      </c>
      <c r="C457" s="81" t="s">
        <v>144</v>
      </c>
      <c r="D457" s="81" t="s">
        <v>10</v>
      </c>
      <c r="E457" s="81" t="s">
        <v>1807</v>
      </c>
      <c r="F457" s="81" t="s">
        <v>202</v>
      </c>
      <c r="G457" s="81" t="s">
        <v>1808</v>
      </c>
      <c r="H457" s="81"/>
      <c r="I457" s="81"/>
      <c r="J457" s="81"/>
      <c r="K457" s="81"/>
      <c r="L457" s="81"/>
      <c r="M457" s="82" t="s">
        <v>52</v>
      </c>
      <c r="N457" s="82"/>
      <c r="O457" s="82"/>
      <c r="P457" s="82"/>
      <c r="Q457" s="82" t="s">
        <v>1809</v>
      </c>
      <c r="R457" s="111">
        <v>45680</v>
      </c>
      <c r="S457" s="82" t="s">
        <v>238</v>
      </c>
      <c r="T457" s="81" t="s">
        <v>144</v>
      </c>
      <c r="U457" s="81" t="s">
        <v>144</v>
      </c>
    </row>
    <row r="458" spans="1:21" ht="30" x14ac:dyDescent="0.25">
      <c r="A458" s="81"/>
      <c r="B458" s="81" t="s">
        <v>8</v>
      </c>
      <c r="C458" s="81" t="s">
        <v>144</v>
      </c>
      <c r="D458" s="81" t="s">
        <v>10</v>
      </c>
      <c r="E458" s="81" t="s">
        <v>1810</v>
      </c>
      <c r="F458" s="81" t="s">
        <v>3306</v>
      </c>
      <c r="G458" s="81" t="s">
        <v>1811</v>
      </c>
      <c r="H458" s="81"/>
      <c r="I458" s="81"/>
      <c r="J458" s="81"/>
      <c r="K458" s="81"/>
      <c r="L458" s="81"/>
      <c r="M458" s="82" t="s">
        <v>52</v>
      </c>
      <c r="N458" s="82"/>
      <c r="O458" s="82"/>
      <c r="P458" s="82"/>
      <c r="Q458" s="82" t="s">
        <v>1812</v>
      </c>
      <c r="R458" s="111">
        <v>45680</v>
      </c>
      <c r="S458" s="82" t="s">
        <v>238</v>
      </c>
      <c r="T458" s="81" t="s">
        <v>144</v>
      </c>
      <c r="U458" s="81" t="s">
        <v>144</v>
      </c>
    </row>
    <row r="459" spans="1:21" x14ac:dyDescent="0.25">
      <c r="A459" s="81"/>
      <c r="B459" s="81" t="s">
        <v>8</v>
      </c>
      <c r="C459" s="81" t="s">
        <v>144</v>
      </c>
      <c r="D459" s="81" t="s">
        <v>10</v>
      </c>
      <c r="E459" s="81" t="s">
        <v>1813</v>
      </c>
      <c r="F459" s="81" t="s">
        <v>168</v>
      </c>
      <c r="G459" s="81" t="s">
        <v>1814</v>
      </c>
      <c r="H459" s="81"/>
      <c r="I459" s="81"/>
      <c r="J459" s="81"/>
      <c r="K459" s="81"/>
      <c r="L459" s="81"/>
      <c r="M459" s="82" t="s">
        <v>52</v>
      </c>
      <c r="N459" s="82"/>
      <c r="O459" s="82"/>
      <c r="P459" s="82"/>
      <c r="Q459" s="82" t="s">
        <v>1815</v>
      </c>
      <c r="R459" s="111">
        <v>45678</v>
      </c>
      <c r="S459" s="82" t="s">
        <v>20</v>
      </c>
      <c r="T459" s="81" t="s">
        <v>144</v>
      </c>
      <c r="U459" s="81" t="s">
        <v>144</v>
      </c>
    </row>
    <row r="460" spans="1:21" ht="30" x14ac:dyDescent="0.25">
      <c r="A460" s="81"/>
      <c r="B460" s="81" t="s">
        <v>8</v>
      </c>
      <c r="C460" s="81" t="s">
        <v>144</v>
      </c>
      <c r="D460" s="81" t="s">
        <v>10</v>
      </c>
      <c r="E460" s="81" t="s">
        <v>1816</v>
      </c>
      <c r="F460" s="81" t="s">
        <v>168</v>
      </c>
      <c r="G460" s="81" t="s">
        <v>1817</v>
      </c>
      <c r="H460" s="81"/>
      <c r="I460" s="81"/>
      <c r="J460" s="81"/>
      <c r="K460" s="81"/>
      <c r="L460" s="81"/>
      <c r="M460" s="82" t="s">
        <v>52</v>
      </c>
      <c r="N460" s="82"/>
      <c r="O460" s="82"/>
      <c r="P460" s="82"/>
      <c r="Q460" s="82" t="s">
        <v>1818</v>
      </c>
      <c r="R460" s="111">
        <v>45678</v>
      </c>
      <c r="S460" s="82" t="s">
        <v>20</v>
      </c>
      <c r="T460" s="81" t="s">
        <v>144</v>
      </c>
      <c r="U460" s="81" t="s">
        <v>144</v>
      </c>
    </row>
    <row r="461" spans="1:21" ht="30" x14ac:dyDescent="0.25">
      <c r="A461" s="81"/>
      <c r="B461" s="81" t="s">
        <v>8</v>
      </c>
      <c r="C461" s="81" t="s">
        <v>144</v>
      </c>
      <c r="D461" s="81" t="s">
        <v>10</v>
      </c>
      <c r="E461" s="81" t="s">
        <v>1819</v>
      </c>
      <c r="F461" s="81" t="s">
        <v>202</v>
      </c>
      <c r="G461" s="81" t="s">
        <v>1820</v>
      </c>
      <c r="H461" s="81"/>
      <c r="I461" s="81"/>
      <c r="J461" s="81"/>
      <c r="K461" s="81"/>
      <c r="L461" s="81"/>
      <c r="M461" s="82" t="s">
        <v>52</v>
      </c>
      <c r="N461" s="82"/>
      <c r="O461" s="82"/>
      <c r="P461" s="82"/>
      <c r="Q461" s="82" t="s">
        <v>1821</v>
      </c>
      <c r="R461" s="111">
        <v>45311</v>
      </c>
      <c r="S461" s="82" t="s">
        <v>1822</v>
      </c>
      <c r="T461" s="81" t="s">
        <v>144</v>
      </c>
      <c r="U461" s="81" t="s">
        <v>144</v>
      </c>
    </row>
    <row r="462" spans="1:21" ht="30" x14ac:dyDescent="0.25">
      <c r="A462" s="81"/>
      <c r="B462" s="81" t="s">
        <v>8</v>
      </c>
      <c r="C462" s="81" t="s">
        <v>144</v>
      </c>
      <c r="D462" s="81" t="s">
        <v>10</v>
      </c>
      <c r="E462" s="81" t="s">
        <v>1823</v>
      </c>
      <c r="F462" s="81" t="s">
        <v>201</v>
      </c>
      <c r="G462" s="81" t="s">
        <v>1824</v>
      </c>
      <c r="H462" s="81"/>
      <c r="I462" s="81"/>
      <c r="J462" s="81"/>
      <c r="K462" s="81"/>
      <c r="L462" s="81"/>
      <c r="M462" s="82" t="s">
        <v>52</v>
      </c>
      <c r="N462" s="82"/>
      <c r="O462" s="82"/>
      <c r="P462" s="82"/>
      <c r="Q462" s="82"/>
      <c r="R462" s="111"/>
      <c r="S462" s="82"/>
      <c r="T462" s="81" t="s">
        <v>144</v>
      </c>
      <c r="U462" s="81" t="s">
        <v>144</v>
      </c>
    </row>
    <row r="463" spans="1:21" x14ac:dyDescent="0.25">
      <c r="A463" s="81"/>
      <c r="B463" s="81" t="s">
        <v>8</v>
      </c>
      <c r="C463" s="81" t="s">
        <v>144</v>
      </c>
      <c r="D463" s="81" t="s">
        <v>10</v>
      </c>
      <c r="E463" s="81" t="s">
        <v>1825</v>
      </c>
      <c r="F463" s="81" t="s">
        <v>202</v>
      </c>
      <c r="G463" s="81" t="s">
        <v>1826</v>
      </c>
      <c r="H463" s="81"/>
      <c r="I463" s="81"/>
      <c r="J463" s="81"/>
      <c r="K463" s="81"/>
      <c r="L463" s="81"/>
      <c r="M463" s="82" t="s">
        <v>52</v>
      </c>
      <c r="N463" s="82"/>
      <c r="O463" s="82"/>
      <c r="P463" s="82"/>
      <c r="Q463" s="82" t="s">
        <v>1827</v>
      </c>
      <c r="R463" s="111">
        <v>45308</v>
      </c>
      <c r="S463" s="82" t="s">
        <v>238</v>
      </c>
      <c r="T463" s="81" t="s">
        <v>144</v>
      </c>
      <c r="U463" s="81" t="s">
        <v>144</v>
      </c>
    </row>
    <row r="464" spans="1:21" x14ac:dyDescent="0.25">
      <c r="A464" s="81"/>
      <c r="B464" s="81" t="s">
        <v>8</v>
      </c>
      <c r="C464" s="81" t="s">
        <v>144</v>
      </c>
      <c r="D464" s="81" t="s">
        <v>10</v>
      </c>
      <c r="E464" s="81" t="s">
        <v>1828</v>
      </c>
      <c r="F464" s="81" t="s">
        <v>159</v>
      </c>
      <c r="G464" s="81" t="s">
        <v>1829</v>
      </c>
      <c r="H464" s="81"/>
      <c r="I464" s="81"/>
      <c r="J464" s="81"/>
      <c r="K464" s="81"/>
      <c r="L464" s="81"/>
      <c r="M464" s="82" t="s">
        <v>52</v>
      </c>
      <c r="N464" s="82"/>
      <c r="O464" s="82"/>
      <c r="P464" s="82"/>
      <c r="Q464" s="82" t="s">
        <v>1830</v>
      </c>
      <c r="R464" s="111">
        <v>45307</v>
      </c>
      <c r="S464" s="82" t="s">
        <v>1831</v>
      </c>
      <c r="T464" s="81" t="s">
        <v>144</v>
      </c>
      <c r="U464" s="81" t="s">
        <v>144</v>
      </c>
    </row>
    <row r="465" spans="1:21" ht="60" x14ac:dyDescent="0.25">
      <c r="A465" s="81"/>
      <c r="B465" s="81" t="s">
        <v>8</v>
      </c>
      <c r="C465" s="81" t="s">
        <v>144</v>
      </c>
      <c r="D465" s="81" t="s">
        <v>10</v>
      </c>
      <c r="E465" s="81" t="s">
        <v>1832</v>
      </c>
      <c r="F465" s="81" t="s">
        <v>3306</v>
      </c>
      <c r="G465" s="81" t="s">
        <v>1833</v>
      </c>
      <c r="H465" s="81"/>
      <c r="I465" s="81"/>
      <c r="J465" s="81"/>
      <c r="K465" s="81"/>
      <c r="L465" s="81"/>
      <c r="M465" s="82" t="s">
        <v>52</v>
      </c>
      <c r="N465" s="82"/>
      <c r="O465" s="82"/>
      <c r="P465" s="82"/>
      <c r="Q465" s="82" t="s">
        <v>1834</v>
      </c>
      <c r="R465" s="111">
        <v>45659</v>
      </c>
      <c r="S465" s="82" t="s">
        <v>11</v>
      </c>
      <c r="T465" s="81" t="s">
        <v>144</v>
      </c>
      <c r="U465" s="81" t="s">
        <v>144</v>
      </c>
    </row>
    <row r="466" spans="1:21" x14ac:dyDescent="0.25">
      <c r="A466" s="81"/>
      <c r="B466" s="81" t="s">
        <v>8</v>
      </c>
      <c r="C466" s="81" t="s">
        <v>144</v>
      </c>
      <c r="D466" s="81" t="s">
        <v>10</v>
      </c>
      <c r="E466" s="81" t="s">
        <v>1835</v>
      </c>
      <c r="F466" s="81" t="s">
        <v>167</v>
      </c>
      <c r="G466" s="81" t="s">
        <v>1836</v>
      </c>
      <c r="H466" s="81"/>
      <c r="I466" s="81"/>
      <c r="J466" s="81"/>
      <c r="K466" s="81"/>
      <c r="L466" s="81"/>
      <c r="M466" s="82" t="s">
        <v>52</v>
      </c>
      <c r="N466" s="82"/>
      <c r="O466" s="82"/>
      <c r="P466" s="82"/>
      <c r="Q466" s="82" t="s">
        <v>1837</v>
      </c>
      <c r="R466" s="111">
        <v>45673</v>
      </c>
      <c r="S466" s="82" t="s">
        <v>1838</v>
      </c>
      <c r="T466" s="81" t="s">
        <v>144</v>
      </c>
      <c r="U466" s="81" t="s">
        <v>144</v>
      </c>
    </row>
    <row r="467" spans="1:21" ht="30" x14ac:dyDescent="0.25">
      <c r="A467" s="81"/>
      <c r="B467" s="81" t="s">
        <v>8</v>
      </c>
      <c r="C467" s="81" t="s">
        <v>144</v>
      </c>
      <c r="D467" s="81" t="s">
        <v>10</v>
      </c>
      <c r="E467" s="81" t="s">
        <v>1839</v>
      </c>
      <c r="F467" s="81" t="s">
        <v>203</v>
      </c>
      <c r="G467" s="81" t="s">
        <v>1840</v>
      </c>
      <c r="H467" s="81"/>
      <c r="I467" s="81"/>
      <c r="J467" s="81"/>
      <c r="K467" s="81"/>
      <c r="L467" s="81"/>
      <c r="M467" s="82" t="s">
        <v>52</v>
      </c>
      <c r="N467" s="82"/>
      <c r="O467" s="82"/>
      <c r="P467" s="82"/>
      <c r="Q467" s="82" t="s">
        <v>1841</v>
      </c>
      <c r="R467" s="111">
        <v>45644</v>
      </c>
      <c r="S467" s="82" t="s">
        <v>20</v>
      </c>
      <c r="T467" s="81" t="s">
        <v>144</v>
      </c>
      <c r="U467" s="81" t="s">
        <v>144</v>
      </c>
    </row>
    <row r="468" spans="1:21" x14ac:dyDescent="0.25">
      <c r="A468" s="81"/>
      <c r="B468" s="81" t="s">
        <v>8</v>
      </c>
      <c r="C468" s="81" t="s">
        <v>144</v>
      </c>
      <c r="D468" s="81" t="s">
        <v>10</v>
      </c>
      <c r="E468" s="81" t="s">
        <v>1842</v>
      </c>
      <c r="F468" s="81" t="s">
        <v>148</v>
      </c>
      <c r="G468" s="81" t="s">
        <v>1843</v>
      </c>
      <c r="H468" s="81"/>
      <c r="I468" s="81"/>
      <c r="J468" s="81"/>
      <c r="K468" s="81"/>
      <c r="L468" s="81"/>
      <c r="M468" s="82" t="s">
        <v>52</v>
      </c>
      <c r="N468" s="82"/>
      <c r="O468" s="82"/>
      <c r="P468" s="82"/>
      <c r="Q468" s="82" t="s">
        <v>1844</v>
      </c>
      <c r="R468" s="111">
        <v>45671</v>
      </c>
      <c r="S468" s="82" t="s">
        <v>1845</v>
      </c>
      <c r="T468" s="81" t="s">
        <v>144</v>
      </c>
      <c r="U468" s="81" t="s">
        <v>144</v>
      </c>
    </row>
    <row r="469" spans="1:21" x14ac:dyDescent="0.25">
      <c r="A469" s="81"/>
      <c r="B469" s="81" t="s">
        <v>8</v>
      </c>
      <c r="C469" s="81" t="s">
        <v>144</v>
      </c>
      <c r="D469" s="81" t="s">
        <v>10</v>
      </c>
      <c r="E469" s="81" t="s">
        <v>1846</v>
      </c>
      <c r="F469" s="81" t="s">
        <v>199</v>
      </c>
      <c r="G469" s="81" t="s">
        <v>1847</v>
      </c>
      <c r="H469" s="81"/>
      <c r="I469" s="81"/>
      <c r="J469" s="81"/>
      <c r="K469" s="81"/>
      <c r="L469" s="81"/>
      <c r="M469" s="82" t="s">
        <v>52</v>
      </c>
      <c r="N469" s="82"/>
      <c r="O469" s="82"/>
      <c r="P469" s="82"/>
      <c r="Q469" s="82"/>
      <c r="R469" s="111">
        <v>45667</v>
      </c>
      <c r="S469" s="82" t="s">
        <v>20</v>
      </c>
      <c r="T469" s="81" t="s">
        <v>144</v>
      </c>
      <c r="U469" s="81" t="s">
        <v>3327</v>
      </c>
    </row>
    <row r="470" spans="1:21" ht="105" x14ac:dyDescent="0.25">
      <c r="A470" s="81"/>
      <c r="B470" s="81" t="s">
        <v>8</v>
      </c>
      <c r="C470" s="81" t="s">
        <v>144</v>
      </c>
      <c r="D470" s="81" t="s">
        <v>10</v>
      </c>
      <c r="E470" s="81" t="s">
        <v>1848</v>
      </c>
      <c r="F470" s="81" t="s">
        <v>160</v>
      </c>
      <c r="G470" s="81" t="s">
        <v>1849</v>
      </c>
      <c r="H470" s="81"/>
      <c r="I470" s="81"/>
      <c r="J470" s="81"/>
      <c r="K470" s="81"/>
      <c r="L470" s="81"/>
      <c r="M470" s="82" t="s">
        <v>52</v>
      </c>
      <c r="N470" s="82"/>
      <c r="O470" s="82"/>
      <c r="P470" s="82"/>
      <c r="Q470" s="82" t="s">
        <v>1850</v>
      </c>
      <c r="R470" s="111">
        <v>45638</v>
      </c>
      <c r="S470" s="82" t="s">
        <v>20</v>
      </c>
      <c r="T470" s="81" t="s">
        <v>144</v>
      </c>
      <c r="U470" s="81" t="s">
        <v>144</v>
      </c>
    </row>
    <row r="471" spans="1:21" x14ac:dyDescent="0.25">
      <c r="A471" s="81"/>
      <c r="B471" s="81" t="s">
        <v>8</v>
      </c>
      <c r="C471" s="81" t="s">
        <v>144</v>
      </c>
      <c r="D471" s="81" t="s">
        <v>10</v>
      </c>
      <c r="E471" s="81" t="s">
        <v>1851</v>
      </c>
      <c r="F471" s="81" t="s">
        <v>159</v>
      </c>
      <c r="G471" s="81" t="s">
        <v>1852</v>
      </c>
      <c r="H471" s="81"/>
      <c r="I471" s="81"/>
      <c r="J471" s="81"/>
      <c r="K471" s="81"/>
      <c r="L471" s="81"/>
      <c r="M471" s="82" t="s">
        <v>52</v>
      </c>
      <c r="N471" s="82"/>
      <c r="O471" s="82"/>
      <c r="P471" s="82"/>
      <c r="Q471" s="82"/>
      <c r="R471" s="111">
        <v>45656</v>
      </c>
      <c r="S471" s="82" t="s">
        <v>428</v>
      </c>
      <c r="T471" s="81" t="s">
        <v>144</v>
      </c>
      <c r="U471" s="81" t="s">
        <v>144</v>
      </c>
    </row>
    <row r="472" spans="1:21" ht="60" x14ac:dyDescent="0.25">
      <c r="A472" s="81"/>
      <c r="B472" s="81" t="s">
        <v>8</v>
      </c>
      <c r="C472" s="81" t="s">
        <v>144</v>
      </c>
      <c r="D472" s="81" t="s">
        <v>10</v>
      </c>
      <c r="E472" s="81" t="s">
        <v>1853</v>
      </c>
      <c r="F472" s="81" t="s">
        <v>160</v>
      </c>
      <c r="G472" s="81" t="s">
        <v>1854</v>
      </c>
      <c r="H472" s="81"/>
      <c r="I472" s="81"/>
      <c r="J472" s="81"/>
      <c r="K472" s="81"/>
      <c r="L472" s="81"/>
      <c r="M472" s="82" t="s">
        <v>52</v>
      </c>
      <c r="N472" s="82"/>
      <c r="O472" s="82"/>
      <c r="P472" s="82"/>
      <c r="Q472" s="82" t="s">
        <v>1855</v>
      </c>
      <c r="R472" s="111">
        <v>45665</v>
      </c>
      <c r="S472" s="82" t="s">
        <v>1856</v>
      </c>
      <c r="T472" s="81" t="s">
        <v>144</v>
      </c>
      <c r="U472" s="81" t="s">
        <v>144</v>
      </c>
    </row>
    <row r="473" spans="1:21" ht="30" x14ac:dyDescent="0.25">
      <c r="A473" s="81"/>
      <c r="B473" s="81" t="s">
        <v>8</v>
      </c>
      <c r="C473" s="81" t="s">
        <v>144</v>
      </c>
      <c r="D473" s="81" t="s">
        <v>10</v>
      </c>
      <c r="E473" s="81" t="s">
        <v>1857</v>
      </c>
      <c r="F473" s="81" t="s">
        <v>150</v>
      </c>
      <c r="G473" s="81" t="s">
        <v>1858</v>
      </c>
      <c r="H473" s="81"/>
      <c r="I473" s="81"/>
      <c r="J473" s="81"/>
      <c r="K473" s="81"/>
      <c r="L473" s="81"/>
      <c r="M473" s="82" t="s">
        <v>52</v>
      </c>
      <c r="N473" s="82"/>
      <c r="O473" s="82"/>
      <c r="P473" s="82"/>
      <c r="Q473" s="82" t="s">
        <v>1859</v>
      </c>
      <c r="R473" s="111"/>
      <c r="S473" s="82"/>
      <c r="T473" s="81" t="s">
        <v>144</v>
      </c>
      <c r="U473" s="81" t="s">
        <v>144</v>
      </c>
    </row>
    <row r="474" spans="1:21" ht="30" x14ac:dyDescent="0.25">
      <c r="A474" s="81"/>
      <c r="B474" s="81" t="s">
        <v>8</v>
      </c>
      <c r="C474" s="81" t="s">
        <v>144</v>
      </c>
      <c r="D474" s="81" t="s">
        <v>10</v>
      </c>
      <c r="E474" s="81" t="s">
        <v>1860</v>
      </c>
      <c r="F474" s="81" t="s">
        <v>157</v>
      </c>
      <c r="G474" s="81" t="s">
        <v>1861</v>
      </c>
      <c r="H474" s="81"/>
      <c r="I474" s="81"/>
      <c r="J474" s="81"/>
      <c r="K474" s="81"/>
      <c r="L474" s="81"/>
      <c r="M474" s="82" t="s">
        <v>52</v>
      </c>
      <c r="N474" s="82"/>
      <c r="O474" s="82"/>
      <c r="P474" s="82"/>
      <c r="Q474" s="82" t="s">
        <v>1862</v>
      </c>
      <c r="R474" s="111">
        <v>45664</v>
      </c>
      <c r="S474" s="82" t="s">
        <v>1863</v>
      </c>
      <c r="T474" s="81" t="s">
        <v>144</v>
      </c>
      <c r="U474" s="81" t="s">
        <v>144</v>
      </c>
    </row>
    <row r="475" spans="1:21" x14ac:dyDescent="0.25">
      <c r="A475" s="81"/>
      <c r="B475" s="81" t="s">
        <v>8</v>
      </c>
      <c r="C475" s="81" t="s">
        <v>144</v>
      </c>
      <c r="D475" s="81" t="s">
        <v>10</v>
      </c>
      <c r="E475" s="81" t="s">
        <v>1864</v>
      </c>
      <c r="F475" s="81" t="s">
        <v>198</v>
      </c>
      <c r="G475" s="81" t="s">
        <v>1865</v>
      </c>
      <c r="H475" s="81"/>
      <c r="I475" s="81"/>
      <c r="J475" s="81"/>
      <c r="K475" s="81"/>
      <c r="L475" s="81"/>
      <c r="M475" s="82" t="s">
        <v>52</v>
      </c>
      <c r="N475" s="82"/>
      <c r="O475" s="82"/>
      <c r="P475" s="82"/>
      <c r="Q475" s="82"/>
      <c r="R475" s="111">
        <v>45659</v>
      </c>
      <c r="S475" s="82" t="s">
        <v>20</v>
      </c>
      <c r="T475" s="81" t="s">
        <v>144</v>
      </c>
      <c r="U475" s="81" t="s">
        <v>144</v>
      </c>
    </row>
    <row r="476" spans="1:21" ht="45" x14ac:dyDescent="0.25">
      <c r="A476" s="81"/>
      <c r="B476" s="81" t="s">
        <v>8</v>
      </c>
      <c r="C476" s="81" t="s">
        <v>144</v>
      </c>
      <c r="D476" s="81" t="s">
        <v>10</v>
      </c>
      <c r="E476" s="81" t="s">
        <v>1866</v>
      </c>
      <c r="F476" s="81" t="s">
        <v>168</v>
      </c>
      <c r="G476" s="81" t="s">
        <v>1867</v>
      </c>
      <c r="H476" s="81"/>
      <c r="I476" s="81"/>
      <c r="J476" s="81"/>
      <c r="K476" s="81"/>
      <c r="L476" s="81"/>
      <c r="M476" s="82" t="s">
        <v>52</v>
      </c>
      <c r="N476" s="82"/>
      <c r="O476" s="82"/>
      <c r="P476" s="82"/>
      <c r="Q476" s="82" t="s">
        <v>1868</v>
      </c>
      <c r="R476" s="111">
        <v>45659</v>
      </c>
      <c r="S476" s="82" t="s">
        <v>9</v>
      </c>
      <c r="T476" s="81" t="s">
        <v>144</v>
      </c>
      <c r="U476" s="81" t="s">
        <v>144</v>
      </c>
    </row>
    <row r="477" spans="1:21" ht="30" x14ac:dyDescent="0.25">
      <c r="A477" s="81"/>
      <c r="B477" s="81" t="s">
        <v>8</v>
      </c>
      <c r="C477" s="81" t="s">
        <v>144</v>
      </c>
      <c r="D477" s="81" t="s">
        <v>10</v>
      </c>
      <c r="E477" s="81" t="s">
        <v>1869</v>
      </c>
      <c r="F477" s="81" t="s">
        <v>168</v>
      </c>
      <c r="G477" s="81" t="s">
        <v>1870</v>
      </c>
      <c r="H477" s="81"/>
      <c r="I477" s="81"/>
      <c r="J477" s="81"/>
      <c r="K477" s="81"/>
      <c r="L477" s="81"/>
      <c r="M477" s="82" t="s">
        <v>52</v>
      </c>
      <c r="N477" s="82"/>
      <c r="O477" s="82"/>
      <c r="P477" s="82"/>
      <c r="Q477" s="82" t="s">
        <v>1871</v>
      </c>
      <c r="R477" s="111">
        <v>45659</v>
      </c>
      <c r="S477" s="82" t="s">
        <v>1872</v>
      </c>
      <c r="T477" s="81" t="s">
        <v>144</v>
      </c>
      <c r="U477" s="81" t="s">
        <v>144</v>
      </c>
    </row>
    <row r="478" spans="1:21" ht="30" x14ac:dyDescent="0.25">
      <c r="A478" s="81"/>
      <c r="B478" s="81" t="s">
        <v>8</v>
      </c>
      <c r="C478" s="81" t="s">
        <v>144</v>
      </c>
      <c r="D478" s="81" t="s">
        <v>10</v>
      </c>
      <c r="E478" s="81" t="s">
        <v>1873</v>
      </c>
      <c r="F478" s="81" t="s">
        <v>168</v>
      </c>
      <c r="G478" s="81" t="s">
        <v>1874</v>
      </c>
      <c r="H478" s="81"/>
      <c r="I478" s="81"/>
      <c r="J478" s="81"/>
      <c r="K478" s="81"/>
      <c r="L478" s="81"/>
      <c r="M478" s="82" t="s">
        <v>52</v>
      </c>
      <c r="N478" s="82"/>
      <c r="O478" s="82"/>
      <c r="P478" s="82"/>
      <c r="Q478" s="82" t="s">
        <v>1871</v>
      </c>
      <c r="R478" s="111">
        <v>45659</v>
      </c>
      <c r="S478" s="82" t="s">
        <v>1872</v>
      </c>
      <c r="T478" s="81" t="s">
        <v>144</v>
      </c>
      <c r="U478" s="81" t="s">
        <v>144</v>
      </c>
    </row>
    <row r="479" spans="1:21" ht="30" x14ac:dyDescent="0.25">
      <c r="A479" s="81"/>
      <c r="B479" s="81" t="s">
        <v>8</v>
      </c>
      <c r="C479" s="81" t="s">
        <v>144</v>
      </c>
      <c r="D479" s="81" t="s">
        <v>10</v>
      </c>
      <c r="E479" s="81" t="s">
        <v>1875</v>
      </c>
      <c r="F479" s="81" t="s">
        <v>3306</v>
      </c>
      <c r="G479" s="81" t="s">
        <v>1876</v>
      </c>
      <c r="H479" s="81"/>
      <c r="I479" s="81"/>
      <c r="J479" s="81"/>
      <c r="K479" s="81"/>
      <c r="L479" s="81"/>
      <c r="M479" s="82" t="s">
        <v>52</v>
      </c>
      <c r="N479" s="82"/>
      <c r="O479" s="82"/>
      <c r="P479" s="82"/>
      <c r="Q479" s="82" t="s">
        <v>1877</v>
      </c>
      <c r="R479" s="111">
        <v>45659</v>
      </c>
      <c r="S479" s="82" t="s">
        <v>1872</v>
      </c>
      <c r="T479" s="81" t="s">
        <v>144</v>
      </c>
      <c r="U479" s="81" t="s">
        <v>144</v>
      </c>
    </row>
    <row r="480" spans="1:21" x14ac:dyDescent="0.25">
      <c r="A480" s="81"/>
      <c r="B480" s="81" t="s">
        <v>8</v>
      </c>
      <c r="C480" s="81" t="s">
        <v>144</v>
      </c>
      <c r="D480" s="81" t="s">
        <v>10</v>
      </c>
      <c r="E480" s="81" t="s">
        <v>1878</v>
      </c>
      <c r="F480" s="81" t="s">
        <v>159</v>
      </c>
      <c r="G480" s="81" t="s">
        <v>1879</v>
      </c>
      <c r="H480" s="81"/>
      <c r="I480" s="81"/>
      <c r="J480" s="81"/>
      <c r="K480" s="81"/>
      <c r="L480" s="81"/>
      <c r="M480" s="82" t="s">
        <v>52</v>
      </c>
      <c r="N480" s="82"/>
      <c r="O480" s="82"/>
      <c r="P480" s="82"/>
      <c r="Q480" s="82"/>
      <c r="R480" s="111">
        <v>45656</v>
      </c>
      <c r="S480" s="82" t="s">
        <v>238</v>
      </c>
      <c r="T480" s="81" t="s">
        <v>144</v>
      </c>
      <c r="U480" s="81" t="s">
        <v>3328</v>
      </c>
    </row>
    <row r="481" spans="1:21" x14ac:dyDescent="0.25">
      <c r="A481" s="81"/>
      <c r="B481" s="81" t="s">
        <v>8</v>
      </c>
      <c r="C481" s="81" t="s">
        <v>144</v>
      </c>
      <c r="D481" s="81" t="s">
        <v>10</v>
      </c>
      <c r="E481" s="81" t="s">
        <v>1880</v>
      </c>
      <c r="F481" s="81" t="s">
        <v>198</v>
      </c>
      <c r="G481" s="81" t="s">
        <v>1881</v>
      </c>
      <c r="H481" s="81"/>
      <c r="I481" s="81"/>
      <c r="J481" s="81"/>
      <c r="K481" s="81"/>
      <c r="L481" s="81"/>
      <c r="M481" s="82" t="s">
        <v>52</v>
      </c>
      <c r="N481" s="82"/>
      <c r="O481" s="82"/>
      <c r="P481" s="82"/>
      <c r="Q481" s="82" t="s">
        <v>1882</v>
      </c>
      <c r="R481" s="111">
        <v>45656</v>
      </c>
      <c r="S481" s="82" t="s">
        <v>238</v>
      </c>
      <c r="T481" s="81" t="s">
        <v>144</v>
      </c>
      <c r="U481" s="81" t="s">
        <v>144</v>
      </c>
    </row>
    <row r="482" spans="1:21" x14ac:dyDescent="0.25">
      <c r="A482" s="81"/>
      <c r="B482" s="81" t="s">
        <v>8</v>
      </c>
      <c r="C482" s="81" t="s">
        <v>144</v>
      </c>
      <c r="D482" s="81" t="s">
        <v>10</v>
      </c>
      <c r="E482" s="81" t="s">
        <v>1883</v>
      </c>
      <c r="F482" s="81" t="s">
        <v>168</v>
      </c>
      <c r="G482" s="81" t="s">
        <v>1884</v>
      </c>
      <c r="H482" s="81"/>
      <c r="I482" s="81"/>
      <c r="J482" s="81"/>
      <c r="K482" s="81"/>
      <c r="L482" s="81"/>
      <c r="M482" s="82" t="s">
        <v>52</v>
      </c>
      <c r="N482" s="82"/>
      <c r="O482" s="82"/>
      <c r="P482" s="82"/>
      <c r="Q482" s="82"/>
      <c r="R482" s="111"/>
      <c r="S482" s="82" t="s">
        <v>535</v>
      </c>
      <c r="T482" s="81" t="s">
        <v>144</v>
      </c>
      <c r="U482" s="81" t="s">
        <v>144</v>
      </c>
    </row>
    <row r="483" spans="1:21" ht="60" x14ac:dyDescent="0.25">
      <c r="A483" s="81"/>
      <c r="B483" s="81" t="s">
        <v>8</v>
      </c>
      <c r="C483" s="81" t="s">
        <v>144</v>
      </c>
      <c r="D483" s="81" t="s">
        <v>10</v>
      </c>
      <c r="E483" s="81" t="s">
        <v>1885</v>
      </c>
      <c r="F483" s="81" t="s">
        <v>202</v>
      </c>
      <c r="G483" s="81" t="s">
        <v>1886</v>
      </c>
      <c r="H483" s="81"/>
      <c r="I483" s="81"/>
      <c r="J483" s="81"/>
      <c r="K483" s="81"/>
      <c r="L483" s="81"/>
      <c r="M483" s="82" t="s">
        <v>52</v>
      </c>
      <c r="N483" s="82"/>
      <c r="O483" s="82"/>
      <c r="P483" s="82"/>
      <c r="Q483" s="82" t="s">
        <v>1887</v>
      </c>
      <c r="R483" s="111">
        <v>45623</v>
      </c>
      <c r="S483" s="82" t="s">
        <v>1750</v>
      </c>
      <c r="T483" s="81" t="s">
        <v>144</v>
      </c>
      <c r="U483" s="81" t="s">
        <v>144</v>
      </c>
    </row>
    <row r="484" spans="1:21" x14ac:dyDescent="0.25">
      <c r="A484" s="81"/>
      <c r="B484" s="81" t="s">
        <v>8</v>
      </c>
      <c r="C484" s="81" t="s">
        <v>144</v>
      </c>
      <c r="D484" s="81" t="s">
        <v>10</v>
      </c>
      <c r="E484" s="81" t="s">
        <v>1888</v>
      </c>
      <c r="F484" s="81" t="s">
        <v>199</v>
      </c>
      <c r="G484" s="81" t="s">
        <v>1889</v>
      </c>
      <c r="H484" s="81"/>
      <c r="I484" s="81"/>
      <c r="J484" s="81"/>
      <c r="K484" s="81"/>
      <c r="L484" s="81"/>
      <c r="M484" s="82" t="s">
        <v>52</v>
      </c>
      <c r="N484" s="82"/>
      <c r="O484" s="82"/>
      <c r="P484" s="82"/>
      <c r="Q484" s="82" t="s">
        <v>1890</v>
      </c>
      <c r="R484" s="111">
        <v>45646</v>
      </c>
      <c r="S484" s="82" t="s">
        <v>238</v>
      </c>
      <c r="T484" s="81" t="s">
        <v>144</v>
      </c>
      <c r="U484" s="81" t="s">
        <v>144</v>
      </c>
    </row>
    <row r="485" spans="1:21" x14ac:dyDescent="0.25">
      <c r="A485" s="81"/>
      <c r="B485" s="81" t="s">
        <v>8</v>
      </c>
      <c r="C485" s="81" t="s">
        <v>144</v>
      </c>
      <c r="D485" s="81" t="s">
        <v>10</v>
      </c>
      <c r="E485" s="81" t="s">
        <v>1891</v>
      </c>
      <c r="F485" s="81" t="s">
        <v>159</v>
      </c>
      <c r="G485" s="81" t="s">
        <v>1892</v>
      </c>
      <c r="H485" s="81"/>
      <c r="I485" s="81"/>
      <c r="J485" s="81"/>
      <c r="K485" s="81"/>
      <c r="L485" s="81"/>
      <c r="M485" s="82" t="s">
        <v>52</v>
      </c>
      <c r="N485" s="82"/>
      <c r="O485" s="82"/>
      <c r="P485" s="82"/>
      <c r="Q485" s="82" t="s">
        <v>1893</v>
      </c>
      <c r="R485" s="111">
        <v>45649</v>
      </c>
      <c r="S485" s="82" t="s">
        <v>535</v>
      </c>
      <c r="T485" s="81" t="s">
        <v>144</v>
      </c>
      <c r="U485" s="81" t="s">
        <v>144</v>
      </c>
    </row>
    <row r="486" spans="1:21" x14ac:dyDescent="0.25">
      <c r="A486" s="81"/>
      <c r="B486" s="81" t="s">
        <v>8</v>
      </c>
      <c r="C486" s="81" t="s">
        <v>144</v>
      </c>
      <c r="D486" s="81" t="s">
        <v>10</v>
      </c>
      <c r="E486" s="81" t="s">
        <v>1894</v>
      </c>
      <c r="F486" s="81" t="s">
        <v>167</v>
      </c>
      <c r="G486" s="81" t="s">
        <v>1895</v>
      </c>
      <c r="H486" s="81"/>
      <c r="I486" s="81"/>
      <c r="J486" s="81"/>
      <c r="K486" s="81"/>
      <c r="L486" s="81"/>
      <c r="M486" s="82" t="s">
        <v>52</v>
      </c>
      <c r="N486" s="82"/>
      <c r="O486" s="82"/>
      <c r="P486" s="82"/>
      <c r="Q486" s="82"/>
      <c r="R486" s="111"/>
      <c r="S486" s="82"/>
      <c r="T486" s="81" t="s">
        <v>144</v>
      </c>
      <c r="U486" s="81" t="s">
        <v>144</v>
      </c>
    </row>
    <row r="487" spans="1:21" ht="30" x14ac:dyDescent="0.25">
      <c r="A487" s="81"/>
      <c r="B487" s="81" t="s">
        <v>8</v>
      </c>
      <c r="C487" s="81" t="s">
        <v>144</v>
      </c>
      <c r="D487" s="81" t="s">
        <v>10</v>
      </c>
      <c r="E487" s="81" t="s">
        <v>1896</v>
      </c>
      <c r="F487" s="81" t="s">
        <v>157</v>
      </c>
      <c r="G487" s="81" t="s">
        <v>1897</v>
      </c>
      <c r="H487" s="81"/>
      <c r="I487" s="81"/>
      <c r="J487" s="81"/>
      <c r="K487" s="81"/>
      <c r="L487" s="81"/>
      <c r="M487" s="82" t="s">
        <v>52</v>
      </c>
      <c r="N487" s="82"/>
      <c r="O487" s="82"/>
      <c r="P487" s="82"/>
      <c r="Q487" s="82" t="s">
        <v>1898</v>
      </c>
      <c r="R487" s="111">
        <v>45646</v>
      </c>
      <c r="S487" s="82" t="s">
        <v>535</v>
      </c>
      <c r="T487" s="81" t="s">
        <v>144</v>
      </c>
      <c r="U487" s="81" t="s">
        <v>144</v>
      </c>
    </row>
    <row r="488" spans="1:21" ht="30" x14ac:dyDescent="0.25">
      <c r="A488" s="81"/>
      <c r="B488" s="81" t="s">
        <v>8</v>
      </c>
      <c r="C488" s="81" t="s">
        <v>144</v>
      </c>
      <c r="D488" s="81" t="s">
        <v>10</v>
      </c>
      <c r="E488" s="81" t="s">
        <v>1899</v>
      </c>
      <c r="F488" s="81" t="s">
        <v>159</v>
      </c>
      <c r="G488" s="81" t="s">
        <v>1900</v>
      </c>
      <c r="H488" s="81"/>
      <c r="I488" s="81"/>
      <c r="J488" s="81"/>
      <c r="K488" s="81"/>
      <c r="L488" s="81"/>
      <c r="M488" s="82" t="s">
        <v>52</v>
      </c>
      <c r="N488" s="82"/>
      <c r="O488" s="82"/>
      <c r="P488" s="82"/>
      <c r="Q488" s="82" t="s">
        <v>1901</v>
      </c>
      <c r="R488" s="111"/>
      <c r="S488" s="82"/>
      <c r="T488" s="81" t="s">
        <v>144</v>
      </c>
      <c r="U488" s="81" t="s">
        <v>144</v>
      </c>
    </row>
    <row r="489" spans="1:21" ht="30" x14ac:dyDescent="0.25">
      <c r="A489" s="81"/>
      <c r="B489" s="81" t="s">
        <v>8</v>
      </c>
      <c r="C489" s="81" t="s">
        <v>144</v>
      </c>
      <c r="D489" s="81" t="s">
        <v>10</v>
      </c>
      <c r="E489" s="81" t="s">
        <v>1902</v>
      </c>
      <c r="F489" s="81" t="s">
        <v>150</v>
      </c>
      <c r="G489" s="81" t="s">
        <v>1903</v>
      </c>
      <c r="H489" s="81"/>
      <c r="I489" s="81"/>
      <c r="J489" s="81"/>
      <c r="K489" s="81"/>
      <c r="L489" s="81"/>
      <c r="M489" s="82" t="s">
        <v>52</v>
      </c>
      <c r="N489" s="82"/>
      <c r="O489" s="82"/>
      <c r="P489" s="82"/>
      <c r="Q489" s="82"/>
      <c r="R489" s="111"/>
      <c r="S489" s="82"/>
      <c r="T489" s="81" t="s">
        <v>144</v>
      </c>
      <c r="U489" s="81" t="s">
        <v>144</v>
      </c>
    </row>
    <row r="490" spans="1:21" ht="30" x14ac:dyDescent="0.25">
      <c r="A490" s="81"/>
      <c r="B490" s="81" t="s">
        <v>8</v>
      </c>
      <c r="C490" s="81" t="s">
        <v>144</v>
      </c>
      <c r="D490" s="81" t="s">
        <v>10</v>
      </c>
      <c r="E490" s="81" t="s">
        <v>1904</v>
      </c>
      <c r="F490" s="81" t="s">
        <v>160</v>
      </c>
      <c r="G490" s="81" t="s">
        <v>1905</v>
      </c>
      <c r="H490" s="81"/>
      <c r="I490" s="81"/>
      <c r="J490" s="81"/>
      <c r="K490" s="81"/>
      <c r="L490" s="81"/>
      <c r="M490" s="82" t="s">
        <v>52</v>
      </c>
      <c r="N490" s="82"/>
      <c r="O490" s="82"/>
      <c r="P490" s="82"/>
      <c r="Q490" s="82" t="s">
        <v>1906</v>
      </c>
      <c r="R490" s="111">
        <v>45644</v>
      </c>
      <c r="S490" s="82" t="s">
        <v>1750</v>
      </c>
      <c r="T490" s="81" t="s">
        <v>144</v>
      </c>
      <c r="U490" s="81" t="s">
        <v>144</v>
      </c>
    </row>
    <row r="491" spans="1:21" x14ac:dyDescent="0.25">
      <c r="A491" s="81"/>
      <c r="B491" s="81" t="s">
        <v>8</v>
      </c>
      <c r="C491" s="81" t="s">
        <v>144</v>
      </c>
      <c r="D491" s="81" t="s">
        <v>10</v>
      </c>
      <c r="E491" s="81" t="s">
        <v>1907</v>
      </c>
      <c r="F491" s="81" t="s">
        <v>167</v>
      </c>
      <c r="G491" s="81" t="s">
        <v>1908</v>
      </c>
      <c r="H491" s="81"/>
      <c r="I491" s="81"/>
      <c r="J491" s="81"/>
      <c r="K491" s="81"/>
      <c r="L491" s="81"/>
      <c r="M491" s="82" t="s">
        <v>52</v>
      </c>
      <c r="N491" s="82"/>
      <c r="O491" s="82"/>
      <c r="P491" s="82"/>
      <c r="Q491" s="82"/>
      <c r="R491" s="111">
        <v>45642</v>
      </c>
      <c r="S491" s="82" t="s">
        <v>238</v>
      </c>
      <c r="T491" s="81" t="s">
        <v>144</v>
      </c>
      <c r="U491" s="81" t="s">
        <v>144</v>
      </c>
    </row>
    <row r="492" spans="1:21" x14ac:dyDescent="0.25">
      <c r="A492" s="81"/>
      <c r="B492" s="81" t="s">
        <v>8</v>
      </c>
      <c r="C492" s="81" t="s">
        <v>144</v>
      </c>
      <c r="D492" s="81" t="s">
        <v>10</v>
      </c>
      <c r="E492" s="81" t="s">
        <v>1909</v>
      </c>
      <c r="F492" s="81" t="s">
        <v>150</v>
      </c>
      <c r="G492" s="81" t="s">
        <v>1910</v>
      </c>
      <c r="H492" s="81"/>
      <c r="I492" s="81"/>
      <c r="J492" s="81"/>
      <c r="K492" s="81"/>
      <c r="L492" s="81"/>
      <c r="M492" s="82" t="s">
        <v>52</v>
      </c>
      <c r="N492" s="82"/>
      <c r="O492" s="82"/>
      <c r="P492" s="82"/>
      <c r="Q492" s="82"/>
      <c r="R492" s="111"/>
      <c r="S492" s="82"/>
      <c r="T492" s="81" t="s">
        <v>144</v>
      </c>
      <c r="U492" s="81" t="s">
        <v>144</v>
      </c>
    </row>
    <row r="493" spans="1:21" x14ac:dyDescent="0.25">
      <c r="A493" s="81"/>
      <c r="B493" s="81" t="s">
        <v>8</v>
      </c>
      <c r="C493" s="81" t="s">
        <v>144</v>
      </c>
      <c r="D493" s="81" t="s">
        <v>10</v>
      </c>
      <c r="E493" s="81" t="s">
        <v>1911</v>
      </c>
      <c r="F493" s="81" t="s">
        <v>167</v>
      </c>
      <c r="G493" s="81" t="s">
        <v>1912</v>
      </c>
      <c r="H493" s="81"/>
      <c r="I493" s="81"/>
      <c r="J493" s="81"/>
      <c r="K493" s="81"/>
      <c r="L493" s="81"/>
      <c r="M493" s="82" t="s">
        <v>52</v>
      </c>
      <c r="N493" s="82"/>
      <c r="O493" s="82"/>
      <c r="P493" s="82"/>
      <c r="Q493" s="82"/>
      <c r="R493" s="111"/>
      <c r="S493" s="82"/>
      <c r="T493" s="81" t="s">
        <v>144</v>
      </c>
      <c r="U493" s="81" t="s">
        <v>144</v>
      </c>
    </row>
    <row r="494" spans="1:21" x14ac:dyDescent="0.25">
      <c r="A494" s="81"/>
      <c r="B494" s="81" t="s">
        <v>8</v>
      </c>
      <c r="C494" s="81" t="s">
        <v>144</v>
      </c>
      <c r="D494" s="81" t="s">
        <v>10</v>
      </c>
      <c r="E494" s="81" t="s">
        <v>1913</v>
      </c>
      <c r="F494" s="81" t="s">
        <v>159</v>
      </c>
      <c r="G494" s="81" t="s">
        <v>1914</v>
      </c>
      <c r="H494" s="81"/>
      <c r="I494" s="81"/>
      <c r="J494" s="81"/>
      <c r="K494" s="81"/>
      <c r="L494" s="81"/>
      <c r="M494" s="82" t="s">
        <v>52</v>
      </c>
      <c r="N494" s="82"/>
      <c r="O494" s="82"/>
      <c r="P494" s="82"/>
      <c r="Q494" s="82" t="s">
        <v>1915</v>
      </c>
      <c r="R494" s="111"/>
      <c r="S494" s="82"/>
      <c r="T494" s="81" t="s">
        <v>144</v>
      </c>
      <c r="U494" s="81" t="s">
        <v>144</v>
      </c>
    </row>
    <row r="495" spans="1:21" x14ac:dyDescent="0.25">
      <c r="A495" s="81"/>
      <c r="B495" s="81" t="s">
        <v>8</v>
      </c>
      <c r="C495" s="81" t="s">
        <v>144</v>
      </c>
      <c r="D495" s="81" t="s">
        <v>10</v>
      </c>
      <c r="E495" s="81" t="s">
        <v>1916</v>
      </c>
      <c r="F495" s="81" t="s">
        <v>200</v>
      </c>
      <c r="G495" s="81" t="s">
        <v>1917</v>
      </c>
      <c r="H495" s="81"/>
      <c r="I495" s="81"/>
      <c r="J495" s="81"/>
      <c r="K495" s="81"/>
      <c r="L495" s="81"/>
      <c r="M495" s="82" t="s">
        <v>52</v>
      </c>
      <c r="N495" s="82"/>
      <c r="O495" s="82"/>
      <c r="P495" s="82"/>
      <c r="Q495" s="82" t="s">
        <v>1918</v>
      </c>
      <c r="R495" s="111">
        <v>45645</v>
      </c>
      <c r="S495" s="82" t="s">
        <v>20</v>
      </c>
      <c r="T495" s="81" t="s">
        <v>144</v>
      </c>
      <c r="U495" s="81" t="s">
        <v>3329</v>
      </c>
    </row>
    <row r="496" spans="1:21" x14ac:dyDescent="0.25">
      <c r="A496" s="81"/>
      <c r="B496" s="81" t="s">
        <v>8</v>
      </c>
      <c r="C496" s="81" t="s">
        <v>144</v>
      </c>
      <c r="D496" s="81" t="s">
        <v>10</v>
      </c>
      <c r="E496" s="81" t="s">
        <v>1919</v>
      </c>
      <c r="F496" s="81" t="s">
        <v>202</v>
      </c>
      <c r="G496" s="81" t="s">
        <v>1920</v>
      </c>
      <c r="H496" s="81"/>
      <c r="I496" s="81"/>
      <c r="J496" s="81"/>
      <c r="K496" s="81"/>
      <c r="L496" s="81"/>
      <c r="M496" s="82" t="s">
        <v>52</v>
      </c>
      <c r="N496" s="82"/>
      <c r="O496" s="82"/>
      <c r="P496" s="82"/>
      <c r="Q496" s="82" t="s">
        <v>1921</v>
      </c>
      <c r="R496" s="111">
        <v>45644</v>
      </c>
      <c r="S496" s="82" t="s">
        <v>20</v>
      </c>
      <c r="T496" s="81" t="s">
        <v>144</v>
      </c>
      <c r="U496" s="81" t="s">
        <v>144</v>
      </c>
    </row>
    <row r="497" spans="1:21" x14ac:dyDescent="0.25">
      <c r="A497" s="81"/>
      <c r="B497" s="81" t="s">
        <v>8</v>
      </c>
      <c r="C497" s="81" t="s">
        <v>144</v>
      </c>
      <c r="D497" s="81" t="s">
        <v>10</v>
      </c>
      <c r="E497" s="81" t="s">
        <v>1922</v>
      </c>
      <c r="F497" s="81" t="s">
        <v>167</v>
      </c>
      <c r="G497" s="81" t="s">
        <v>1923</v>
      </c>
      <c r="H497" s="81"/>
      <c r="I497" s="81"/>
      <c r="J497" s="81"/>
      <c r="K497" s="81"/>
      <c r="L497" s="81"/>
      <c r="M497" s="82" t="s">
        <v>52</v>
      </c>
      <c r="N497" s="82"/>
      <c r="O497" s="82"/>
      <c r="P497" s="82"/>
      <c r="Q497" s="82" t="s">
        <v>1924</v>
      </c>
      <c r="R497" s="111">
        <v>45644</v>
      </c>
      <c r="S497" s="82" t="s">
        <v>20</v>
      </c>
      <c r="T497" s="81" t="s">
        <v>144</v>
      </c>
      <c r="U497" s="81" t="s">
        <v>144</v>
      </c>
    </row>
    <row r="498" spans="1:21" x14ac:dyDescent="0.25">
      <c r="A498" s="81"/>
      <c r="B498" s="81" t="s">
        <v>8</v>
      </c>
      <c r="C498" s="81" t="s">
        <v>144</v>
      </c>
      <c r="D498" s="81" t="s">
        <v>10</v>
      </c>
      <c r="E498" s="81" t="s">
        <v>1925</v>
      </c>
      <c r="F498" s="81" t="s">
        <v>167</v>
      </c>
      <c r="G498" s="81" t="s">
        <v>1926</v>
      </c>
      <c r="H498" s="81"/>
      <c r="I498" s="81"/>
      <c r="J498" s="81"/>
      <c r="K498" s="81"/>
      <c r="L498" s="81"/>
      <c r="M498" s="82" t="s">
        <v>52</v>
      </c>
      <c r="N498" s="82"/>
      <c r="O498" s="82"/>
      <c r="P498" s="82"/>
      <c r="Q498" s="82" t="s">
        <v>1927</v>
      </c>
      <c r="R498" s="111">
        <v>45643</v>
      </c>
      <c r="S498" s="82" t="s">
        <v>23</v>
      </c>
      <c r="T498" s="81" t="s">
        <v>144</v>
      </c>
      <c r="U498" s="81" t="s">
        <v>144</v>
      </c>
    </row>
    <row r="499" spans="1:21" x14ac:dyDescent="0.25">
      <c r="A499" s="81"/>
      <c r="B499" s="81" t="s">
        <v>8</v>
      </c>
      <c r="C499" s="81" t="s">
        <v>144</v>
      </c>
      <c r="D499" s="81" t="s">
        <v>10</v>
      </c>
      <c r="E499" s="81" t="s">
        <v>1928</v>
      </c>
      <c r="F499" s="81" t="s">
        <v>159</v>
      </c>
      <c r="G499" s="81" t="s">
        <v>1929</v>
      </c>
      <c r="H499" s="81"/>
      <c r="I499" s="81"/>
      <c r="J499" s="81"/>
      <c r="K499" s="81"/>
      <c r="L499" s="81"/>
      <c r="M499" s="82" t="s">
        <v>52</v>
      </c>
      <c r="N499" s="82"/>
      <c r="O499" s="82"/>
      <c r="P499" s="82"/>
      <c r="Q499" s="82"/>
      <c r="R499" s="111">
        <v>45643</v>
      </c>
      <c r="S499" s="82" t="s">
        <v>238</v>
      </c>
      <c r="T499" s="81" t="s">
        <v>144</v>
      </c>
      <c r="U499" s="81" t="s">
        <v>144</v>
      </c>
    </row>
    <row r="500" spans="1:21" ht="30" x14ac:dyDescent="0.25">
      <c r="A500" s="81"/>
      <c r="B500" s="81" t="s">
        <v>8</v>
      </c>
      <c r="C500" s="81" t="s">
        <v>144</v>
      </c>
      <c r="D500" s="81" t="s">
        <v>10</v>
      </c>
      <c r="E500" s="81" t="s">
        <v>1930</v>
      </c>
      <c r="F500" s="81" t="s">
        <v>167</v>
      </c>
      <c r="G500" s="81" t="s">
        <v>1912</v>
      </c>
      <c r="H500" s="81"/>
      <c r="I500" s="81"/>
      <c r="J500" s="81"/>
      <c r="K500" s="81"/>
      <c r="L500" s="81"/>
      <c r="M500" s="82" t="s">
        <v>52</v>
      </c>
      <c r="N500" s="82"/>
      <c r="O500" s="82"/>
      <c r="P500" s="82"/>
      <c r="Q500" s="82" t="s">
        <v>1931</v>
      </c>
      <c r="R500" s="111"/>
      <c r="S500" s="82"/>
      <c r="T500" s="81" t="s">
        <v>144</v>
      </c>
      <c r="U500" s="81" t="s">
        <v>144</v>
      </c>
    </row>
    <row r="501" spans="1:21" x14ac:dyDescent="0.25">
      <c r="A501" s="81"/>
      <c r="B501" s="81" t="s">
        <v>8</v>
      </c>
      <c r="C501" s="81" t="s">
        <v>144</v>
      </c>
      <c r="D501" s="81" t="s">
        <v>10</v>
      </c>
      <c r="E501" s="81" t="s">
        <v>1932</v>
      </c>
      <c r="F501" s="81" t="s">
        <v>201</v>
      </c>
      <c r="G501" s="81" t="s">
        <v>1933</v>
      </c>
      <c r="H501" s="81"/>
      <c r="I501" s="81"/>
      <c r="J501" s="81"/>
      <c r="K501" s="81"/>
      <c r="L501" s="81"/>
      <c r="M501" s="82" t="s">
        <v>52</v>
      </c>
      <c r="N501" s="82"/>
      <c r="O501" s="82"/>
      <c r="P501" s="82"/>
      <c r="Q501" s="82" t="s">
        <v>1555</v>
      </c>
      <c r="R501" s="111">
        <v>45642</v>
      </c>
      <c r="S501" s="82" t="s">
        <v>1838</v>
      </c>
      <c r="T501" s="81" t="s">
        <v>144</v>
      </c>
      <c r="U501" s="81" t="s">
        <v>144</v>
      </c>
    </row>
    <row r="502" spans="1:21" x14ac:dyDescent="0.25">
      <c r="A502" s="81"/>
      <c r="B502" s="81" t="s">
        <v>8</v>
      </c>
      <c r="C502" s="81" t="s">
        <v>144</v>
      </c>
      <c r="D502" s="81" t="s">
        <v>10</v>
      </c>
      <c r="E502" s="81" t="s">
        <v>1934</v>
      </c>
      <c r="F502" s="81" t="s">
        <v>159</v>
      </c>
      <c r="G502" s="81" t="s">
        <v>1935</v>
      </c>
      <c r="H502" s="81"/>
      <c r="I502" s="81"/>
      <c r="J502" s="81"/>
      <c r="K502" s="81"/>
      <c r="L502" s="81"/>
      <c r="M502" s="82" t="s">
        <v>52</v>
      </c>
      <c r="N502" s="82"/>
      <c r="O502" s="82"/>
      <c r="P502" s="82"/>
      <c r="Q502" s="82" t="s">
        <v>427</v>
      </c>
      <c r="R502" s="111">
        <v>45642</v>
      </c>
      <c r="S502" s="82" t="s">
        <v>238</v>
      </c>
      <c r="T502" s="81" t="s">
        <v>144</v>
      </c>
      <c r="U502" s="81" t="s">
        <v>144</v>
      </c>
    </row>
    <row r="503" spans="1:21" ht="30" x14ac:dyDescent="0.25">
      <c r="A503" s="81"/>
      <c r="B503" s="81" t="s">
        <v>8</v>
      </c>
      <c r="C503" s="81" t="s">
        <v>144</v>
      </c>
      <c r="D503" s="81" t="s">
        <v>10</v>
      </c>
      <c r="E503" s="81" t="s">
        <v>1936</v>
      </c>
      <c r="F503" s="81" t="s">
        <v>199</v>
      </c>
      <c r="G503" s="81" t="s">
        <v>1937</v>
      </c>
      <c r="H503" s="81"/>
      <c r="I503" s="81"/>
      <c r="J503" s="81"/>
      <c r="K503" s="81"/>
      <c r="L503" s="81"/>
      <c r="M503" s="82" t="s">
        <v>52</v>
      </c>
      <c r="N503" s="82"/>
      <c r="O503" s="82"/>
      <c r="P503" s="82"/>
      <c r="Q503" s="82" t="s">
        <v>1938</v>
      </c>
      <c r="R503" s="111">
        <v>45642</v>
      </c>
      <c r="S503" s="82" t="s">
        <v>1470</v>
      </c>
      <c r="T503" s="81" t="s">
        <v>144</v>
      </c>
      <c r="U503" s="81" t="s">
        <v>144</v>
      </c>
    </row>
    <row r="504" spans="1:21" ht="30" x14ac:dyDescent="0.25">
      <c r="A504" s="81"/>
      <c r="B504" s="81" t="s">
        <v>8</v>
      </c>
      <c r="C504" s="81" t="s">
        <v>144</v>
      </c>
      <c r="D504" s="81" t="s">
        <v>10</v>
      </c>
      <c r="E504" s="81" t="s">
        <v>1939</v>
      </c>
      <c r="F504" s="81" t="s">
        <v>202</v>
      </c>
      <c r="G504" s="81" t="s">
        <v>1940</v>
      </c>
      <c r="H504" s="81"/>
      <c r="I504" s="81"/>
      <c r="J504" s="81"/>
      <c r="K504" s="81"/>
      <c r="L504" s="81"/>
      <c r="M504" s="82" t="s">
        <v>52</v>
      </c>
      <c r="N504" s="82"/>
      <c r="O504" s="82"/>
      <c r="P504" s="82"/>
      <c r="Q504" s="82"/>
      <c r="R504" s="111">
        <v>45638</v>
      </c>
      <c r="S504" s="82" t="s">
        <v>9</v>
      </c>
      <c r="T504" s="81" t="s">
        <v>144</v>
      </c>
      <c r="U504" s="81" t="s">
        <v>3330</v>
      </c>
    </row>
    <row r="505" spans="1:21" x14ac:dyDescent="0.25">
      <c r="A505" s="81"/>
      <c r="B505" s="81" t="s">
        <v>8</v>
      </c>
      <c r="C505" s="81" t="s">
        <v>144</v>
      </c>
      <c r="D505" s="81" t="s">
        <v>10</v>
      </c>
      <c r="E505" s="81" t="s">
        <v>1941</v>
      </c>
      <c r="F505" s="81" t="s">
        <v>198</v>
      </c>
      <c r="G505" s="81" t="s">
        <v>1942</v>
      </c>
      <c r="H505" s="81"/>
      <c r="I505" s="81"/>
      <c r="J505" s="81"/>
      <c r="K505" s="81"/>
      <c r="L505" s="81"/>
      <c r="M505" s="82" t="s">
        <v>52</v>
      </c>
      <c r="N505" s="82"/>
      <c r="O505" s="82"/>
      <c r="P505" s="82"/>
      <c r="Q505" s="82" t="s">
        <v>1943</v>
      </c>
      <c r="R505" s="111">
        <v>45636</v>
      </c>
      <c r="S505" s="82" t="s">
        <v>238</v>
      </c>
      <c r="T505" s="81" t="s">
        <v>144</v>
      </c>
      <c r="U505" s="81" t="s">
        <v>3331</v>
      </c>
    </row>
    <row r="506" spans="1:21" x14ac:dyDescent="0.25">
      <c r="A506" s="81"/>
      <c r="B506" s="81" t="s">
        <v>8</v>
      </c>
      <c r="C506" s="81" t="s">
        <v>144</v>
      </c>
      <c r="D506" s="81" t="s">
        <v>10</v>
      </c>
      <c r="E506" s="81" t="s">
        <v>1944</v>
      </c>
      <c r="F506" s="81" t="s">
        <v>202</v>
      </c>
      <c r="G506" s="81" t="s">
        <v>1945</v>
      </c>
      <c r="H506" s="81"/>
      <c r="I506" s="81"/>
      <c r="J506" s="81"/>
      <c r="K506" s="81"/>
      <c r="L506" s="81"/>
      <c r="M506" s="82" t="s">
        <v>52</v>
      </c>
      <c r="N506" s="82"/>
      <c r="O506" s="82"/>
      <c r="P506" s="82"/>
      <c r="Q506" s="82"/>
      <c r="R506" s="111">
        <v>45632</v>
      </c>
      <c r="S506" s="82"/>
      <c r="T506" s="81" t="s">
        <v>144</v>
      </c>
      <c r="U506" s="81" t="s">
        <v>144</v>
      </c>
    </row>
    <row r="507" spans="1:21" x14ac:dyDescent="0.25">
      <c r="A507" s="81"/>
      <c r="B507" s="81" t="s">
        <v>8</v>
      </c>
      <c r="C507" s="81" t="s">
        <v>144</v>
      </c>
      <c r="D507" s="81" t="s">
        <v>10</v>
      </c>
      <c r="E507" s="81" t="s">
        <v>1946</v>
      </c>
      <c r="F507" s="81" t="s">
        <v>201</v>
      </c>
      <c r="G507" s="81" t="s">
        <v>1947</v>
      </c>
      <c r="H507" s="81"/>
      <c r="I507" s="81"/>
      <c r="J507" s="81"/>
      <c r="K507" s="81"/>
      <c r="L507" s="81"/>
      <c r="M507" s="82" t="s">
        <v>52</v>
      </c>
      <c r="N507" s="82"/>
      <c r="O507" s="82"/>
      <c r="P507" s="82"/>
      <c r="Q507" s="82"/>
      <c r="R507" s="111">
        <v>45632</v>
      </c>
      <c r="S507" s="82"/>
      <c r="T507" s="81" t="s">
        <v>144</v>
      </c>
      <c r="U507" s="81" t="s">
        <v>144</v>
      </c>
    </row>
    <row r="508" spans="1:21" x14ac:dyDescent="0.25">
      <c r="A508" s="81"/>
      <c r="B508" s="81" t="s">
        <v>8</v>
      </c>
      <c r="C508" s="81" t="s">
        <v>144</v>
      </c>
      <c r="D508" s="81" t="s">
        <v>10</v>
      </c>
      <c r="E508" s="81" t="s">
        <v>1948</v>
      </c>
      <c r="F508" s="81" t="s">
        <v>3306</v>
      </c>
      <c r="G508" s="81" t="s">
        <v>1949</v>
      </c>
      <c r="H508" s="81"/>
      <c r="I508" s="81"/>
      <c r="J508" s="81"/>
      <c r="K508" s="81"/>
      <c r="L508" s="81"/>
      <c r="M508" s="82" t="s">
        <v>52</v>
      </c>
      <c r="N508" s="82"/>
      <c r="O508" s="82"/>
      <c r="P508" s="82"/>
      <c r="Q508" s="82"/>
      <c r="R508" s="111">
        <v>45623</v>
      </c>
      <c r="S508" s="82" t="s">
        <v>238</v>
      </c>
      <c r="T508" s="81" t="s">
        <v>144</v>
      </c>
      <c r="U508" s="81" t="s">
        <v>144</v>
      </c>
    </row>
    <row r="509" spans="1:21" ht="30" x14ac:dyDescent="0.25">
      <c r="A509" s="81"/>
      <c r="B509" s="81" t="s">
        <v>8</v>
      </c>
      <c r="C509" s="81" t="s">
        <v>144</v>
      </c>
      <c r="D509" s="81" t="s">
        <v>10</v>
      </c>
      <c r="E509" s="81" t="s">
        <v>1950</v>
      </c>
      <c r="F509" s="81" t="s">
        <v>3313</v>
      </c>
      <c r="G509" s="81" t="s">
        <v>1951</v>
      </c>
      <c r="H509" s="81"/>
      <c r="I509" s="81"/>
      <c r="J509" s="81"/>
      <c r="K509" s="81"/>
      <c r="L509" s="81"/>
      <c r="M509" s="82" t="s">
        <v>52</v>
      </c>
      <c r="N509" s="82"/>
      <c r="O509" s="82"/>
      <c r="P509" s="82"/>
      <c r="Q509" s="82" t="s">
        <v>1952</v>
      </c>
      <c r="R509" s="111">
        <v>45635</v>
      </c>
      <c r="S509" s="82" t="s">
        <v>20</v>
      </c>
      <c r="T509" s="81" t="s">
        <v>144</v>
      </c>
      <c r="U509" s="81" t="s">
        <v>144</v>
      </c>
    </row>
    <row r="510" spans="1:21" ht="30" x14ac:dyDescent="0.25">
      <c r="A510" s="81"/>
      <c r="B510" s="81" t="s">
        <v>8</v>
      </c>
      <c r="C510" s="81" t="s">
        <v>144</v>
      </c>
      <c r="D510" s="81" t="s">
        <v>10</v>
      </c>
      <c r="E510" s="81" t="s">
        <v>1953</v>
      </c>
      <c r="F510" s="81" t="s">
        <v>150</v>
      </c>
      <c r="G510" s="81" t="s">
        <v>1954</v>
      </c>
      <c r="H510" s="81"/>
      <c r="I510" s="81"/>
      <c r="J510" s="81"/>
      <c r="K510" s="81"/>
      <c r="L510" s="81"/>
      <c r="M510" s="82" t="s">
        <v>52</v>
      </c>
      <c r="N510" s="82"/>
      <c r="O510" s="82"/>
      <c r="P510" s="82"/>
      <c r="Q510" s="82" t="s">
        <v>1955</v>
      </c>
      <c r="R510" s="111">
        <v>45635</v>
      </c>
      <c r="S510" s="82" t="s">
        <v>535</v>
      </c>
      <c r="T510" s="81" t="s">
        <v>144</v>
      </c>
      <c r="U510" s="81" t="s">
        <v>144</v>
      </c>
    </row>
    <row r="511" spans="1:21" ht="30" x14ac:dyDescent="0.25">
      <c r="A511" s="81"/>
      <c r="B511" s="81" t="s">
        <v>8</v>
      </c>
      <c r="C511" s="81" t="s">
        <v>144</v>
      </c>
      <c r="D511" s="81" t="s">
        <v>10</v>
      </c>
      <c r="E511" s="81" t="s">
        <v>1956</v>
      </c>
      <c r="F511" s="81" t="s">
        <v>157</v>
      </c>
      <c r="G511" s="81" t="s">
        <v>1957</v>
      </c>
      <c r="H511" s="81"/>
      <c r="I511" s="81"/>
      <c r="J511" s="81"/>
      <c r="K511" s="81"/>
      <c r="L511" s="81"/>
      <c r="M511" s="82" t="s">
        <v>52</v>
      </c>
      <c r="N511" s="82"/>
      <c r="O511" s="82"/>
      <c r="P511" s="82"/>
      <c r="Q511" s="82" t="s">
        <v>1958</v>
      </c>
      <c r="R511" s="111">
        <v>45635</v>
      </c>
      <c r="S511" s="82" t="s">
        <v>9</v>
      </c>
      <c r="T511" s="81" t="s">
        <v>144</v>
      </c>
      <c r="U511" s="81" t="s">
        <v>144</v>
      </c>
    </row>
    <row r="512" spans="1:21" x14ac:dyDescent="0.25">
      <c r="A512" s="81"/>
      <c r="B512" s="81" t="s">
        <v>8</v>
      </c>
      <c r="C512" s="81" t="s">
        <v>144</v>
      </c>
      <c r="D512" s="81" t="s">
        <v>10</v>
      </c>
      <c r="E512" s="81" t="s">
        <v>1959</v>
      </c>
      <c r="F512" s="81" t="s">
        <v>3306</v>
      </c>
      <c r="G512" s="81" t="s">
        <v>1960</v>
      </c>
      <c r="H512" s="81"/>
      <c r="I512" s="81"/>
      <c r="J512" s="81"/>
      <c r="K512" s="81"/>
      <c r="L512" s="81"/>
      <c r="M512" s="82" t="s">
        <v>52</v>
      </c>
      <c r="N512" s="82"/>
      <c r="O512" s="82"/>
      <c r="P512" s="82"/>
      <c r="Q512" s="82"/>
      <c r="R512" s="111">
        <v>45631</v>
      </c>
      <c r="S512" s="82"/>
      <c r="T512" s="81" t="s">
        <v>144</v>
      </c>
      <c r="U512" s="81" t="s">
        <v>144</v>
      </c>
    </row>
    <row r="513" spans="1:21" x14ac:dyDescent="0.25">
      <c r="A513" s="81"/>
      <c r="B513" s="81" t="s">
        <v>8</v>
      </c>
      <c r="C513" s="81" t="s">
        <v>144</v>
      </c>
      <c r="D513" s="81" t="s">
        <v>10</v>
      </c>
      <c r="E513" s="81" t="s">
        <v>1961</v>
      </c>
      <c r="F513" s="81" t="s">
        <v>3306</v>
      </c>
      <c r="G513" s="81" t="s">
        <v>1962</v>
      </c>
      <c r="H513" s="81"/>
      <c r="I513" s="81"/>
      <c r="J513" s="81"/>
      <c r="K513" s="81"/>
      <c r="L513" s="81"/>
      <c r="M513" s="82" t="s">
        <v>52</v>
      </c>
      <c r="N513" s="82"/>
      <c r="O513" s="82"/>
      <c r="P513" s="82"/>
      <c r="Q513" s="82"/>
      <c r="R513" s="111">
        <v>45631</v>
      </c>
      <c r="S513" s="82"/>
      <c r="T513" s="81" t="s">
        <v>144</v>
      </c>
      <c r="U513" s="81" t="s">
        <v>144</v>
      </c>
    </row>
    <row r="514" spans="1:21" ht="30" x14ac:dyDescent="0.25">
      <c r="A514" s="81"/>
      <c r="B514" s="81" t="s">
        <v>8</v>
      </c>
      <c r="C514" s="81" t="s">
        <v>144</v>
      </c>
      <c r="D514" s="81" t="s">
        <v>10</v>
      </c>
      <c r="E514" s="81" t="s">
        <v>1963</v>
      </c>
      <c r="F514" s="81" t="s">
        <v>199</v>
      </c>
      <c r="G514" s="81" t="s">
        <v>1964</v>
      </c>
      <c r="H514" s="81"/>
      <c r="I514" s="81"/>
      <c r="J514" s="81"/>
      <c r="K514" s="81"/>
      <c r="L514" s="81"/>
      <c r="M514" s="82" t="s">
        <v>52</v>
      </c>
      <c r="N514" s="82"/>
      <c r="O514" s="82"/>
      <c r="P514" s="82"/>
      <c r="Q514" s="82" t="s">
        <v>1965</v>
      </c>
      <c r="R514" s="111">
        <v>45628</v>
      </c>
      <c r="S514" s="82" t="s">
        <v>267</v>
      </c>
      <c r="T514" s="81" t="s">
        <v>144</v>
      </c>
      <c r="U514" s="81" t="s">
        <v>144</v>
      </c>
    </row>
    <row r="515" spans="1:21" ht="30" x14ac:dyDescent="0.25">
      <c r="A515" s="81"/>
      <c r="B515" s="81" t="s">
        <v>8</v>
      </c>
      <c r="C515" s="81" t="s">
        <v>144</v>
      </c>
      <c r="D515" s="81" t="s">
        <v>10</v>
      </c>
      <c r="E515" s="81" t="s">
        <v>1966</v>
      </c>
      <c r="F515" s="81" t="s">
        <v>159</v>
      </c>
      <c r="G515" s="81" t="s">
        <v>1967</v>
      </c>
      <c r="H515" s="81"/>
      <c r="I515" s="81"/>
      <c r="J515" s="81"/>
      <c r="K515" s="81"/>
      <c r="L515" s="81"/>
      <c r="M515" s="82" t="s">
        <v>52</v>
      </c>
      <c r="N515" s="82"/>
      <c r="O515" s="82"/>
      <c r="P515" s="82"/>
      <c r="Q515" s="82" t="s">
        <v>1968</v>
      </c>
      <c r="R515" s="111">
        <v>45624</v>
      </c>
      <c r="S515" s="82" t="s">
        <v>9</v>
      </c>
      <c r="T515" s="81" t="s">
        <v>144</v>
      </c>
      <c r="U515" s="81" t="s">
        <v>144</v>
      </c>
    </row>
    <row r="516" spans="1:21" ht="60" x14ac:dyDescent="0.25">
      <c r="A516" s="81"/>
      <c r="B516" s="81" t="s">
        <v>8</v>
      </c>
      <c r="C516" s="81" t="s">
        <v>144</v>
      </c>
      <c r="D516" s="81" t="s">
        <v>10</v>
      </c>
      <c r="E516" s="81" t="s">
        <v>1969</v>
      </c>
      <c r="F516" s="81" t="s">
        <v>199</v>
      </c>
      <c r="G516" s="81" t="s">
        <v>1970</v>
      </c>
      <c r="H516" s="81"/>
      <c r="I516" s="81"/>
      <c r="J516" s="81"/>
      <c r="K516" s="81"/>
      <c r="L516" s="81"/>
      <c r="M516" s="82" t="s">
        <v>52</v>
      </c>
      <c r="N516" s="82"/>
      <c r="O516" s="82"/>
      <c r="P516" s="82"/>
      <c r="Q516" s="82" t="s">
        <v>1971</v>
      </c>
      <c r="R516" s="111">
        <v>45614</v>
      </c>
      <c r="S516" s="82" t="s">
        <v>1972</v>
      </c>
      <c r="T516" s="81" t="s">
        <v>144</v>
      </c>
      <c r="U516" s="81" t="s">
        <v>144</v>
      </c>
    </row>
    <row r="517" spans="1:21" x14ac:dyDescent="0.25">
      <c r="A517" s="81"/>
      <c r="B517" s="81" t="s">
        <v>8</v>
      </c>
      <c r="C517" s="81" t="s">
        <v>144</v>
      </c>
      <c r="D517" s="81" t="s">
        <v>10</v>
      </c>
      <c r="E517" s="81" t="s">
        <v>1973</v>
      </c>
      <c r="F517" s="81" t="s">
        <v>1974</v>
      </c>
      <c r="G517" s="81" t="s">
        <v>1975</v>
      </c>
      <c r="H517" s="81"/>
      <c r="I517" s="81"/>
      <c r="J517" s="81"/>
      <c r="K517" s="81"/>
      <c r="L517" s="81"/>
      <c r="M517" s="82" t="s">
        <v>52</v>
      </c>
      <c r="N517" s="82"/>
      <c r="O517" s="82"/>
      <c r="P517" s="82"/>
      <c r="Q517" s="82"/>
      <c r="R517" s="111">
        <v>45623</v>
      </c>
      <c r="S517" s="82"/>
      <c r="T517" s="81" t="s">
        <v>144</v>
      </c>
      <c r="U517" s="81" t="s">
        <v>144</v>
      </c>
    </row>
    <row r="518" spans="1:21" x14ac:dyDescent="0.25">
      <c r="A518" s="81"/>
      <c r="B518" s="81" t="s">
        <v>8</v>
      </c>
      <c r="C518" s="81" t="s">
        <v>144</v>
      </c>
      <c r="D518" s="81" t="s">
        <v>10</v>
      </c>
      <c r="E518" s="81" t="s">
        <v>1976</v>
      </c>
      <c r="F518" s="81" t="s">
        <v>200</v>
      </c>
      <c r="G518" s="81" t="s">
        <v>1977</v>
      </c>
      <c r="H518" s="81"/>
      <c r="I518" s="81"/>
      <c r="J518" s="81"/>
      <c r="K518" s="81"/>
      <c r="L518" s="81"/>
      <c r="M518" s="82" t="s">
        <v>52</v>
      </c>
      <c r="N518" s="82"/>
      <c r="O518" s="82"/>
      <c r="P518" s="82"/>
      <c r="Q518" s="82" t="s">
        <v>1978</v>
      </c>
      <c r="R518" s="111">
        <v>45617</v>
      </c>
      <c r="S518" s="82"/>
      <c r="T518" s="81" t="s">
        <v>144</v>
      </c>
      <c r="U518" s="81" t="s">
        <v>3332</v>
      </c>
    </row>
    <row r="519" spans="1:21" x14ac:dyDescent="0.25">
      <c r="A519" s="81"/>
      <c r="B519" s="81" t="s">
        <v>8</v>
      </c>
      <c r="C519" s="81" t="s">
        <v>144</v>
      </c>
      <c r="D519" s="81" t="s">
        <v>10</v>
      </c>
      <c r="E519" s="81" t="s">
        <v>1979</v>
      </c>
      <c r="F519" s="81" t="s">
        <v>200</v>
      </c>
      <c r="G519" s="81" t="s">
        <v>1980</v>
      </c>
      <c r="H519" s="81"/>
      <c r="I519" s="81"/>
      <c r="J519" s="81"/>
      <c r="K519" s="81"/>
      <c r="L519" s="81"/>
      <c r="M519" s="82" t="s">
        <v>52</v>
      </c>
      <c r="N519" s="82"/>
      <c r="O519" s="82"/>
      <c r="P519" s="82"/>
      <c r="Q519" s="82" t="s">
        <v>1978</v>
      </c>
      <c r="R519" s="111">
        <v>45617</v>
      </c>
      <c r="S519" s="82"/>
      <c r="T519" s="81" t="s">
        <v>144</v>
      </c>
      <c r="U519" s="81" t="s">
        <v>144</v>
      </c>
    </row>
    <row r="520" spans="1:21" ht="30" x14ac:dyDescent="0.25">
      <c r="A520" s="81"/>
      <c r="B520" s="81" t="s">
        <v>8</v>
      </c>
      <c r="C520" s="81" t="s">
        <v>144</v>
      </c>
      <c r="D520" s="81" t="s">
        <v>10</v>
      </c>
      <c r="E520" s="81" t="s">
        <v>1981</v>
      </c>
      <c r="F520" s="81" t="s">
        <v>199</v>
      </c>
      <c r="G520" s="81" t="s">
        <v>1982</v>
      </c>
      <c r="H520" s="81"/>
      <c r="I520" s="81"/>
      <c r="J520" s="81"/>
      <c r="K520" s="81"/>
      <c r="L520" s="81"/>
      <c r="M520" s="82" t="s">
        <v>52</v>
      </c>
      <c r="N520" s="82"/>
      <c r="O520" s="82"/>
      <c r="P520" s="82"/>
      <c r="Q520" s="82" t="s">
        <v>1983</v>
      </c>
      <c r="R520" s="111">
        <v>45610</v>
      </c>
      <c r="S520" s="82" t="s">
        <v>9</v>
      </c>
      <c r="T520" s="81" t="s">
        <v>144</v>
      </c>
      <c r="U520" s="81" t="s">
        <v>144</v>
      </c>
    </row>
    <row r="521" spans="1:21" ht="60" x14ac:dyDescent="0.25">
      <c r="A521" s="81"/>
      <c r="B521" s="81" t="s">
        <v>8</v>
      </c>
      <c r="C521" s="81" t="s">
        <v>144</v>
      </c>
      <c r="D521" s="81" t="s">
        <v>10</v>
      </c>
      <c r="E521" s="81" t="s">
        <v>1984</v>
      </c>
      <c r="F521" s="81" t="s">
        <v>203</v>
      </c>
      <c r="G521" s="81" t="s">
        <v>1985</v>
      </c>
      <c r="H521" s="81"/>
      <c r="I521" s="81"/>
      <c r="J521" s="81"/>
      <c r="K521" s="81"/>
      <c r="L521" s="81"/>
      <c r="M521" s="82" t="s">
        <v>52</v>
      </c>
      <c r="N521" s="82"/>
      <c r="O521" s="82"/>
      <c r="P521" s="82"/>
      <c r="Q521" s="82" t="s">
        <v>1986</v>
      </c>
      <c r="R521" s="111">
        <v>45615</v>
      </c>
      <c r="S521" s="82" t="s">
        <v>9</v>
      </c>
      <c r="T521" s="81" t="s">
        <v>144</v>
      </c>
      <c r="U521" s="81" t="s">
        <v>144</v>
      </c>
    </row>
    <row r="522" spans="1:21" ht="30" x14ac:dyDescent="0.25">
      <c r="A522" s="81"/>
      <c r="B522" s="81" t="s">
        <v>8</v>
      </c>
      <c r="C522" s="81" t="s">
        <v>144</v>
      </c>
      <c r="D522" s="81" t="s">
        <v>10</v>
      </c>
      <c r="E522" s="81" t="s">
        <v>1987</v>
      </c>
      <c r="F522" s="81" t="s">
        <v>150</v>
      </c>
      <c r="G522" s="81" t="s">
        <v>1988</v>
      </c>
      <c r="H522" s="81"/>
      <c r="I522" s="81"/>
      <c r="J522" s="81"/>
      <c r="K522" s="81"/>
      <c r="L522" s="81"/>
      <c r="M522" s="82" t="s">
        <v>52</v>
      </c>
      <c r="N522" s="82"/>
      <c r="O522" s="82"/>
      <c r="P522" s="82"/>
      <c r="Q522" s="82" t="s">
        <v>1989</v>
      </c>
      <c r="R522" s="111">
        <v>45617</v>
      </c>
      <c r="S522" s="82" t="s">
        <v>9</v>
      </c>
      <c r="T522" s="81" t="s">
        <v>144</v>
      </c>
      <c r="U522" s="81" t="s">
        <v>144</v>
      </c>
    </row>
    <row r="523" spans="1:21" ht="30" x14ac:dyDescent="0.25">
      <c r="A523" s="81"/>
      <c r="B523" s="81" t="s">
        <v>8</v>
      </c>
      <c r="C523" s="81" t="s">
        <v>144</v>
      </c>
      <c r="D523" s="81" t="s">
        <v>10</v>
      </c>
      <c r="E523" s="81" t="s">
        <v>1990</v>
      </c>
      <c r="F523" s="81" t="s">
        <v>150</v>
      </c>
      <c r="G523" s="81" t="s">
        <v>1991</v>
      </c>
      <c r="H523" s="81"/>
      <c r="I523" s="81"/>
      <c r="J523" s="81"/>
      <c r="K523" s="81"/>
      <c r="L523" s="81"/>
      <c r="M523" s="82" t="s">
        <v>52</v>
      </c>
      <c r="N523" s="82"/>
      <c r="O523" s="82"/>
      <c r="P523" s="82"/>
      <c r="Q523" s="82" t="s">
        <v>1992</v>
      </c>
      <c r="R523" s="111">
        <v>45617</v>
      </c>
      <c r="S523" s="82" t="s">
        <v>9</v>
      </c>
      <c r="T523" s="81" t="s">
        <v>144</v>
      </c>
      <c r="U523" s="81" t="s">
        <v>3333</v>
      </c>
    </row>
    <row r="524" spans="1:21" ht="30" x14ac:dyDescent="0.25">
      <c r="A524" s="81"/>
      <c r="B524" s="81" t="s">
        <v>8</v>
      </c>
      <c r="C524" s="81" t="s">
        <v>144</v>
      </c>
      <c r="D524" s="81" t="s">
        <v>10</v>
      </c>
      <c r="E524" s="81" t="s">
        <v>1993</v>
      </c>
      <c r="F524" s="81" t="s">
        <v>150</v>
      </c>
      <c r="G524" s="81" t="s">
        <v>1994</v>
      </c>
      <c r="H524" s="81"/>
      <c r="I524" s="81"/>
      <c r="J524" s="81"/>
      <c r="K524" s="81"/>
      <c r="L524" s="81"/>
      <c r="M524" s="82" t="s">
        <v>52</v>
      </c>
      <c r="N524" s="82"/>
      <c r="O524" s="82"/>
      <c r="P524" s="82"/>
      <c r="Q524" s="82" t="s">
        <v>1995</v>
      </c>
      <c r="R524" s="111">
        <v>45617</v>
      </c>
      <c r="S524" s="82" t="s">
        <v>9</v>
      </c>
      <c r="T524" s="81" t="s">
        <v>144</v>
      </c>
      <c r="U524" s="81" t="s">
        <v>144</v>
      </c>
    </row>
    <row r="525" spans="1:21" ht="45" x14ac:dyDescent="0.25">
      <c r="A525" s="81"/>
      <c r="B525" s="81" t="s">
        <v>8</v>
      </c>
      <c r="C525" s="81" t="s">
        <v>144</v>
      </c>
      <c r="D525" s="81" t="s">
        <v>10</v>
      </c>
      <c r="E525" s="81" t="s">
        <v>1996</v>
      </c>
      <c r="F525" s="81" t="s">
        <v>157</v>
      </c>
      <c r="G525" s="81" t="s">
        <v>1997</v>
      </c>
      <c r="H525" s="81"/>
      <c r="I525" s="81"/>
      <c r="J525" s="81"/>
      <c r="K525" s="81"/>
      <c r="L525" s="81"/>
      <c r="M525" s="82" t="s">
        <v>52</v>
      </c>
      <c r="N525" s="82"/>
      <c r="O525" s="82"/>
      <c r="P525" s="82"/>
      <c r="Q525" s="82" t="s">
        <v>1998</v>
      </c>
      <c r="R525" s="111">
        <v>45617</v>
      </c>
      <c r="S525" s="82" t="s">
        <v>11</v>
      </c>
      <c r="T525" s="81" t="s">
        <v>144</v>
      </c>
      <c r="U525" s="81" t="s">
        <v>144</v>
      </c>
    </row>
    <row r="526" spans="1:21" ht="30" x14ac:dyDescent="0.25">
      <c r="A526" s="81"/>
      <c r="B526" s="81" t="s">
        <v>8</v>
      </c>
      <c r="C526" s="81" t="s">
        <v>144</v>
      </c>
      <c r="D526" s="81" t="s">
        <v>10</v>
      </c>
      <c r="E526" s="81" t="s">
        <v>1999</v>
      </c>
      <c r="F526" s="81" t="s">
        <v>167</v>
      </c>
      <c r="G526" s="81" t="s">
        <v>2000</v>
      </c>
      <c r="H526" s="81"/>
      <c r="I526" s="81"/>
      <c r="J526" s="81"/>
      <c r="K526" s="81"/>
      <c r="L526" s="81"/>
      <c r="M526" s="82" t="s">
        <v>52</v>
      </c>
      <c r="N526" s="82"/>
      <c r="O526" s="82"/>
      <c r="P526" s="82"/>
      <c r="Q526" s="82" t="s">
        <v>2001</v>
      </c>
      <c r="R526" s="111">
        <v>45614</v>
      </c>
      <c r="S526" s="82" t="s">
        <v>1596</v>
      </c>
      <c r="T526" s="81" t="s">
        <v>144</v>
      </c>
      <c r="U526" s="81" t="s">
        <v>144</v>
      </c>
    </row>
    <row r="527" spans="1:21" ht="30" x14ac:dyDescent="0.25">
      <c r="A527" s="81"/>
      <c r="B527" s="81" t="s">
        <v>8</v>
      </c>
      <c r="C527" s="81" t="s">
        <v>144</v>
      </c>
      <c r="D527" s="81" t="s">
        <v>10</v>
      </c>
      <c r="E527" s="81" t="s">
        <v>2002</v>
      </c>
      <c r="F527" s="81" t="s">
        <v>199</v>
      </c>
      <c r="G527" s="81" t="s">
        <v>2003</v>
      </c>
      <c r="H527" s="81"/>
      <c r="I527" s="81"/>
      <c r="J527" s="81"/>
      <c r="K527" s="81"/>
      <c r="L527" s="81"/>
      <c r="M527" s="82" t="s">
        <v>52</v>
      </c>
      <c r="N527" s="82"/>
      <c r="O527" s="82"/>
      <c r="P527" s="82"/>
      <c r="Q527" s="82" t="s">
        <v>2004</v>
      </c>
      <c r="R527" s="111">
        <v>45610</v>
      </c>
      <c r="S527" s="82" t="s">
        <v>2005</v>
      </c>
      <c r="T527" s="81" t="s">
        <v>144</v>
      </c>
      <c r="U527" s="81" t="s">
        <v>144</v>
      </c>
    </row>
    <row r="528" spans="1:21" ht="30" x14ac:dyDescent="0.25">
      <c r="A528" s="81"/>
      <c r="B528" s="81" t="s">
        <v>8</v>
      </c>
      <c r="C528" s="81" t="s">
        <v>144</v>
      </c>
      <c r="D528" s="81" t="s">
        <v>10</v>
      </c>
      <c r="E528" s="81" t="s">
        <v>2006</v>
      </c>
      <c r="F528" s="81" t="s">
        <v>150</v>
      </c>
      <c r="G528" s="81" t="s">
        <v>2007</v>
      </c>
      <c r="H528" s="81"/>
      <c r="I528" s="81"/>
      <c r="J528" s="81"/>
      <c r="K528" s="81"/>
      <c r="L528" s="81"/>
      <c r="M528" s="82" t="s">
        <v>52</v>
      </c>
      <c r="N528" s="82"/>
      <c r="O528" s="82"/>
      <c r="P528" s="82"/>
      <c r="Q528" s="82" t="s">
        <v>2008</v>
      </c>
      <c r="R528" s="111">
        <v>45603</v>
      </c>
      <c r="S528" s="82" t="s">
        <v>546</v>
      </c>
      <c r="T528" s="81" t="s">
        <v>144</v>
      </c>
      <c r="U528" s="81" t="s">
        <v>144</v>
      </c>
    </row>
    <row r="529" spans="1:21" ht="30" x14ac:dyDescent="0.25">
      <c r="A529" s="81"/>
      <c r="B529" s="81" t="s">
        <v>8</v>
      </c>
      <c r="C529" s="81" t="s">
        <v>144</v>
      </c>
      <c r="D529" s="81" t="s">
        <v>10</v>
      </c>
      <c r="E529" s="81" t="s">
        <v>2009</v>
      </c>
      <c r="F529" s="81" t="s">
        <v>159</v>
      </c>
      <c r="G529" s="81" t="s">
        <v>2010</v>
      </c>
      <c r="H529" s="81"/>
      <c r="I529" s="81"/>
      <c r="J529" s="81"/>
      <c r="K529" s="81"/>
      <c r="L529" s="81"/>
      <c r="M529" s="82" t="s">
        <v>52</v>
      </c>
      <c r="N529" s="82"/>
      <c r="O529" s="82"/>
      <c r="P529" s="82"/>
      <c r="Q529" s="82" t="s">
        <v>2008</v>
      </c>
      <c r="R529" s="111">
        <v>45600</v>
      </c>
      <c r="S529" s="82" t="s">
        <v>11</v>
      </c>
      <c r="T529" s="81" t="s">
        <v>144</v>
      </c>
      <c r="U529" s="81" t="s">
        <v>144</v>
      </c>
    </row>
    <row r="530" spans="1:21" ht="30" x14ac:dyDescent="0.25">
      <c r="A530" s="81"/>
      <c r="B530" s="81" t="s">
        <v>8</v>
      </c>
      <c r="C530" s="81" t="s">
        <v>144</v>
      </c>
      <c r="D530" s="81" t="s">
        <v>10</v>
      </c>
      <c r="E530" s="81" t="s">
        <v>2011</v>
      </c>
      <c r="F530" s="81" t="s">
        <v>150</v>
      </c>
      <c r="G530" s="81" t="s">
        <v>2012</v>
      </c>
      <c r="H530" s="81"/>
      <c r="I530" s="81"/>
      <c r="J530" s="81"/>
      <c r="K530" s="81"/>
      <c r="L530" s="81"/>
      <c r="M530" s="82" t="s">
        <v>52</v>
      </c>
      <c r="N530" s="82"/>
      <c r="O530" s="82"/>
      <c r="P530" s="82"/>
      <c r="Q530" s="82" t="s">
        <v>2013</v>
      </c>
      <c r="R530" s="111">
        <v>45600</v>
      </c>
      <c r="S530" s="82" t="s">
        <v>11</v>
      </c>
      <c r="T530" s="81" t="s">
        <v>144</v>
      </c>
      <c r="U530" s="81" t="s">
        <v>144</v>
      </c>
    </row>
    <row r="531" spans="1:21" x14ac:dyDescent="0.25">
      <c r="A531" s="81"/>
      <c r="B531" s="81" t="s">
        <v>8</v>
      </c>
      <c r="C531" s="81" t="s">
        <v>144</v>
      </c>
      <c r="D531" s="81" t="s">
        <v>10</v>
      </c>
      <c r="E531" s="81" t="s">
        <v>2014</v>
      </c>
      <c r="F531" s="81" t="s">
        <v>150</v>
      </c>
      <c r="G531" s="81" t="s">
        <v>2015</v>
      </c>
      <c r="H531" s="81"/>
      <c r="I531" s="81"/>
      <c r="J531" s="81"/>
      <c r="K531" s="81"/>
      <c r="L531" s="81"/>
      <c r="M531" s="82" t="s">
        <v>52</v>
      </c>
      <c r="N531" s="82"/>
      <c r="O531" s="82"/>
      <c r="P531" s="82"/>
      <c r="Q531" s="82" t="s">
        <v>2016</v>
      </c>
      <c r="R531" s="111">
        <v>45598</v>
      </c>
      <c r="S531" s="82" t="s">
        <v>2017</v>
      </c>
      <c r="T531" s="81" t="s">
        <v>144</v>
      </c>
      <c r="U531" s="81" t="s">
        <v>144</v>
      </c>
    </row>
    <row r="532" spans="1:21" ht="30" x14ac:dyDescent="0.25">
      <c r="A532" s="81"/>
      <c r="B532" s="81" t="s">
        <v>8</v>
      </c>
      <c r="C532" s="81" t="s">
        <v>144</v>
      </c>
      <c r="D532" s="81" t="s">
        <v>10</v>
      </c>
      <c r="E532" s="81" t="s">
        <v>2018</v>
      </c>
      <c r="F532" s="81" t="s">
        <v>150</v>
      </c>
      <c r="G532" s="81" t="s">
        <v>2019</v>
      </c>
      <c r="H532" s="81"/>
      <c r="I532" s="81"/>
      <c r="J532" s="81"/>
      <c r="K532" s="81"/>
      <c r="L532" s="81"/>
      <c r="M532" s="82" t="s">
        <v>52</v>
      </c>
      <c r="N532" s="82"/>
      <c r="O532" s="82"/>
      <c r="P532" s="82"/>
      <c r="Q532" s="82" t="s">
        <v>427</v>
      </c>
      <c r="R532" s="111">
        <v>45593</v>
      </c>
      <c r="S532" s="82" t="s">
        <v>1750</v>
      </c>
      <c r="T532" s="81" t="s">
        <v>144</v>
      </c>
      <c r="U532" s="81" t="s">
        <v>144</v>
      </c>
    </row>
    <row r="533" spans="1:21" ht="30" x14ac:dyDescent="0.25">
      <c r="A533" s="81"/>
      <c r="B533" s="81" t="s">
        <v>8</v>
      </c>
      <c r="C533" s="81" t="s">
        <v>144</v>
      </c>
      <c r="D533" s="81" t="s">
        <v>10</v>
      </c>
      <c r="E533" s="81" t="s">
        <v>2020</v>
      </c>
      <c r="F533" s="81" t="s">
        <v>168</v>
      </c>
      <c r="G533" s="81" t="s">
        <v>2021</v>
      </c>
      <c r="H533" s="81"/>
      <c r="I533" s="81"/>
      <c r="J533" s="81"/>
      <c r="K533" s="81"/>
      <c r="L533" s="81"/>
      <c r="M533" s="82" t="s">
        <v>52</v>
      </c>
      <c r="N533" s="82"/>
      <c r="O533" s="82"/>
      <c r="P533" s="82"/>
      <c r="Q533" s="82" t="s">
        <v>2022</v>
      </c>
      <c r="R533" s="111">
        <v>45600</v>
      </c>
      <c r="S533" s="82" t="s">
        <v>9</v>
      </c>
      <c r="T533" s="81" t="s">
        <v>144</v>
      </c>
      <c r="U533" s="81" t="s">
        <v>144</v>
      </c>
    </row>
    <row r="534" spans="1:21" ht="30" x14ac:dyDescent="0.25">
      <c r="A534" s="81"/>
      <c r="B534" s="81" t="s">
        <v>8</v>
      </c>
      <c r="C534" s="81" t="s">
        <v>144</v>
      </c>
      <c r="D534" s="81" t="s">
        <v>10</v>
      </c>
      <c r="E534" s="81" t="s">
        <v>2023</v>
      </c>
      <c r="F534" s="81" t="s">
        <v>159</v>
      </c>
      <c r="G534" s="81" t="s">
        <v>2024</v>
      </c>
      <c r="H534" s="81"/>
      <c r="I534" s="81"/>
      <c r="J534" s="81"/>
      <c r="K534" s="81"/>
      <c r="L534" s="81"/>
      <c r="M534" s="82" t="s">
        <v>52</v>
      </c>
      <c r="N534" s="82"/>
      <c r="O534" s="82"/>
      <c r="P534" s="82"/>
      <c r="Q534" s="82" t="s">
        <v>2025</v>
      </c>
      <c r="R534" s="111">
        <v>45600</v>
      </c>
      <c r="S534" s="82" t="s">
        <v>9</v>
      </c>
      <c r="T534" s="81" t="s">
        <v>144</v>
      </c>
      <c r="U534" s="81" t="s">
        <v>144</v>
      </c>
    </row>
    <row r="535" spans="1:21" ht="30" x14ac:dyDescent="0.25">
      <c r="A535" s="81"/>
      <c r="B535" s="81" t="s">
        <v>8</v>
      </c>
      <c r="C535" s="81" t="s">
        <v>144</v>
      </c>
      <c r="D535" s="81" t="s">
        <v>10</v>
      </c>
      <c r="E535" s="81" t="s">
        <v>2026</v>
      </c>
      <c r="F535" s="81" t="s">
        <v>157</v>
      </c>
      <c r="G535" s="81" t="s">
        <v>2027</v>
      </c>
      <c r="H535" s="81"/>
      <c r="I535" s="81"/>
      <c r="J535" s="81"/>
      <c r="K535" s="81"/>
      <c r="L535" s="81"/>
      <c r="M535" s="82" t="s">
        <v>52</v>
      </c>
      <c r="N535" s="82"/>
      <c r="O535" s="82"/>
      <c r="P535" s="82"/>
      <c r="Q535" s="82" t="s">
        <v>2028</v>
      </c>
      <c r="R535" s="111">
        <v>45601</v>
      </c>
      <c r="S535" s="82" t="s">
        <v>11</v>
      </c>
      <c r="T535" s="81" t="s">
        <v>144</v>
      </c>
      <c r="U535" s="81" t="s">
        <v>144</v>
      </c>
    </row>
    <row r="536" spans="1:21" ht="30" x14ac:dyDescent="0.25">
      <c r="A536" s="81"/>
      <c r="B536" s="81" t="s">
        <v>8</v>
      </c>
      <c r="C536" s="81" t="s">
        <v>144</v>
      </c>
      <c r="D536" s="81" t="s">
        <v>10</v>
      </c>
      <c r="E536" s="81" t="s">
        <v>2029</v>
      </c>
      <c r="F536" s="81" t="s">
        <v>203</v>
      </c>
      <c r="G536" s="81" t="s">
        <v>2030</v>
      </c>
      <c r="H536" s="81"/>
      <c r="I536" s="81"/>
      <c r="J536" s="81"/>
      <c r="K536" s="81"/>
      <c r="L536" s="81"/>
      <c r="M536" s="82" t="s">
        <v>52</v>
      </c>
      <c r="N536" s="82"/>
      <c r="O536" s="82"/>
      <c r="P536" s="82"/>
      <c r="Q536" s="82" t="s">
        <v>2008</v>
      </c>
      <c r="R536" s="111">
        <v>45598</v>
      </c>
      <c r="S536" s="82" t="s">
        <v>1750</v>
      </c>
      <c r="T536" s="81" t="s">
        <v>144</v>
      </c>
      <c r="U536" s="81" t="s">
        <v>144</v>
      </c>
    </row>
    <row r="537" spans="1:21" x14ac:dyDescent="0.25">
      <c r="A537" s="81"/>
      <c r="B537" s="81" t="s">
        <v>8</v>
      </c>
      <c r="C537" s="81" t="s">
        <v>144</v>
      </c>
      <c r="D537" s="81" t="s">
        <v>10</v>
      </c>
      <c r="E537" s="81" t="s">
        <v>2031</v>
      </c>
      <c r="F537" s="81" t="s">
        <v>160</v>
      </c>
      <c r="G537" s="81" t="s">
        <v>2032</v>
      </c>
      <c r="H537" s="81"/>
      <c r="I537" s="81"/>
      <c r="J537" s="81"/>
      <c r="K537" s="81"/>
      <c r="L537" s="81"/>
      <c r="M537" s="82" t="s">
        <v>52</v>
      </c>
      <c r="N537" s="82"/>
      <c r="O537" s="82"/>
      <c r="P537" s="82"/>
      <c r="Q537" s="82" t="s">
        <v>2033</v>
      </c>
      <c r="R537" s="111">
        <v>45743</v>
      </c>
      <c r="S537" s="82" t="s">
        <v>20</v>
      </c>
      <c r="T537" s="81" t="s">
        <v>144</v>
      </c>
      <c r="U537" s="81" t="s">
        <v>144</v>
      </c>
    </row>
    <row r="538" spans="1:21" ht="60" x14ac:dyDescent="0.25">
      <c r="A538" s="81"/>
      <c r="B538" s="81" t="s">
        <v>8</v>
      </c>
      <c r="C538" s="81" t="s">
        <v>144</v>
      </c>
      <c r="D538" s="81" t="s">
        <v>10</v>
      </c>
      <c r="E538" s="81" t="s">
        <v>2034</v>
      </c>
      <c r="F538" s="81" t="s">
        <v>203</v>
      </c>
      <c r="G538" s="81" t="s">
        <v>2035</v>
      </c>
      <c r="H538" s="81"/>
      <c r="I538" s="81"/>
      <c r="J538" s="81"/>
      <c r="K538" s="81"/>
      <c r="L538" s="81"/>
      <c r="M538" s="82" t="s">
        <v>52</v>
      </c>
      <c r="N538" s="82"/>
      <c r="O538" s="82"/>
      <c r="P538" s="82"/>
      <c r="Q538" s="82" t="s">
        <v>2036</v>
      </c>
      <c r="R538" s="111">
        <v>45784</v>
      </c>
      <c r="S538" s="82" t="s">
        <v>9</v>
      </c>
      <c r="T538" s="81" t="s">
        <v>144</v>
      </c>
      <c r="U538" s="81" t="s">
        <v>3334</v>
      </c>
    </row>
    <row r="539" spans="1:21" x14ac:dyDescent="0.25">
      <c r="A539" s="81"/>
      <c r="B539" s="81" t="s">
        <v>8</v>
      </c>
      <c r="C539" s="81" t="s">
        <v>144</v>
      </c>
      <c r="D539" s="81" t="s">
        <v>10</v>
      </c>
      <c r="E539" s="81" t="s">
        <v>2037</v>
      </c>
      <c r="F539" s="81" t="s">
        <v>160</v>
      </c>
      <c r="G539" s="81" t="s">
        <v>2038</v>
      </c>
      <c r="H539" s="81"/>
      <c r="I539" s="81"/>
      <c r="J539" s="81"/>
      <c r="K539" s="81"/>
      <c r="L539" s="81"/>
      <c r="M539" s="82" t="s">
        <v>52</v>
      </c>
      <c r="N539" s="82"/>
      <c r="O539" s="82"/>
      <c r="P539" s="82"/>
      <c r="Q539" s="82"/>
      <c r="R539" s="111"/>
      <c r="S539" s="82"/>
      <c r="T539" s="81" t="s">
        <v>144</v>
      </c>
      <c r="U539" s="81" t="s">
        <v>144</v>
      </c>
    </row>
    <row r="540" spans="1:21" ht="30" x14ac:dyDescent="0.25">
      <c r="A540" s="81"/>
      <c r="B540" s="81" t="s">
        <v>8</v>
      </c>
      <c r="C540" s="81" t="s">
        <v>144</v>
      </c>
      <c r="D540" s="81" t="s">
        <v>10</v>
      </c>
      <c r="E540" s="81" t="s">
        <v>2039</v>
      </c>
      <c r="F540" s="81" t="s">
        <v>157</v>
      </c>
      <c r="G540" s="81" t="s">
        <v>2040</v>
      </c>
      <c r="H540" s="81"/>
      <c r="I540" s="81"/>
      <c r="J540" s="81"/>
      <c r="K540" s="81"/>
      <c r="L540" s="81"/>
      <c r="M540" s="82" t="s">
        <v>52</v>
      </c>
      <c r="N540" s="82"/>
      <c r="O540" s="82"/>
      <c r="P540" s="82"/>
      <c r="Q540" s="82" t="s">
        <v>2041</v>
      </c>
      <c r="R540" s="111">
        <v>45775</v>
      </c>
      <c r="S540" s="82" t="s">
        <v>1615</v>
      </c>
      <c r="T540" s="81" t="s">
        <v>144</v>
      </c>
      <c r="U540" s="81" t="s">
        <v>3335</v>
      </c>
    </row>
    <row r="541" spans="1:21" ht="45" x14ac:dyDescent="0.25">
      <c r="A541" s="81"/>
      <c r="B541" s="81" t="s">
        <v>8</v>
      </c>
      <c r="C541" s="81" t="s">
        <v>144</v>
      </c>
      <c r="D541" s="81" t="s">
        <v>10</v>
      </c>
      <c r="E541" s="81" t="s">
        <v>2042</v>
      </c>
      <c r="F541" s="81" t="s">
        <v>159</v>
      </c>
      <c r="G541" s="81" t="s">
        <v>2043</v>
      </c>
      <c r="H541" s="81"/>
      <c r="I541" s="81"/>
      <c r="J541" s="81"/>
      <c r="K541" s="81"/>
      <c r="L541" s="81"/>
      <c r="M541" s="82" t="s">
        <v>52</v>
      </c>
      <c r="N541" s="82"/>
      <c r="O541" s="82"/>
      <c r="P541" s="82"/>
      <c r="Q541" s="82" t="s">
        <v>2044</v>
      </c>
      <c r="R541" s="111">
        <v>45791</v>
      </c>
      <c r="S541" s="82" t="s">
        <v>23</v>
      </c>
      <c r="T541" s="81" t="s">
        <v>144</v>
      </c>
      <c r="U541" s="81" t="s">
        <v>3336</v>
      </c>
    </row>
    <row r="542" spans="1:21" x14ac:dyDescent="0.25">
      <c r="A542" s="81"/>
      <c r="B542" s="81" t="s">
        <v>8</v>
      </c>
      <c r="C542" s="81" t="s">
        <v>144</v>
      </c>
      <c r="D542" s="81" t="s">
        <v>10</v>
      </c>
      <c r="E542" s="81" t="s">
        <v>2045</v>
      </c>
      <c r="F542" s="81" t="s">
        <v>167</v>
      </c>
      <c r="G542" s="81" t="s">
        <v>2046</v>
      </c>
      <c r="H542" s="81"/>
      <c r="I542" s="81"/>
      <c r="J542" s="81"/>
      <c r="K542" s="81"/>
      <c r="L542" s="81"/>
      <c r="M542" s="82" t="s">
        <v>52</v>
      </c>
      <c r="N542" s="82"/>
      <c r="O542" s="82"/>
      <c r="P542" s="82"/>
      <c r="Q542" s="82" t="s">
        <v>2047</v>
      </c>
      <c r="R542" s="111">
        <v>45790</v>
      </c>
      <c r="S542" s="82" t="s">
        <v>238</v>
      </c>
      <c r="T542" s="81" t="s">
        <v>144</v>
      </c>
      <c r="U542" s="81" t="s">
        <v>144</v>
      </c>
    </row>
    <row r="543" spans="1:21" x14ac:dyDescent="0.25">
      <c r="A543" s="81"/>
      <c r="B543" s="81" t="s">
        <v>8</v>
      </c>
      <c r="C543" s="81" t="s">
        <v>144</v>
      </c>
      <c r="D543" s="81" t="s">
        <v>10</v>
      </c>
      <c r="E543" s="81" t="s">
        <v>2048</v>
      </c>
      <c r="F543" s="81" t="s">
        <v>160</v>
      </c>
      <c r="G543" s="81" t="s">
        <v>2049</v>
      </c>
      <c r="H543" s="81"/>
      <c r="I543" s="81"/>
      <c r="J543" s="81"/>
      <c r="K543" s="81"/>
      <c r="L543" s="81"/>
      <c r="M543" s="82" t="s">
        <v>52</v>
      </c>
      <c r="N543" s="82"/>
      <c r="O543" s="82"/>
      <c r="P543" s="82"/>
      <c r="Q543" s="82" t="s">
        <v>2044</v>
      </c>
      <c r="R543" s="111">
        <v>45791</v>
      </c>
      <c r="S543" s="82" t="s">
        <v>23</v>
      </c>
      <c r="T543" s="81" t="s">
        <v>144</v>
      </c>
      <c r="U543" s="81" t="s">
        <v>3337</v>
      </c>
    </row>
    <row r="544" spans="1:21" x14ac:dyDescent="0.25">
      <c r="A544" s="81"/>
      <c r="B544" s="81" t="s">
        <v>8</v>
      </c>
      <c r="C544" s="81" t="s">
        <v>144</v>
      </c>
      <c r="D544" s="81" t="s">
        <v>10</v>
      </c>
      <c r="E544" s="81" t="s">
        <v>2050</v>
      </c>
      <c r="F544" s="81" t="s">
        <v>160</v>
      </c>
      <c r="G544" s="81" t="s">
        <v>2051</v>
      </c>
      <c r="H544" s="81"/>
      <c r="I544" s="81"/>
      <c r="J544" s="81"/>
      <c r="K544" s="81"/>
      <c r="L544" s="81"/>
      <c r="M544" s="82" t="s">
        <v>52</v>
      </c>
      <c r="N544" s="82"/>
      <c r="O544" s="82"/>
      <c r="P544" s="82"/>
      <c r="Q544" s="82" t="s">
        <v>2044</v>
      </c>
      <c r="R544" s="111">
        <v>45791</v>
      </c>
      <c r="S544" s="82" t="s">
        <v>23</v>
      </c>
      <c r="T544" s="81" t="s">
        <v>144</v>
      </c>
      <c r="U544" s="81" t="s">
        <v>3338</v>
      </c>
    </row>
    <row r="545" spans="1:21" x14ac:dyDescent="0.25">
      <c r="A545" s="81"/>
      <c r="B545" s="81" t="s">
        <v>8</v>
      </c>
      <c r="C545" s="81" t="s">
        <v>144</v>
      </c>
      <c r="D545" s="81" t="s">
        <v>10</v>
      </c>
      <c r="E545" s="81" t="s">
        <v>2052</v>
      </c>
      <c r="F545" s="81" t="s">
        <v>160</v>
      </c>
      <c r="G545" s="81" t="s">
        <v>2053</v>
      </c>
      <c r="H545" s="81"/>
      <c r="I545" s="81"/>
      <c r="J545" s="81"/>
      <c r="K545" s="81"/>
      <c r="L545" s="81"/>
      <c r="M545" s="82" t="s">
        <v>52</v>
      </c>
      <c r="N545" s="82"/>
      <c r="O545" s="82"/>
      <c r="P545" s="82"/>
      <c r="Q545" s="82" t="s">
        <v>2044</v>
      </c>
      <c r="R545" s="111">
        <v>45791</v>
      </c>
      <c r="S545" s="82" t="s">
        <v>23</v>
      </c>
      <c r="T545" s="81" t="s">
        <v>144</v>
      </c>
      <c r="U545" s="81" t="s">
        <v>3339</v>
      </c>
    </row>
    <row r="546" spans="1:21" ht="30" x14ac:dyDescent="0.25">
      <c r="A546" s="81"/>
      <c r="B546" s="81" t="s">
        <v>8</v>
      </c>
      <c r="C546" s="81" t="s">
        <v>144</v>
      </c>
      <c r="D546" s="81" t="s">
        <v>10</v>
      </c>
      <c r="E546" s="81" t="s">
        <v>2054</v>
      </c>
      <c r="F546" s="81" t="s">
        <v>198</v>
      </c>
      <c r="G546" s="81" t="s">
        <v>2055</v>
      </c>
      <c r="H546" s="81"/>
      <c r="I546" s="81"/>
      <c r="J546" s="81"/>
      <c r="K546" s="81"/>
      <c r="L546" s="81"/>
      <c r="M546" s="82" t="s">
        <v>52</v>
      </c>
      <c r="N546" s="82"/>
      <c r="O546" s="82"/>
      <c r="P546" s="82"/>
      <c r="Q546" s="82"/>
      <c r="R546" s="111">
        <v>45785</v>
      </c>
      <c r="S546" s="82" t="s">
        <v>23</v>
      </c>
      <c r="T546" s="81" t="s">
        <v>144</v>
      </c>
      <c r="U546" s="81" t="s">
        <v>144</v>
      </c>
    </row>
    <row r="547" spans="1:21" ht="30" x14ac:dyDescent="0.25">
      <c r="A547" s="81"/>
      <c r="B547" s="81" t="s">
        <v>8</v>
      </c>
      <c r="C547" s="81" t="s">
        <v>144</v>
      </c>
      <c r="D547" s="81" t="s">
        <v>10</v>
      </c>
      <c r="E547" s="81" t="s">
        <v>2056</v>
      </c>
      <c r="F547" s="81" t="s">
        <v>198</v>
      </c>
      <c r="G547" s="81" t="s">
        <v>2057</v>
      </c>
      <c r="H547" s="81"/>
      <c r="I547" s="81"/>
      <c r="J547" s="81"/>
      <c r="K547" s="81"/>
      <c r="L547" s="81"/>
      <c r="M547" s="82" t="s">
        <v>52</v>
      </c>
      <c r="N547" s="82"/>
      <c r="O547" s="82"/>
      <c r="P547" s="82"/>
      <c r="Q547" s="82"/>
      <c r="R547" s="111">
        <v>45785</v>
      </c>
      <c r="S547" s="82" t="s">
        <v>23</v>
      </c>
      <c r="T547" s="81" t="s">
        <v>144</v>
      </c>
      <c r="U547" s="81" t="s">
        <v>144</v>
      </c>
    </row>
    <row r="548" spans="1:21" ht="45" x14ac:dyDescent="0.25">
      <c r="A548" s="81"/>
      <c r="B548" s="81" t="s">
        <v>8</v>
      </c>
      <c r="C548" s="81" t="s">
        <v>144</v>
      </c>
      <c r="D548" s="81" t="s">
        <v>10</v>
      </c>
      <c r="E548" s="81" t="s">
        <v>2058</v>
      </c>
      <c r="F548" s="81" t="s">
        <v>198</v>
      </c>
      <c r="G548" s="81" t="s">
        <v>2059</v>
      </c>
      <c r="H548" s="81"/>
      <c r="I548" s="81"/>
      <c r="J548" s="81"/>
      <c r="K548" s="81"/>
      <c r="L548" s="81"/>
      <c r="M548" s="82" t="s">
        <v>52</v>
      </c>
      <c r="N548" s="82"/>
      <c r="O548" s="82"/>
      <c r="P548" s="82"/>
      <c r="Q548" s="82" t="s">
        <v>2060</v>
      </c>
      <c r="R548" s="111">
        <v>45762</v>
      </c>
      <c r="S548" s="82" t="s">
        <v>2061</v>
      </c>
      <c r="T548" s="81" t="s">
        <v>144</v>
      </c>
      <c r="U548" s="81" t="s">
        <v>144</v>
      </c>
    </row>
    <row r="549" spans="1:21" x14ac:dyDescent="0.25">
      <c r="A549" s="81"/>
      <c r="B549" s="81" t="s">
        <v>8</v>
      </c>
      <c r="C549" s="81" t="s">
        <v>144</v>
      </c>
      <c r="D549" s="81" t="s">
        <v>10</v>
      </c>
      <c r="E549" s="81" t="s">
        <v>2062</v>
      </c>
      <c r="F549" s="81" t="s">
        <v>199</v>
      </c>
      <c r="G549" s="81" t="s">
        <v>2063</v>
      </c>
      <c r="H549" s="81"/>
      <c r="I549" s="81"/>
      <c r="J549" s="81"/>
      <c r="K549" s="81"/>
      <c r="L549" s="81"/>
      <c r="M549" s="82" t="s">
        <v>52</v>
      </c>
      <c r="N549" s="82"/>
      <c r="O549" s="82"/>
      <c r="P549" s="82"/>
      <c r="Q549" s="82" t="s">
        <v>1552</v>
      </c>
      <c r="R549" s="111">
        <v>45798</v>
      </c>
      <c r="S549" s="82" t="s">
        <v>267</v>
      </c>
      <c r="T549" s="81" t="s">
        <v>144</v>
      </c>
      <c r="U549" s="81" t="s">
        <v>144</v>
      </c>
    </row>
    <row r="550" spans="1:21" ht="30" x14ac:dyDescent="0.25">
      <c r="A550" s="81"/>
      <c r="B550" s="81">
        <v>1</v>
      </c>
      <c r="C550" s="81" t="s">
        <v>144</v>
      </c>
      <c r="D550" s="81" t="s">
        <v>10</v>
      </c>
      <c r="E550" s="81" t="s">
        <v>2064</v>
      </c>
      <c r="F550" s="81" t="s">
        <v>160</v>
      </c>
      <c r="G550" s="81" t="s">
        <v>2065</v>
      </c>
      <c r="H550" s="81"/>
      <c r="I550" s="81"/>
      <c r="J550" s="81"/>
      <c r="K550" s="81"/>
      <c r="L550" s="81"/>
      <c r="M550" s="82" t="s">
        <v>52</v>
      </c>
      <c r="N550" s="82"/>
      <c r="O550" s="82"/>
      <c r="P550" s="82"/>
      <c r="Q550" s="82" t="s">
        <v>2066</v>
      </c>
      <c r="R550" s="111">
        <v>45800</v>
      </c>
      <c r="S550" s="82" t="s">
        <v>2067</v>
      </c>
      <c r="T550" s="81" t="s">
        <v>144</v>
      </c>
      <c r="U550" s="81" t="s">
        <v>3340</v>
      </c>
    </row>
    <row r="551" spans="1:21" ht="30" x14ac:dyDescent="0.25">
      <c r="A551" s="81"/>
      <c r="B551" s="81">
        <v>4</v>
      </c>
      <c r="C551" s="81" t="s">
        <v>144</v>
      </c>
      <c r="D551" s="81" t="s">
        <v>10</v>
      </c>
      <c r="E551" s="81" t="s">
        <v>2068</v>
      </c>
      <c r="F551" s="81" t="s">
        <v>199</v>
      </c>
      <c r="G551" s="81" t="s">
        <v>2069</v>
      </c>
      <c r="H551" s="81"/>
      <c r="I551" s="81"/>
      <c r="J551" s="81"/>
      <c r="K551" s="81"/>
      <c r="L551" s="81"/>
      <c r="M551" s="82" t="s">
        <v>52</v>
      </c>
      <c r="N551" s="82"/>
      <c r="O551" s="82"/>
      <c r="P551" s="82"/>
      <c r="Q551" s="82" t="s">
        <v>2070</v>
      </c>
      <c r="R551" s="111">
        <v>45792</v>
      </c>
      <c r="S551" s="82" t="s">
        <v>1483</v>
      </c>
      <c r="T551" s="81" t="s">
        <v>144</v>
      </c>
      <c r="U551" s="81" t="s">
        <v>144</v>
      </c>
    </row>
    <row r="552" spans="1:21" x14ac:dyDescent="0.25">
      <c r="A552" s="81"/>
      <c r="B552" s="81">
        <v>1</v>
      </c>
      <c r="C552" s="81" t="s">
        <v>144</v>
      </c>
      <c r="D552" s="81" t="s">
        <v>10</v>
      </c>
      <c r="E552" s="81" t="s">
        <v>2071</v>
      </c>
      <c r="F552" s="81" t="s">
        <v>198</v>
      </c>
      <c r="G552" s="81" t="s">
        <v>2072</v>
      </c>
      <c r="H552" s="81"/>
      <c r="I552" s="81"/>
      <c r="J552" s="81"/>
      <c r="K552" s="81"/>
      <c r="L552" s="81"/>
      <c r="M552" s="82" t="s">
        <v>52</v>
      </c>
      <c r="N552" s="82"/>
      <c r="O552" s="82"/>
      <c r="P552" s="82"/>
      <c r="Q552" s="82"/>
      <c r="R552" s="111"/>
      <c r="S552" s="82"/>
      <c r="T552" s="81" t="s">
        <v>144</v>
      </c>
      <c r="U552" s="81" t="s">
        <v>144</v>
      </c>
    </row>
    <row r="553" spans="1:21" ht="30" x14ac:dyDescent="0.25">
      <c r="A553" s="81"/>
      <c r="B553" s="81">
        <v>1</v>
      </c>
      <c r="C553" s="81" t="s">
        <v>144</v>
      </c>
      <c r="D553" s="81" t="s">
        <v>10</v>
      </c>
      <c r="E553" s="81" t="s">
        <v>2073</v>
      </c>
      <c r="F553" s="81" t="s">
        <v>198</v>
      </c>
      <c r="G553" s="81" t="s">
        <v>2074</v>
      </c>
      <c r="H553" s="81"/>
      <c r="I553" s="81"/>
      <c r="J553" s="81"/>
      <c r="K553" s="81"/>
      <c r="L553" s="81"/>
      <c r="M553" s="82" t="s">
        <v>52</v>
      </c>
      <c r="N553" s="82"/>
      <c r="O553" s="82"/>
      <c r="P553" s="82"/>
      <c r="Q553" s="82" t="s">
        <v>2075</v>
      </c>
      <c r="R553" s="111">
        <v>45797</v>
      </c>
      <c r="S553" s="82" t="s">
        <v>238</v>
      </c>
      <c r="T553" s="81" t="s">
        <v>144</v>
      </c>
      <c r="U553" s="81" t="s">
        <v>144</v>
      </c>
    </row>
    <row r="554" spans="1:21" ht="60" x14ac:dyDescent="0.25">
      <c r="A554" s="81"/>
      <c r="B554" s="81" t="s">
        <v>8</v>
      </c>
      <c r="C554" s="81" t="s">
        <v>144</v>
      </c>
      <c r="D554" s="81" t="s">
        <v>10</v>
      </c>
      <c r="E554" s="81" t="s">
        <v>2076</v>
      </c>
      <c r="F554" s="81" t="s">
        <v>201</v>
      </c>
      <c r="G554" s="81" t="s">
        <v>2077</v>
      </c>
      <c r="H554" s="81"/>
      <c r="I554" s="81"/>
      <c r="J554" s="81"/>
      <c r="K554" s="81"/>
      <c r="L554" s="81"/>
      <c r="M554" s="82" t="s">
        <v>52</v>
      </c>
      <c r="N554" s="82"/>
      <c r="O554" s="82"/>
      <c r="P554" s="82"/>
      <c r="Q554" s="82" t="s">
        <v>2078</v>
      </c>
      <c r="R554" s="111">
        <v>45804</v>
      </c>
      <c r="S554" s="82" t="s">
        <v>2079</v>
      </c>
      <c r="T554" s="81" t="s">
        <v>144</v>
      </c>
      <c r="U554" s="81" t="s">
        <v>144</v>
      </c>
    </row>
    <row r="555" spans="1:21" ht="30" x14ac:dyDescent="0.25">
      <c r="A555" s="81"/>
      <c r="B555" s="81" t="s">
        <v>8</v>
      </c>
      <c r="C555" s="81" t="s">
        <v>144</v>
      </c>
      <c r="D555" s="81" t="s">
        <v>10</v>
      </c>
      <c r="E555" s="81" t="s">
        <v>2080</v>
      </c>
      <c r="F555" s="81" t="s">
        <v>201</v>
      </c>
      <c r="G555" s="81" t="s">
        <v>2081</v>
      </c>
      <c r="H555" s="81"/>
      <c r="I555" s="81"/>
      <c r="J555" s="81"/>
      <c r="K555" s="81"/>
      <c r="L555" s="81"/>
      <c r="M555" s="82" t="s">
        <v>52</v>
      </c>
      <c r="N555" s="82"/>
      <c r="O555" s="82"/>
      <c r="P555" s="82"/>
      <c r="Q555" s="82" t="s">
        <v>2082</v>
      </c>
      <c r="R555" s="111">
        <v>45804</v>
      </c>
      <c r="S555" s="82" t="s">
        <v>9</v>
      </c>
      <c r="T555" s="81" t="s">
        <v>144</v>
      </c>
      <c r="U555" s="81" t="s">
        <v>144</v>
      </c>
    </row>
    <row r="556" spans="1:21" ht="30" x14ac:dyDescent="0.25">
      <c r="A556" s="81"/>
      <c r="B556" s="81" t="s">
        <v>8</v>
      </c>
      <c r="C556" s="81" t="s">
        <v>144</v>
      </c>
      <c r="D556" s="81" t="s">
        <v>10</v>
      </c>
      <c r="E556" s="81" t="s">
        <v>2083</v>
      </c>
      <c r="F556" s="81" t="s">
        <v>160</v>
      </c>
      <c r="G556" s="81" t="s">
        <v>2084</v>
      </c>
      <c r="H556" s="81"/>
      <c r="I556" s="81"/>
      <c r="J556" s="81"/>
      <c r="K556" s="81"/>
      <c r="L556" s="81"/>
      <c r="M556" s="82" t="s">
        <v>52</v>
      </c>
      <c r="N556" s="82"/>
      <c r="O556" s="82"/>
      <c r="P556" s="82"/>
      <c r="Q556" s="82" t="s">
        <v>2085</v>
      </c>
      <c r="R556" s="111">
        <v>45805</v>
      </c>
      <c r="S556" s="82" t="s">
        <v>1211</v>
      </c>
      <c r="T556" s="81" t="s">
        <v>144</v>
      </c>
      <c r="U556" s="81" t="s">
        <v>3341</v>
      </c>
    </row>
    <row r="557" spans="1:21" ht="30" x14ac:dyDescent="0.25">
      <c r="A557" s="81"/>
      <c r="B557" s="81">
        <v>1</v>
      </c>
      <c r="C557" s="81" t="s">
        <v>144</v>
      </c>
      <c r="D557" s="81" t="s">
        <v>10</v>
      </c>
      <c r="E557" s="81" t="s">
        <v>2086</v>
      </c>
      <c r="F557" s="81" t="s">
        <v>203</v>
      </c>
      <c r="G557" s="81" t="s">
        <v>2087</v>
      </c>
      <c r="H557" s="81"/>
      <c r="I557" s="81"/>
      <c r="J557" s="81"/>
      <c r="K557" s="81"/>
      <c r="L557" s="81"/>
      <c r="M557" s="82" t="s">
        <v>52</v>
      </c>
      <c r="N557" s="82"/>
      <c r="O557" s="82"/>
      <c r="P557" s="82"/>
      <c r="Q557" s="82" t="s">
        <v>2088</v>
      </c>
      <c r="R557" s="111">
        <v>45805</v>
      </c>
      <c r="S557" s="82" t="s">
        <v>2089</v>
      </c>
      <c r="T557" s="81" t="s">
        <v>144</v>
      </c>
      <c r="U557" s="81" t="s">
        <v>144</v>
      </c>
    </row>
    <row r="558" spans="1:21" x14ac:dyDescent="0.25">
      <c r="A558" s="81"/>
      <c r="B558" s="81" t="s">
        <v>8</v>
      </c>
      <c r="C558" s="81" t="s">
        <v>144</v>
      </c>
      <c r="D558" s="81" t="s">
        <v>10</v>
      </c>
      <c r="E558" s="81" t="s">
        <v>2090</v>
      </c>
      <c r="F558" s="81" t="s">
        <v>3306</v>
      </c>
      <c r="G558" s="81" t="s">
        <v>2091</v>
      </c>
      <c r="H558" s="81"/>
      <c r="I558" s="81"/>
      <c r="J558" s="81"/>
      <c r="K558" s="81"/>
      <c r="L558" s="81"/>
      <c r="M558" s="82" t="s">
        <v>52</v>
      </c>
      <c r="N558" s="82"/>
      <c r="O558" s="82"/>
      <c r="P558" s="82"/>
      <c r="Q558" s="82" t="s">
        <v>2092</v>
      </c>
      <c r="R558" s="111">
        <v>45805</v>
      </c>
      <c r="S558" s="82" t="s">
        <v>2093</v>
      </c>
      <c r="T558" s="81" t="s">
        <v>144</v>
      </c>
      <c r="U558" s="81" t="s">
        <v>144</v>
      </c>
    </row>
    <row r="559" spans="1:21" ht="45" x14ac:dyDescent="0.25">
      <c r="A559" s="81"/>
      <c r="B559" s="81" t="s">
        <v>8</v>
      </c>
      <c r="C559" s="81" t="s">
        <v>144</v>
      </c>
      <c r="D559" s="81" t="s">
        <v>10</v>
      </c>
      <c r="E559" s="81" t="s">
        <v>2094</v>
      </c>
      <c r="F559" s="81" t="s">
        <v>198</v>
      </c>
      <c r="G559" s="81" t="s">
        <v>2095</v>
      </c>
      <c r="H559" s="81"/>
      <c r="I559" s="81"/>
      <c r="J559" s="81"/>
      <c r="K559" s="81"/>
      <c r="L559" s="81"/>
      <c r="M559" s="82" t="s">
        <v>52</v>
      </c>
      <c r="N559" s="82"/>
      <c r="O559" s="82"/>
      <c r="P559" s="82"/>
      <c r="Q559" s="82" t="s">
        <v>2096</v>
      </c>
      <c r="R559" s="111">
        <v>45785</v>
      </c>
      <c r="S559" s="82" t="s">
        <v>23</v>
      </c>
      <c r="T559" s="81" t="s">
        <v>144</v>
      </c>
      <c r="U559" s="81" t="s">
        <v>144</v>
      </c>
    </row>
    <row r="560" spans="1:21" x14ac:dyDescent="0.25">
      <c r="A560" s="81"/>
      <c r="B560" s="81" t="s">
        <v>8</v>
      </c>
      <c r="C560" s="81" t="s">
        <v>144</v>
      </c>
      <c r="D560" s="81" t="s">
        <v>10</v>
      </c>
      <c r="E560" s="81" t="s">
        <v>2097</v>
      </c>
      <c r="F560" s="81" t="s">
        <v>201</v>
      </c>
      <c r="G560" s="81" t="s">
        <v>2098</v>
      </c>
      <c r="H560" s="81"/>
      <c r="I560" s="81"/>
      <c r="J560" s="81"/>
      <c r="K560" s="81"/>
      <c r="L560" s="81"/>
      <c r="M560" s="82" t="s">
        <v>52</v>
      </c>
      <c r="N560" s="82"/>
      <c r="O560" s="82"/>
      <c r="P560" s="82"/>
      <c r="Q560" s="82"/>
      <c r="R560" s="111"/>
      <c r="S560" s="82"/>
      <c r="T560" s="81" t="s">
        <v>144</v>
      </c>
      <c r="U560" s="81" t="s">
        <v>144</v>
      </c>
    </row>
    <row r="561" spans="1:21" x14ac:dyDescent="0.25">
      <c r="A561" s="81"/>
      <c r="B561" s="81">
        <v>1</v>
      </c>
      <c r="C561" s="81" t="s">
        <v>144</v>
      </c>
      <c r="D561" s="81" t="s">
        <v>10</v>
      </c>
      <c r="E561" s="81" t="s">
        <v>2099</v>
      </c>
      <c r="F561" s="81" t="s">
        <v>150</v>
      </c>
      <c r="G561" s="81" t="s">
        <v>2100</v>
      </c>
      <c r="H561" s="81"/>
      <c r="I561" s="81"/>
      <c r="J561" s="81"/>
      <c r="K561" s="81"/>
      <c r="L561" s="81"/>
      <c r="M561" s="82" t="s">
        <v>52</v>
      </c>
      <c r="N561" s="82"/>
      <c r="O561" s="82"/>
      <c r="P561" s="82"/>
      <c r="Q561" s="82"/>
      <c r="R561" s="111"/>
      <c r="S561" s="82"/>
      <c r="T561" s="81" t="s">
        <v>144</v>
      </c>
      <c r="U561" s="81" t="s">
        <v>3342</v>
      </c>
    </row>
    <row r="562" spans="1:21" ht="45" x14ac:dyDescent="0.25">
      <c r="A562" s="81"/>
      <c r="B562" s="81">
        <v>2</v>
      </c>
      <c r="C562" s="81" t="s">
        <v>144</v>
      </c>
      <c r="D562" s="81" t="s">
        <v>10</v>
      </c>
      <c r="E562" s="81" t="s">
        <v>79</v>
      </c>
      <c r="F562" s="81" t="s">
        <v>167</v>
      </c>
      <c r="G562" s="81" t="s">
        <v>2101</v>
      </c>
      <c r="H562" s="81"/>
      <c r="I562" s="81"/>
      <c r="J562" s="81"/>
      <c r="K562" s="81"/>
      <c r="L562" s="81"/>
      <c r="M562" s="82" t="s">
        <v>52</v>
      </c>
      <c r="N562" s="82"/>
      <c r="O562" s="82"/>
      <c r="P562" s="82"/>
      <c r="Q562" s="82" t="s">
        <v>80</v>
      </c>
      <c r="R562" s="111">
        <v>45770</v>
      </c>
      <c r="S562" s="82" t="s">
        <v>46</v>
      </c>
      <c r="T562" s="81" t="s">
        <v>144</v>
      </c>
      <c r="U562" s="81" t="s">
        <v>3343</v>
      </c>
    </row>
    <row r="563" spans="1:21" ht="30" x14ac:dyDescent="0.25">
      <c r="A563" s="81"/>
      <c r="B563" s="81">
        <v>3</v>
      </c>
      <c r="C563" s="81" t="s">
        <v>144</v>
      </c>
      <c r="D563" s="81" t="s">
        <v>10</v>
      </c>
      <c r="E563" s="81" t="s">
        <v>2102</v>
      </c>
      <c r="F563" s="81" t="s">
        <v>168</v>
      </c>
      <c r="G563" s="81" t="s">
        <v>2103</v>
      </c>
      <c r="H563" s="81"/>
      <c r="I563" s="81"/>
      <c r="J563" s="81"/>
      <c r="K563" s="81"/>
      <c r="L563" s="81"/>
      <c r="M563" s="82" t="s">
        <v>52</v>
      </c>
      <c r="N563" s="82"/>
      <c r="O563" s="82"/>
      <c r="P563" s="82"/>
      <c r="Q563" s="82" t="s">
        <v>2104</v>
      </c>
      <c r="R563" s="111">
        <v>45812</v>
      </c>
      <c r="S563" s="82" t="s">
        <v>2105</v>
      </c>
      <c r="T563" s="81" t="s">
        <v>144</v>
      </c>
      <c r="U563" s="81" t="s">
        <v>3344</v>
      </c>
    </row>
    <row r="564" spans="1:21" x14ac:dyDescent="0.25">
      <c r="A564" s="81"/>
      <c r="B564" s="81">
        <v>4</v>
      </c>
      <c r="C564" s="81" t="s">
        <v>144</v>
      </c>
      <c r="D564" s="81" t="s">
        <v>10</v>
      </c>
      <c r="E564" s="81" t="s">
        <v>2106</v>
      </c>
      <c r="F564" s="81" t="s">
        <v>201</v>
      </c>
      <c r="G564" s="81" t="s">
        <v>2107</v>
      </c>
      <c r="H564" s="81"/>
      <c r="I564" s="81"/>
      <c r="J564" s="81"/>
      <c r="K564" s="81"/>
      <c r="L564" s="81"/>
      <c r="M564" s="82" t="s">
        <v>52</v>
      </c>
      <c r="N564" s="82"/>
      <c r="O564" s="82"/>
      <c r="P564" s="82"/>
      <c r="Q564" s="82"/>
      <c r="R564" s="111"/>
      <c r="S564" s="82"/>
      <c r="T564" s="81" t="s">
        <v>144</v>
      </c>
      <c r="U564" s="81" t="s">
        <v>3345</v>
      </c>
    </row>
    <row r="565" spans="1:21" x14ac:dyDescent="0.25">
      <c r="A565" s="81"/>
      <c r="B565" s="81">
        <v>4</v>
      </c>
      <c r="C565" s="81" t="s">
        <v>144</v>
      </c>
      <c r="D565" s="81" t="s">
        <v>10</v>
      </c>
      <c r="E565" s="81" t="s">
        <v>2108</v>
      </c>
      <c r="F565" s="81" t="s">
        <v>150</v>
      </c>
      <c r="G565" s="81" t="s">
        <v>2109</v>
      </c>
      <c r="H565" s="81"/>
      <c r="I565" s="81"/>
      <c r="J565" s="81"/>
      <c r="K565" s="81"/>
      <c r="L565" s="81"/>
      <c r="M565" s="82" t="s">
        <v>52</v>
      </c>
      <c r="N565" s="82"/>
      <c r="O565" s="82"/>
      <c r="P565" s="82"/>
      <c r="Q565" s="82"/>
      <c r="R565" s="111"/>
      <c r="S565" s="82"/>
      <c r="T565" s="81" t="s">
        <v>144</v>
      </c>
      <c r="U565" s="81" t="s">
        <v>3346</v>
      </c>
    </row>
    <row r="566" spans="1:21" x14ac:dyDescent="0.25">
      <c r="A566" s="81"/>
      <c r="B566" s="81">
        <v>4</v>
      </c>
      <c r="C566" s="81" t="s">
        <v>144</v>
      </c>
      <c r="D566" s="81" t="s">
        <v>10</v>
      </c>
      <c r="E566" s="81" t="s">
        <v>2110</v>
      </c>
      <c r="F566" s="81" t="s">
        <v>159</v>
      </c>
      <c r="G566" s="81" t="s">
        <v>2111</v>
      </c>
      <c r="H566" s="81"/>
      <c r="I566" s="81"/>
      <c r="J566" s="81"/>
      <c r="K566" s="81"/>
      <c r="L566" s="81"/>
      <c r="M566" s="82" t="s">
        <v>52</v>
      </c>
      <c r="N566" s="82"/>
      <c r="O566" s="82"/>
      <c r="P566" s="82"/>
      <c r="Q566" s="82"/>
      <c r="R566" s="111"/>
      <c r="S566" s="82"/>
      <c r="T566" s="81" t="s">
        <v>144</v>
      </c>
      <c r="U566" s="81" t="s">
        <v>3347</v>
      </c>
    </row>
    <row r="567" spans="1:21" x14ac:dyDescent="0.25">
      <c r="A567" s="81"/>
      <c r="B567" s="81">
        <v>4</v>
      </c>
      <c r="C567" s="81" t="s">
        <v>144</v>
      </c>
      <c r="D567" s="81" t="s">
        <v>10</v>
      </c>
      <c r="E567" s="81" t="s">
        <v>2112</v>
      </c>
      <c r="F567" s="81" t="s">
        <v>3306</v>
      </c>
      <c r="G567" s="81" t="s">
        <v>2113</v>
      </c>
      <c r="H567" s="81"/>
      <c r="I567" s="81"/>
      <c r="J567" s="81"/>
      <c r="K567" s="81"/>
      <c r="L567" s="81"/>
      <c r="M567" s="82" t="s">
        <v>52</v>
      </c>
      <c r="N567" s="82"/>
      <c r="O567" s="82"/>
      <c r="P567" s="82"/>
      <c r="Q567" s="82"/>
      <c r="R567" s="111"/>
      <c r="S567" s="82"/>
      <c r="T567" s="81" t="s">
        <v>144</v>
      </c>
      <c r="U567" s="81" t="s">
        <v>3348</v>
      </c>
    </row>
    <row r="568" spans="1:21" x14ac:dyDescent="0.25">
      <c r="A568" s="81"/>
      <c r="B568" s="81">
        <v>4</v>
      </c>
      <c r="C568" s="81" t="s">
        <v>144</v>
      </c>
      <c r="D568" s="81" t="s">
        <v>10</v>
      </c>
      <c r="E568" s="81" t="s">
        <v>2114</v>
      </c>
      <c r="F568" s="81" t="s">
        <v>160</v>
      </c>
      <c r="G568" s="81" t="s">
        <v>2115</v>
      </c>
      <c r="H568" s="81"/>
      <c r="I568" s="81"/>
      <c r="J568" s="81"/>
      <c r="K568" s="81"/>
      <c r="L568" s="81"/>
      <c r="M568" s="82" t="s">
        <v>52</v>
      </c>
      <c r="N568" s="82"/>
      <c r="O568" s="82"/>
      <c r="P568" s="82"/>
      <c r="Q568" s="82"/>
      <c r="R568" s="111"/>
      <c r="S568" s="82"/>
      <c r="T568" s="81" t="s">
        <v>144</v>
      </c>
      <c r="U568" s="81" t="s">
        <v>3349</v>
      </c>
    </row>
    <row r="569" spans="1:21" x14ac:dyDescent="0.25">
      <c r="A569" s="81"/>
      <c r="B569" s="81">
        <v>4</v>
      </c>
      <c r="C569" s="81" t="s">
        <v>144</v>
      </c>
      <c r="D569" s="81" t="s">
        <v>10</v>
      </c>
      <c r="E569" s="81" t="s">
        <v>2116</v>
      </c>
      <c r="F569" s="81" t="s">
        <v>157</v>
      </c>
      <c r="G569" s="81" t="s">
        <v>2117</v>
      </c>
      <c r="H569" s="81"/>
      <c r="I569" s="81"/>
      <c r="J569" s="81"/>
      <c r="K569" s="81"/>
      <c r="L569" s="81"/>
      <c r="M569" s="82" t="s">
        <v>52</v>
      </c>
      <c r="N569" s="82"/>
      <c r="O569" s="82"/>
      <c r="P569" s="82"/>
      <c r="Q569" s="82"/>
      <c r="R569" s="111"/>
      <c r="S569" s="82"/>
      <c r="T569" s="81" t="s">
        <v>144</v>
      </c>
      <c r="U569" s="81" t="s">
        <v>3350</v>
      </c>
    </row>
    <row r="570" spans="1:21" x14ac:dyDescent="0.25">
      <c r="A570" s="81"/>
      <c r="B570" s="81">
        <v>4</v>
      </c>
      <c r="C570" s="81" t="s">
        <v>144</v>
      </c>
      <c r="D570" s="81" t="s">
        <v>10</v>
      </c>
      <c r="E570" s="81" t="s">
        <v>2118</v>
      </c>
      <c r="F570" s="81" t="s">
        <v>150</v>
      </c>
      <c r="G570" s="81" t="s">
        <v>2119</v>
      </c>
      <c r="H570" s="81"/>
      <c r="I570" s="81"/>
      <c r="J570" s="81"/>
      <c r="K570" s="81"/>
      <c r="L570" s="81"/>
      <c r="M570" s="82" t="s">
        <v>52</v>
      </c>
      <c r="N570" s="82"/>
      <c r="O570" s="82"/>
      <c r="P570" s="82"/>
      <c r="Q570" s="82"/>
      <c r="R570" s="111"/>
      <c r="S570" s="82"/>
      <c r="T570" s="81" t="s">
        <v>144</v>
      </c>
      <c r="U570" s="81" t="s">
        <v>3351</v>
      </c>
    </row>
    <row r="571" spans="1:21" x14ac:dyDescent="0.25">
      <c r="A571" s="81"/>
      <c r="B571" s="81">
        <v>4</v>
      </c>
      <c r="C571" s="81" t="s">
        <v>144</v>
      </c>
      <c r="D571" s="81" t="s">
        <v>10</v>
      </c>
      <c r="E571" s="81" t="s">
        <v>2120</v>
      </c>
      <c r="F571" s="81" t="s">
        <v>168</v>
      </c>
      <c r="G571" s="81" t="s">
        <v>2121</v>
      </c>
      <c r="H571" s="81"/>
      <c r="I571" s="81"/>
      <c r="J571" s="81"/>
      <c r="K571" s="81"/>
      <c r="L571" s="81"/>
      <c r="M571" s="82" t="s">
        <v>52</v>
      </c>
      <c r="N571" s="82"/>
      <c r="O571" s="82"/>
      <c r="P571" s="82"/>
      <c r="Q571" s="82"/>
      <c r="R571" s="111"/>
      <c r="S571" s="82"/>
      <c r="T571" s="81" t="s">
        <v>144</v>
      </c>
      <c r="U571" s="81" t="s">
        <v>3352</v>
      </c>
    </row>
    <row r="572" spans="1:21" x14ac:dyDescent="0.25">
      <c r="A572" s="81"/>
      <c r="B572" s="81">
        <v>4</v>
      </c>
      <c r="C572" s="81" t="s">
        <v>144</v>
      </c>
      <c r="D572" s="81" t="s">
        <v>10</v>
      </c>
      <c r="E572" s="81" t="s">
        <v>2122</v>
      </c>
      <c r="F572" s="81" t="s">
        <v>201</v>
      </c>
      <c r="G572" s="81" t="s">
        <v>2123</v>
      </c>
      <c r="H572" s="81"/>
      <c r="I572" s="81"/>
      <c r="J572" s="81"/>
      <c r="K572" s="81"/>
      <c r="L572" s="81"/>
      <c r="M572" s="82" t="s">
        <v>52</v>
      </c>
      <c r="N572" s="82"/>
      <c r="O572" s="82"/>
      <c r="P572" s="82"/>
      <c r="Q572" s="82"/>
      <c r="R572" s="111"/>
      <c r="S572" s="82"/>
      <c r="T572" s="81" t="s">
        <v>144</v>
      </c>
      <c r="U572" s="81" t="s">
        <v>3353</v>
      </c>
    </row>
    <row r="573" spans="1:21" x14ac:dyDescent="0.25">
      <c r="A573" s="81"/>
      <c r="B573" s="81">
        <v>4</v>
      </c>
      <c r="C573" s="81" t="s">
        <v>144</v>
      </c>
      <c r="D573" s="81" t="s">
        <v>10</v>
      </c>
      <c r="E573" s="81" t="s">
        <v>2124</v>
      </c>
      <c r="F573" s="81" t="s">
        <v>160</v>
      </c>
      <c r="G573" s="81" t="s">
        <v>2125</v>
      </c>
      <c r="H573" s="81"/>
      <c r="I573" s="81"/>
      <c r="J573" s="81"/>
      <c r="K573" s="81"/>
      <c r="L573" s="81"/>
      <c r="M573" s="82" t="s">
        <v>52</v>
      </c>
      <c r="N573" s="82"/>
      <c r="O573" s="82"/>
      <c r="P573" s="82"/>
      <c r="Q573" s="82"/>
      <c r="R573" s="111"/>
      <c r="S573" s="82"/>
      <c r="T573" s="81" t="s">
        <v>144</v>
      </c>
      <c r="U573" s="81" t="s">
        <v>3354</v>
      </c>
    </row>
    <row r="574" spans="1:21" x14ac:dyDescent="0.25">
      <c r="A574" s="81"/>
      <c r="B574" s="81">
        <v>4</v>
      </c>
      <c r="C574" s="81" t="s">
        <v>144</v>
      </c>
      <c r="D574" s="81" t="s">
        <v>10</v>
      </c>
      <c r="E574" s="81" t="s">
        <v>2126</v>
      </c>
      <c r="F574" s="81" t="s">
        <v>160</v>
      </c>
      <c r="G574" s="81" t="s">
        <v>2127</v>
      </c>
      <c r="H574" s="81"/>
      <c r="I574" s="81"/>
      <c r="J574" s="81"/>
      <c r="K574" s="81"/>
      <c r="L574" s="81"/>
      <c r="M574" s="82" t="s">
        <v>52</v>
      </c>
      <c r="N574" s="82"/>
      <c r="O574" s="82"/>
      <c r="P574" s="82"/>
      <c r="Q574" s="82"/>
      <c r="R574" s="111"/>
      <c r="S574" s="82"/>
      <c r="T574" s="81" t="s">
        <v>144</v>
      </c>
      <c r="U574" s="81" t="s">
        <v>144</v>
      </c>
    </row>
    <row r="575" spans="1:21" x14ac:dyDescent="0.25">
      <c r="A575" s="81"/>
      <c r="B575" s="81">
        <v>4</v>
      </c>
      <c r="C575" s="81" t="s">
        <v>144</v>
      </c>
      <c r="D575" s="81" t="s">
        <v>10</v>
      </c>
      <c r="E575" s="81" t="s">
        <v>2128</v>
      </c>
      <c r="F575" s="81" t="s">
        <v>160</v>
      </c>
      <c r="G575" s="81" t="s">
        <v>2129</v>
      </c>
      <c r="H575" s="81"/>
      <c r="I575" s="81"/>
      <c r="J575" s="81"/>
      <c r="K575" s="81"/>
      <c r="L575" s="81"/>
      <c r="M575" s="82" t="s">
        <v>52</v>
      </c>
      <c r="N575" s="82"/>
      <c r="O575" s="82"/>
      <c r="P575" s="82"/>
      <c r="Q575" s="82"/>
      <c r="R575" s="111"/>
      <c r="S575" s="82"/>
      <c r="T575" s="81" t="s">
        <v>144</v>
      </c>
      <c r="U575" s="81" t="s">
        <v>3355</v>
      </c>
    </row>
    <row r="576" spans="1:21" x14ac:dyDescent="0.25">
      <c r="A576" s="81"/>
      <c r="B576" s="81">
        <v>4</v>
      </c>
      <c r="C576" s="81" t="s">
        <v>144</v>
      </c>
      <c r="D576" s="81" t="s">
        <v>10</v>
      </c>
      <c r="E576" s="81" t="s">
        <v>2130</v>
      </c>
      <c r="F576" s="81" t="s">
        <v>150</v>
      </c>
      <c r="G576" s="81" t="s">
        <v>2131</v>
      </c>
      <c r="H576" s="81"/>
      <c r="I576" s="81"/>
      <c r="J576" s="81"/>
      <c r="K576" s="81"/>
      <c r="L576" s="81"/>
      <c r="M576" s="82" t="s">
        <v>52</v>
      </c>
      <c r="N576" s="82"/>
      <c r="O576" s="82"/>
      <c r="P576" s="82"/>
      <c r="Q576" s="82"/>
      <c r="R576" s="111"/>
      <c r="S576" s="82"/>
      <c r="T576" s="81" t="s">
        <v>144</v>
      </c>
      <c r="U576" s="81" t="s">
        <v>3356</v>
      </c>
    </row>
    <row r="577" spans="1:21" x14ac:dyDescent="0.25">
      <c r="A577" s="81"/>
      <c r="B577" s="81">
        <v>4</v>
      </c>
      <c r="C577" s="81" t="s">
        <v>144</v>
      </c>
      <c r="D577" s="81" t="s">
        <v>10</v>
      </c>
      <c r="E577" s="81" t="s">
        <v>2132</v>
      </c>
      <c r="F577" s="81" t="s">
        <v>150</v>
      </c>
      <c r="G577" s="81" t="s">
        <v>2133</v>
      </c>
      <c r="H577" s="81"/>
      <c r="I577" s="81"/>
      <c r="J577" s="81"/>
      <c r="K577" s="81"/>
      <c r="L577" s="81"/>
      <c r="M577" s="82" t="s">
        <v>52</v>
      </c>
      <c r="N577" s="82"/>
      <c r="O577" s="82"/>
      <c r="P577" s="82"/>
      <c r="Q577" s="82"/>
      <c r="R577" s="111"/>
      <c r="S577" s="82"/>
      <c r="T577" s="81" t="s">
        <v>144</v>
      </c>
      <c r="U577" s="81" t="s">
        <v>3357</v>
      </c>
    </row>
    <row r="578" spans="1:21" x14ac:dyDescent="0.25">
      <c r="A578" s="81"/>
      <c r="B578" s="81">
        <v>4</v>
      </c>
      <c r="C578" s="81" t="s">
        <v>144</v>
      </c>
      <c r="D578" s="81" t="s">
        <v>10</v>
      </c>
      <c r="E578" s="81" t="s">
        <v>2134</v>
      </c>
      <c r="F578" s="81" t="s">
        <v>203</v>
      </c>
      <c r="G578" s="81" t="s">
        <v>2135</v>
      </c>
      <c r="H578" s="81"/>
      <c r="I578" s="81"/>
      <c r="J578" s="81"/>
      <c r="K578" s="81"/>
      <c r="L578" s="81"/>
      <c r="M578" s="82" t="s">
        <v>52</v>
      </c>
      <c r="N578" s="82"/>
      <c r="O578" s="82"/>
      <c r="P578" s="82"/>
      <c r="Q578" s="82"/>
      <c r="R578" s="111"/>
      <c r="S578" s="82"/>
      <c r="T578" s="81" t="s">
        <v>144</v>
      </c>
      <c r="U578" s="81" t="s">
        <v>3358</v>
      </c>
    </row>
    <row r="579" spans="1:21" x14ac:dyDescent="0.25">
      <c r="A579" s="81"/>
      <c r="B579" s="81">
        <v>4</v>
      </c>
      <c r="C579" s="81" t="s">
        <v>144</v>
      </c>
      <c r="D579" s="81" t="s">
        <v>10</v>
      </c>
      <c r="E579" s="81" t="s">
        <v>2136</v>
      </c>
      <c r="F579" s="81" t="s">
        <v>200</v>
      </c>
      <c r="G579" s="81" t="s">
        <v>2137</v>
      </c>
      <c r="H579" s="81"/>
      <c r="I579" s="81"/>
      <c r="J579" s="81"/>
      <c r="K579" s="81"/>
      <c r="L579" s="81"/>
      <c r="M579" s="82" t="s">
        <v>52</v>
      </c>
      <c r="N579" s="82"/>
      <c r="O579" s="82"/>
      <c r="P579" s="82"/>
      <c r="Q579" s="82"/>
      <c r="R579" s="111"/>
      <c r="S579" s="82"/>
      <c r="T579" s="81" t="s">
        <v>144</v>
      </c>
      <c r="U579" s="81" t="s">
        <v>3358</v>
      </c>
    </row>
    <row r="580" spans="1:21" x14ac:dyDescent="0.25">
      <c r="A580" s="81"/>
      <c r="B580" s="81">
        <v>4</v>
      </c>
      <c r="C580" s="81" t="s">
        <v>144</v>
      </c>
      <c r="D580" s="81" t="s">
        <v>10</v>
      </c>
      <c r="E580" s="81" t="s">
        <v>2138</v>
      </c>
      <c r="F580" s="81" t="s">
        <v>200</v>
      </c>
      <c r="G580" s="81" t="s">
        <v>2139</v>
      </c>
      <c r="H580" s="81"/>
      <c r="I580" s="81"/>
      <c r="J580" s="81"/>
      <c r="K580" s="81"/>
      <c r="L580" s="81"/>
      <c r="M580" s="82" t="s">
        <v>52</v>
      </c>
      <c r="N580" s="82"/>
      <c r="O580" s="82"/>
      <c r="P580" s="82"/>
      <c r="Q580" s="82"/>
      <c r="R580" s="111"/>
      <c r="S580" s="82"/>
      <c r="T580" s="81" t="s">
        <v>144</v>
      </c>
      <c r="U580" s="81" t="s">
        <v>3358</v>
      </c>
    </row>
    <row r="581" spans="1:21" x14ac:dyDescent="0.25">
      <c r="A581" s="81"/>
      <c r="B581" s="81">
        <v>4</v>
      </c>
      <c r="C581" s="81" t="s">
        <v>144</v>
      </c>
      <c r="D581" s="81" t="s">
        <v>10</v>
      </c>
      <c r="E581" s="81" t="s">
        <v>2140</v>
      </c>
      <c r="F581" s="81" t="s">
        <v>198</v>
      </c>
      <c r="G581" s="81" t="s">
        <v>2141</v>
      </c>
      <c r="H581" s="81"/>
      <c r="I581" s="81"/>
      <c r="J581" s="81"/>
      <c r="K581" s="81"/>
      <c r="L581" s="81"/>
      <c r="M581" s="82" t="s">
        <v>52</v>
      </c>
      <c r="N581" s="82"/>
      <c r="O581" s="82"/>
      <c r="P581" s="82"/>
      <c r="Q581" s="82"/>
      <c r="R581" s="111"/>
      <c r="S581" s="82"/>
      <c r="T581" s="81" t="s">
        <v>144</v>
      </c>
      <c r="U581" s="81" t="s">
        <v>3358</v>
      </c>
    </row>
    <row r="582" spans="1:21" x14ac:dyDescent="0.25">
      <c r="A582" s="81"/>
      <c r="B582" s="81">
        <v>4</v>
      </c>
      <c r="C582" s="81" t="s">
        <v>144</v>
      </c>
      <c r="D582" s="81" t="s">
        <v>10</v>
      </c>
      <c r="E582" s="81" t="s">
        <v>2142</v>
      </c>
      <c r="F582" s="81" t="s">
        <v>201</v>
      </c>
      <c r="G582" s="81" t="s">
        <v>2143</v>
      </c>
      <c r="H582" s="81"/>
      <c r="I582" s="81"/>
      <c r="J582" s="81"/>
      <c r="K582" s="81"/>
      <c r="L582" s="81"/>
      <c r="M582" s="82" t="s">
        <v>52</v>
      </c>
      <c r="N582" s="82"/>
      <c r="O582" s="82"/>
      <c r="P582" s="82"/>
      <c r="Q582" s="82"/>
      <c r="R582" s="111"/>
      <c r="S582" s="82"/>
      <c r="T582" s="81" t="s">
        <v>144</v>
      </c>
      <c r="U582" s="81" t="s">
        <v>3358</v>
      </c>
    </row>
    <row r="583" spans="1:21" x14ac:dyDescent="0.25">
      <c r="A583" s="81"/>
      <c r="B583" s="81">
        <v>4</v>
      </c>
      <c r="C583" s="81" t="s">
        <v>144</v>
      </c>
      <c r="D583" s="81" t="s">
        <v>10</v>
      </c>
      <c r="E583" s="81" t="s">
        <v>2144</v>
      </c>
      <c r="F583" s="81" t="s">
        <v>157</v>
      </c>
      <c r="G583" s="81" t="s">
        <v>2145</v>
      </c>
      <c r="H583" s="81"/>
      <c r="I583" s="81"/>
      <c r="J583" s="81"/>
      <c r="K583" s="81"/>
      <c r="L583" s="81"/>
      <c r="M583" s="82" t="s">
        <v>52</v>
      </c>
      <c r="N583" s="82"/>
      <c r="O583" s="82"/>
      <c r="P583" s="82"/>
      <c r="Q583" s="82"/>
      <c r="R583" s="111"/>
      <c r="S583" s="82"/>
      <c r="T583" s="81" t="s">
        <v>144</v>
      </c>
      <c r="U583" s="81" t="s">
        <v>3350</v>
      </c>
    </row>
    <row r="584" spans="1:21" x14ac:dyDescent="0.25">
      <c r="A584" s="81"/>
      <c r="B584" s="81">
        <v>4</v>
      </c>
      <c r="C584" s="81" t="s">
        <v>144</v>
      </c>
      <c r="D584" s="81" t="s">
        <v>10</v>
      </c>
      <c r="E584" s="81" t="s">
        <v>2146</v>
      </c>
      <c r="F584" s="81" t="s">
        <v>157</v>
      </c>
      <c r="G584" s="81" t="s">
        <v>2147</v>
      </c>
      <c r="H584" s="81"/>
      <c r="I584" s="81"/>
      <c r="J584" s="81"/>
      <c r="K584" s="81"/>
      <c r="L584" s="81"/>
      <c r="M584" s="82" t="s">
        <v>52</v>
      </c>
      <c r="N584" s="82"/>
      <c r="O584" s="82"/>
      <c r="P584" s="82"/>
      <c r="Q584" s="82"/>
      <c r="R584" s="111"/>
      <c r="S584" s="82"/>
      <c r="T584" s="81" t="s">
        <v>144</v>
      </c>
      <c r="U584" s="81" t="s">
        <v>3350</v>
      </c>
    </row>
    <row r="585" spans="1:21" x14ac:dyDescent="0.25">
      <c r="A585" s="81"/>
      <c r="B585" s="81">
        <v>4</v>
      </c>
      <c r="C585" s="81" t="s">
        <v>144</v>
      </c>
      <c r="D585" s="81" t="s">
        <v>10</v>
      </c>
      <c r="E585" s="81" t="s">
        <v>2148</v>
      </c>
      <c r="F585" s="81" t="s">
        <v>160</v>
      </c>
      <c r="G585" s="81" t="s">
        <v>2149</v>
      </c>
      <c r="H585" s="81"/>
      <c r="I585" s="81"/>
      <c r="J585" s="81"/>
      <c r="K585" s="81"/>
      <c r="L585" s="81"/>
      <c r="M585" s="82" t="s">
        <v>52</v>
      </c>
      <c r="N585" s="82"/>
      <c r="O585" s="82"/>
      <c r="P585" s="82"/>
      <c r="Q585" s="82"/>
      <c r="R585" s="111"/>
      <c r="S585" s="82"/>
      <c r="T585" s="81" t="s">
        <v>144</v>
      </c>
      <c r="U585" s="81" t="s">
        <v>3359</v>
      </c>
    </row>
    <row r="586" spans="1:21" x14ac:dyDescent="0.25">
      <c r="A586" s="81"/>
      <c r="B586" s="81">
        <v>4</v>
      </c>
      <c r="C586" s="81" t="s">
        <v>144</v>
      </c>
      <c r="D586" s="81" t="s">
        <v>10</v>
      </c>
      <c r="E586" s="81" t="s">
        <v>2150</v>
      </c>
      <c r="F586" s="81" t="s">
        <v>150</v>
      </c>
      <c r="G586" s="81" t="s">
        <v>2151</v>
      </c>
      <c r="H586" s="81"/>
      <c r="I586" s="81"/>
      <c r="J586" s="81"/>
      <c r="K586" s="81"/>
      <c r="L586" s="81"/>
      <c r="M586" s="82" t="s">
        <v>52</v>
      </c>
      <c r="N586" s="82"/>
      <c r="O586" s="82"/>
      <c r="P586" s="82"/>
      <c r="Q586" s="82"/>
      <c r="R586" s="111"/>
      <c r="S586" s="82"/>
      <c r="T586" s="81" t="s">
        <v>144</v>
      </c>
      <c r="U586" s="81" t="s">
        <v>3360</v>
      </c>
    </row>
    <row r="587" spans="1:21" x14ac:dyDescent="0.25">
      <c r="A587" s="81"/>
      <c r="B587" s="81">
        <v>4</v>
      </c>
      <c r="C587" s="81" t="s">
        <v>144</v>
      </c>
      <c r="D587" s="81" t="s">
        <v>10</v>
      </c>
      <c r="E587" s="81" t="s">
        <v>2152</v>
      </c>
      <c r="F587" s="81" t="s">
        <v>157</v>
      </c>
      <c r="G587" s="81" t="s">
        <v>2153</v>
      </c>
      <c r="H587" s="81"/>
      <c r="I587" s="81"/>
      <c r="J587" s="81"/>
      <c r="K587" s="81"/>
      <c r="L587" s="81"/>
      <c r="M587" s="82" t="s">
        <v>52</v>
      </c>
      <c r="N587" s="82"/>
      <c r="O587" s="82"/>
      <c r="P587" s="82"/>
      <c r="Q587" s="82"/>
      <c r="R587" s="111"/>
      <c r="S587" s="82"/>
      <c r="T587" s="81" t="s">
        <v>144</v>
      </c>
      <c r="U587" s="81" t="s">
        <v>144</v>
      </c>
    </row>
    <row r="588" spans="1:21" x14ac:dyDescent="0.25">
      <c r="A588" s="81"/>
      <c r="B588" s="81">
        <v>4</v>
      </c>
      <c r="C588" s="81" t="s">
        <v>144</v>
      </c>
      <c r="D588" s="81" t="s">
        <v>10</v>
      </c>
      <c r="E588" s="81" t="s">
        <v>2154</v>
      </c>
      <c r="F588" s="81" t="s">
        <v>159</v>
      </c>
      <c r="G588" s="81" t="s">
        <v>2155</v>
      </c>
      <c r="H588" s="81"/>
      <c r="I588" s="81"/>
      <c r="J588" s="81"/>
      <c r="K588" s="81"/>
      <c r="L588" s="81"/>
      <c r="M588" s="82" t="s">
        <v>52</v>
      </c>
      <c r="N588" s="82"/>
      <c r="O588" s="82"/>
      <c r="P588" s="82"/>
      <c r="Q588" s="82"/>
      <c r="R588" s="111"/>
      <c r="S588" s="82"/>
      <c r="T588" s="81" t="s">
        <v>144</v>
      </c>
      <c r="U588" s="81" t="s">
        <v>3361</v>
      </c>
    </row>
    <row r="589" spans="1:21" ht="30" x14ac:dyDescent="0.25">
      <c r="A589" s="81"/>
      <c r="B589" s="81">
        <v>4</v>
      </c>
      <c r="C589" s="81" t="s">
        <v>144</v>
      </c>
      <c r="D589" s="81" t="s">
        <v>10</v>
      </c>
      <c r="E589" s="81" t="s">
        <v>2156</v>
      </c>
      <c r="F589" s="81" t="s">
        <v>150</v>
      </c>
      <c r="G589" s="81" t="s">
        <v>2157</v>
      </c>
      <c r="H589" s="81"/>
      <c r="I589" s="81"/>
      <c r="J589" s="81"/>
      <c r="K589" s="81"/>
      <c r="L589" s="81"/>
      <c r="M589" s="82" t="s">
        <v>52</v>
      </c>
      <c r="N589" s="82"/>
      <c r="O589" s="82"/>
      <c r="P589" s="82"/>
      <c r="Q589" s="82"/>
      <c r="R589" s="111"/>
      <c r="S589" s="82"/>
      <c r="T589" s="81" t="s">
        <v>144</v>
      </c>
      <c r="U589" s="81" t="s">
        <v>3362</v>
      </c>
    </row>
    <row r="590" spans="1:21" x14ac:dyDescent="0.25">
      <c r="A590" s="81"/>
      <c r="B590" s="81">
        <v>4</v>
      </c>
      <c r="C590" s="81" t="s">
        <v>144</v>
      </c>
      <c r="D590" s="81" t="s">
        <v>10</v>
      </c>
      <c r="E590" s="81" t="s">
        <v>2158</v>
      </c>
      <c r="F590" s="81" t="s">
        <v>150</v>
      </c>
      <c r="G590" s="81" t="s">
        <v>2159</v>
      </c>
      <c r="H590" s="81"/>
      <c r="I590" s="81"/>
      <c r="J590" s="81"/>
      <c r="K590" s="81"/>
      <c r="L590" s="81"/>
      <c r="M590" s="82" t="s">
        <v>52</v>
      </c>
      <c r="N590" s="82"/>
      <c r="O590" s="82"/>
      <c r="P590" s="82"/>
      <c r="Q590" s="82"/>
      <c r="R590" s="111"/>
      <c r="S590" s="82"/>
      <c r="T590" s="81" t="s">
        <v>144</v>
      </c>
      <c r="U590" s="81" t="s">
        <v>144</v>
      </c>
    </row>
    <row r="591" spans="1:21" x14ac:dyDescent="0.25">
      <c r="A591" s="81"/>
      <c r="B591" s="81">
        <v>4</v>
      </c>
      <c r="C591" s="81" t="s">
        <v>144</v>
      </c>
      <c r="D591" s="81" t="s">
        <v>10</v>
      </c>
      <c r="E591" s="81" t="s">
        <v>2160</v>
      </c>
      <c r="F591" s="81" t="s">
        <v>3306</v>
      </c>
      <c r="G591" s="81" t="s">
        <v>2161</v>
      </c>
      <c r="H591" s="81"/>
      <c r="I591" s="81"/>
      <c r="J591" s="81"/>
      <c r="K591" s="81"/>
      <c r="L591" s="81"/>
      <c r="M591" s="82" t="s">
        <v>52</v>
      </c>
      <c r="N591" s="82"/>
      <c r="O591" s="82"/>
      <c r="P591" s="82"/>
      <c r="Q591" s="82"/>
      <c r="R591" s="111"/>
      <c r="S591" s="82"/>
      <c r="T591" s="81" t="s">
        <v>144</v>
      </c>
      <c r="U591" s="81" t="s">
        <v>3363</v>
      </c>
    </row>
    <row r="592" spans="1:21" x14ac:dyDescent="0.25">
      <c r="A592" s="81"/>
      <c r="B592" s="81">
        <v>4</v>
      </c>
      <c r="C592" s="81" t="s">
        <v>144</v>
      </c>
      <c r="D592" s="81" t="s">
        <v>10</v>
      </c>
      <c r="E592" s="81" t="s">
        <v>2162</v>
      </c>
      <c r="F592" s="81" t="s">
        <v>159</v>
      </c>
      <c r="G592" s="81" t="s">
        <v>2163</v>
      </c>
      <c r="H592" s="81"/>
      <c r="I592" s="81"/>
      <c r="J592" s="81"/>
      <c r="K592" s="81"/>
      <c r="L592" s="81"/>
      <c r="M592" s="82" t="s">
        <v>52</v>
      </c>
      <c r="N592" s="82"/>
      <c r="O592" s="82"/>
      <c r="P592" s="82"/>
      <c r="Q592" s="82"/>
      <c r="R592" s="111"/>
      <c r="S592" s="82"/>
      <c r="T592" s="81" t="s">
        <v>144</v>
      </c>
      <c r="U592" s="81" t="s">
        <v>3364</v>
      </c>
    </row>
    <row r="593" spans="1:21" ht="30" x14ac:dyDescent="0.25">
      <c r="A593" s="81"/>
      <c r="B593" s="81">
        <v>4</v>
      </c>
      <c r="C593" s="81" t="s">
        <v>144</v>
      </c>
      <c r="D593" s="81" t="s">
        <v>10</v>
      </c>
      <c r="E593" s="81" t="s">
        <v>2164</v>
      </c>
      <c r="F593" s="81" t="s">
        <v>160</v>
      </c>
      <c r="G593" s="81" t="s">
        <v>2165</v>
      </c>
      <c r="H593" s="81"/>
      <c r="I593" s="81"/>
      <c r="J593" s="81"/>
      <c r="K593" s="81"/>
      <c r="L593" s="81"/>
      <c r="M593" s="82" t="s">
        <v>52</v>
      </c>
      <c r="N593" s="82"/>
      <c r="O593" s="82"/>
      <c r="P593" s="82"/>
      <c r="Q593" s="82"/>
      <c r="R593" s="111"/>
      <c r="S593" s="82"/>
      <c r="T593" s="81" t="s">
        <v>144</v>
      </c>
      <c r="U593" s="81" t="s">
        <v>144</v>
      </c>
    </row>
    <row r="594" spans="1:21" x14ac:dyDescent="0.25">
      <c r="A594" s="81"/>
      <c r="B594" s="81">
        <v>4</v>
      </c>
      <c r="C594" s="81" t="s">
        <v>144</v>
      </c>
      <c r="D594" s="81" t="s">
        <v>10</v>
      </c>
      <c r="E594" s="81" t="s">
        <v>2166</v>
      </c>
      <c r="F594" s="81" t="s">
        <v>160</v>
      </c>
      <c r="G594" s="81" t="s">
        <v>2167</v>
      </c>
      <c r="H594" s="81"/>
      <c r="I594" s="81"/>
      <c r="J594" s="81"/>
      <c r="K594" s="81"/>
      <c r="L594" s="81"/>
      <c r="M594" s="82" t="s">
        <v>52</v>
      </c>
      <c r="N594" s="82" t="s">
        <v>8</v>
      </c>
      <c r="O594" s="82"/>
      <c r="P594" s="82"/>
      <c r="Q594" s="82" t="s">
        <v>2168</v>
      </c>
      <c r="R594" s="111"/>
      <c r="S594" s="82"/>
      <c r="T594" s="81" t="s">
        <v>144</v>
      </c>
      <c r="U594" s="81" t="s">
        <v>3365</v>
      </c>
    </row>
    <row r="595" spans="1:21" x14ac:dyDescent="0.25">
      <c r="A595" s="81"/>
      <c r="B595" s="81">
        <v>4</v>
      </c>
      <c r="C595" s="81" t="s">
        <v>144</v>
      </c>
      <c r="D595" s="81" t="s">
        <v>10</v>
      </c>
      <c r="E595" s="81" t="s">
        <v>2169</v>
      </c>
      <c r="F595" s="81" t="s">
        <v>157</v>
      </c>
      <c r="G595" s="81" t="s">
        <v>2170</v>
      </c>
      <c r="H595" s="81"/>
      <c r="I595" s="81"/>
      <c r="J595" s="81"/>
      <c r="K595" s="81"/>
      <c r="L595" s="81"/>
      <c r="M595" s="82" t="s">
        <v>52</v>
      </c>
      <c r="N595" s="82"/>
      <c r="O595" s="82"/>
      <c r="P595" s="82"/>
      <c r="Q595" s="82"/>
      <c r="R595" s="111"/>
      <c r="S595" s="82"/>
      <c r="T595" s="81" t="s">
        <v>144</v>
      </c>
      <c r="U595" s="81" t="s">
        <v>3350</v>
      </c>
    </row>
    <row r="596" spans="1:21" ht="45" x14ac:dyDescent="0.25">
      <c r="A596" s="81"/>
      <c r="B596" s="81">
        <v>4</v>
      </c>
      <c r="C596" s="81" t="s">
        <v>144</v>
      </c>
      <c r="D596" s="81" t="s">
        <v>10</v>
      </c>
      <c r="E596" s="81" t="s">
        <v>2171</v>
      </c>
      <c r="F596" s="81" t="s">
        <v>203</v>
      </c>
      <c r="G596" s="81" t="s">
        <v>2172</v>
      </c>
      <c r="H596" s="81"/>
      <c r="I596" s="81"/>
      <c r="J596" s="81"/>
      <c r="K596" s="81"/>
      <c r="L596" s="81"/>
      <c r="M596" s="82" t="s">
        <v>52</v>
      </c>
      <c r="N596" s="82"/>
      <c r="O596" s="82"/>
      <c r="P596" s="82"/>
      <c r="Q596" s="82" t="s">
        <v>2173</v>
      </c>
      <c r="R596" s="111">
        <v>45641</v>
      </c>
      <c r="S596" s="82" t="s">
        <v>813</v>
      </c>
      <c r="T596" s="81" t="s">
        <v>144</v>
      </c>
      <c r="U596" s="81" t="s">
        <v>3358</v>
      </c>
    </row>
    <row r="597" spans="1:21" x14ac:dyDescent="0.25">
      <c r="A597" s="81"/>
      <c r="B597" s="81">
        <v>4</v>
      </c>
      <c r="C597" s="81" t="s">
        <v>144</v>
      </c>
      <c r="D597" s="81" t="s">
        <v>10</v>
      </c>
      <c r="E597" s="81" t="s">
        <v>2174</v>
      </c>
      <c r="F597" s="81" t="s">
        <v>160</v>
      </c>
      <c r="G597" s="81" t="s">
        <v>2175</v>
      </c>
      <c r="H597" s="81"/>
      <c r="I597" s="81"/>
      <c r="J597" s="81"/>
      <c r="K597" s="81"/>
      <c r="L597" s="81"/>
      <c r="M597" s="82" t="s">
        <v>52</v>
      </c>
      <c r="N597" s="82"/>
      <c r="O597" s="82"/>
      <c r="P597" s="82"/>
      <c r="Q597" s="82"/>
      <c r="R597" s="111"/>
      <c r="S597" s="82"/>
      <c r="T597" s="81" t="s">
        <v>144</v>
      </c>
      <c r="U597" s="81" t="s">
        <v>144</v>
      </c>
    </row>
    <row r="598" spans="1:21" ht="30" x14ac:dyDescent="0.25">
      <c r="A598" s="81"/>
      <c r="B598" s="81">
        <v>1</v>
      </c>
      <c r="C598" s="81" t="s">
        <v>144</v>
      </c>
      <c r="D598" s="81" t="s">
        <v>10</v>
      </c>
      <c r="E598" s="81" t="s">
        <v>2176</v>
      </c>
      <c r="F598" s="81" t="s">
        <v>198</v>
      </c>
      <c r="G598" s="81" t="s">
        <v>2177</v>
      </c>
      <c r="H598" s="81"/>
      <c r="I598" s="81"/>
      <c r="J598" s="81"/>
      <c r="K598" s="81"/>
      <c r="L598" s="81"/>
      <c r="M598" s="82" t="s">
        <v>52</v>
      </c>
      <c r="N598" s="82"/>
      <c r="O598" s="82"/>
      <c r="P598" s="82"/>
      <c r="Q598" s="82" t="s">
        <v>2178</v>
      </c>
      <c r="R598" s="111">
        <v>45826</v>
      </c>
      <c r="S598" s="82" t="s">
        <v>238</v>
      </c>
      <c r="T598" s="81" t="s">
        <v>144</v>
      </c>
      <c r="U598" s="81" t="s">
        <v>3366</v>
      </c>
    </row>
    <row r="599" spans="1:21" x14ac:dyDescent="0.25">
      <c r="A599" s="81"/>
      <c r="B599" s="81">
        <v>3</v>
      </c>
      <c r="C599" s="81" t="s">
        <v>144</v>
      </c>
      <c r="D599" s="81" t="s">
        <v>10</v>
      </c>
      <c r="E599" s="81" t="s">
        <v>2179</v>
      </c>
      <c r="F599" s="81" t="s">
        <v>3264</v>
      </c>
      <c r="G599" s="81" t="s">
        <v>2180</v>
      </c>
      <c r="H599" s="81"/>
      <c r="I599" s="81"/>
      <c r="J599" s="81"/>
      <c r="K599" s="81"/>
      <c r="L599" s="81"/>
      <c r="M599" s="82" t="s">
        <v>52</v>
      </c>
      <c r="N599" s="82"/>
      <c r="O599" s="82"/>
      <c r="P599" s="82"/>
      <c r="Q599" s="82"/>
      <c r="R599" s="111"/>
      <c r="S599" s="82"/>
      <c r="T599" s="81" t="s">
        <v>144</v>
      </c>
      <c r="U599" s="81" t="s">
        <v>144</v>
      </c>
    </row>
    <row r="600" spans="1:21" x14ac:dyDescent="0.25">
      <c r="A600" s="81"/>
      <c r="B600" s="81">
        <v>3</v>
      </c>
      <c r="C600" s="81" t="s">
        <v>144</v>
      </c>
      <c r="D600" s="81" t="s">
        <v>10</v>
      </c>
      <c r="E600" s="81" t="s">
        <v>2181</v>
      </c>
      <c r="F600" s="81" t="s">
        <v>3264</v>
      </c>
      <c r="G600" s="81" t="s">
        <v>2182</v>
      </c>
      <c r="H600" s="81"/>
      <c r="I600" s="81"/>
      <c r="J600" s="81"/>
      <c r="K600" s="81"/>
      <c r="L600" s="81"/>
      <c r="M600" s="82" t="s">
        <v>52</v>
      </c>
      <c r="N600" s="82"/>
      <c r="O600" s="82"/>
      <c r="P600" s="82"/>
      <c r="Q600" s="82"/>
      <c r="R600" s="111"/>
      <c r="S600" s="82"/>
      <c r="T600" s="81" t="s">
        <v>144</v>
      </c>
      <c r="U600" s="81" t="s">
        <v>144</v>
      </c>
    </row>
    <row r="601" spans="1:21" x14ac:dyDescent="0.25">
      <c r="A601" s="81"/>
      <c r="B601" s="81"/>
      <c r="C601" s="81" t="s">
        <v>144</v>
      </c>
      <c r="D601" s="81" t="s">
        <v>10</v>
      </c>
      <c r="E601" s="81" t="s">
        <v>2183</v>
      </c>
      <c r="F601" s="81" t="s">
        <v>3264</v>
      </c>
      <c r="G601" s="81" t="s">
        <v>2184</v>
      </c>
      <c r="H601" s="81"/>
      <c r="I601" s="81"/>
      <c r="J601" s="81"/>
      <c r="K601" s="81"/>
      <c r="L601" s="81"/>
      <c r="M601" s="82" t="s">
        <v>52</v>
      </c>
      <c r="N601" s="82"/>
      <c r="O601" s="82"/>
      <c r="P601" s="82"/>
      <c r="Q601" s="82"/>
      <c r="R601" s="111"/>
      <c r="S601" s="82"/>
      <c r="T601" s="81" t="s">
        <v>144</v>
      </c>
      <c r="U601" s="81" t="s">
        <v>3367</v>
      </c>
    </row>
    <row r="602" spans="1:21" x14ac:dyDescent="0.25">
      <c r="A602" s="81"/>
      <c r="B602" s="81" t="s">
        <v>8</v>
      </c>
      <c r="C602" s="81" t="s">
        <v>144</v>
      </c>
      <c r="D602" s="81" t="s">
        <v>10</v>
      </c>
      <c r="E602" s="81" t="s">
        <v>2185</v>
      </c>
      <c r="F602" s="81" t="s">
        <v>168</v>
      </c>
      <c r="G602" s="81" t="s">
        <v>2186</v>
      </c>
      <c r="H602" s="81"/>
      <c r="I602" s="81"/>
      <c r="J602" s="81"/>
      <c r="K602" s="81"/>
      <c r="L602" s="81"/>
      <c r="M602" s="82" t="s">
        <v>52</v>
      </c>
      <c r="N602" s="82"/>
      <c r="O602" s="82"/>
      <c r="P602" s="82"/>
      <c r="Q602" s="82" t="s">
        <v>1555</v>
      </c>
      <c r="R602" s="111">
        <v>45835</v>
      </c>
      <c r="S602" s="82" t="s">
        <v>238</v>
      </c>
      <c r="T602" s="81" t="s">
        <v>144</v>
      </c>
      <c r="U602" s="81" t="s">
        <v>3368</v>
      </c>
    </row>
    <row r="603" spans="1:21" ht="30" x14ac:dyDescent="0.25">
      <c r="A603" s="81"/>
      <c r="B603" s="81" t="s">
        <v>8</v>
      </c>
      <c r="C603" s="81" t="s">
        <v>144</v>
      </c>
      <c r="D603" s="81" t="s">
        <v>10</v>
      </c>
      <c r="E603" s="81" t="s">
        <v>2187</v>
      </c>
      <c r="F603" s="81" t="s">
        <v>3264</v>
      </c>
      <c r="G603" s="81" t="s">
        <v>2188</v>
      </c>
      <c r="H603" s="81"/>
      <c r="I603" s="81"/>
      <c r="J603" s="81"/>
      <c r="K603" s="81"/>
      <c r="L603" s="81"/>
      <c r="M603" s="82" t="s">
        <v>52</v>
      </c>
      <c r="N603" s="82"/>
      <c r="O603" s="82"/>
      <c r="P603" s="82"/>
      <c r="Q603" s="82" t="s">
        <v>2189</v>
      </c>
      <c r="R603" s="111">
        <v>45838</v>
      </c>
      <c r="S603" s="82" t="s">
        <v>9</v>
      </c>
      <c r="T603" s="81" t="s">
        <v>144</v>
      </c>
      <c r="U603" s="81" t="s">
        <v>3369</v>
      </c>
    </row>
    <row r="604" spans="1:21" ht="30" x14ac:dyDescent="0.25">
      <c r="A604" s="81"/>
      <c r="B604" s="81">
        <v>3</v>
      </c>
      <c r="C604" s="81" t="s">
        <v>144</v>
      </c>
      <c r="D604" s="81" t="s">
        <v>10</v>
      </c>
      <c r="E604" s="81" t="s">
        <v>2190</v>
      </c>
      <c r="F604" s="81" t="s">
        <v>157</v>
      </c>
      <c r="G604" s="81" t="s">
        <v>2191</v>
      </c>
      <c r="H604" s="81"/>
      <c r="I604" s="81"/>
      <c r="J604" s="81"/>
      <c r="K604" s="81"/>
      <c r="L604" s="81"/>
      <c r="M604" s="82" t="s">
        <v>52</v>
      </c>
      <c r="N604" s="82"/>
      <c r="O604" s="82"/>
      <c r="P604" s="82"/>
      <c r="Q604" s="82" t="s">
        <v>2192</v>
      </c>
      <c r="R604" s="111">
        <v>45838</v>
      </c>
      <c r="S604" s="82" t="s">
        <v>1822</v>
      </c>
      <c r="T604" s="81" t="s">
        <v>144</v>
      </c>
      <c r="U604" s="81" t="s">
        <v>3370</v>
      </c>
    </row>
    <row r="605" spans="1:21" ht="30" x14ac:dyDescent="0.25">
      <c r="A605" s="81"/>
      <c r="B605" s="81">
        <v>3</v>
      </c>
      <c r="C605" s="81" t="s">
        <v>144</v>
      </c>
      <c r="D605" s="81" t="s">
        <v>10</v>
      </c>
      <c r="E605" s="81" t="s">
        <v>2193</v>
      </c>
      <c r="F605" s="81" t="s">
        <v>202</v>
      </c>
      <c r="G605" s="81" t="s">
        <v>2194</v>
      </c>
      <c r="H605" s="81"/>
      <c r="I605" s="81"/>
      <c r="J605" s="81"/>
      <c r="K605" s="81"/>
      <c r="L605" s="81"/>
      <c r="M605" s="82" t="s">
        <v>52</v>
      </c>
      <c r="N605" s="82"/>
      <c r="O605" s="82"/>
      <c r="P605" s="82"/>
      <c r="Q605" s="82" t="s">
        <v>2195</v>
      </c>
      <c r="R605" s="111">
        <v>45840</v>
      </c>
      <c r="S605" s="82" t="s">
        <v>2196</v>
      </c>
      <c r="T605" s="81" t="s">
        <v>144</v>
      </c>
      <c r="U605" s="81" t="s">
        <v>3371</v>
      </c>
    </row>
    <row r="606" spans="1:21" ht="30" x14ac:dyDescent="0.25">
      <c r="A606" s="81"/>
      <c r="B606" s="81">
        <v>3</v>
      </c>
      <c r="C606" s="81" t="s">
        <v>144</v>
      </c>
      <c r="D606" s="81" t="s">
        <v>10</v>
      </c>
      <c r="E606" s="81" t="s">
        <v>2197</v>
      </c>
      <c r="F606" s="81" t="s">
        <v>199</v>
      </c>
      <c r="G606" s="81" t="s">
        <v>2198</v>
      </c>
      <c r="H606" s="81"/>
      <c r="I606" s="81"/>
      <c r="J606" s="81"/>
      <c r="K606" s="81"/>
      <c r="L606" s="81"/>
      <c r="M606" s="82" t="s">
        <v>52</v>
      </c>
      <c r="N606" s="82"/>
      <c r="O606" s="82"/>
      <c r="P606" s="82"/>
      <c r="Q606" s="82" t="s">
        <v>2199</v>
      </c>
      <c r="R606" s="111">
        <v>45840</v>
      </c>
      <c r="S606" s="82" t="s">
        <v>2196</v>
      </c>
      <c r="T606" s="81" t="s">
        <v>144</v>
      </c>
      <c r="U606" s="81" t="s">
        <v>3372</v>
      </c>
    </row>
    <row r="607" spans="1:21" ht="30" x14ac:dyDescent="0.25">
      <c r="A607" s="81"/>
      <c r="B607" s="81"/>
      <c r="C607" s="81" t="s">
        <v>144</v>
      </c>
      <c r="D607" s="81" t="s">
        <v>10</v>
      </c>
      <c r="E607" s="81" t="s">
        <v>2200</v>
      </c>
      <c r="F607" s="81" t="s">
        <v>200</v>
      </c>
      <c r="G607" s="81" t="s">
        <v>2201</v>
      </c>
      <c r="H607" s="81"/>
      <c r="I607" s="81"/>
      <c r="J607" s="81"/>
      <c r="K607" s="81"/>
      <c r="L607" s="81"/>
      <c r="M607" s="82" t="s">
        <v>52</v>
      </c>
      <c r="N607" s="82"/>
      <c r="O607" s="82"/>
      <c r="P607" s="82"/>
      <c r="Q607" s="82" t="s">
        <v>2202</v>
      </c>
      <c r="R607" s="111">
        <v>45840</v>
      </c>
      <c r="S607" s="82" t="s">
        <v>1211</v>
      </c>
      <c r="T607" s="81" t="s">
        <v>144</v>
      </c>
      <c r="U607" s="81" t="s">
        <v>3373</v>
      </c>
    </row>
    <row r="608" spans="1:21" ht="30" x14ac:dyDescent="0.25">
      <c r="A608" s="81"/>
      <c r="B608" s="81"/>
      <c r="C608" s="81" t="s">
        <v>144</v>
      </c>
      <c r="D608" s="81" t="s">
        <v>10</v>
      </c>
      <c r="E608" s="81" t="s">
        <v>2203</v>
      </c>
      <c r="F608" s="81" t="s">
        <v>200</v>
      </c>
      <c r="G608" s="81" t="s">
        <v>2204</v>
      </c>
      <c r="H608" s="81"/>
      <c r="I608" s="81"/>
      <c r="J608" s="81"/>
      <c r="K608" s="81"/>
      <c r="L608" s="81"/>
      <c r="M608" s="82" t="s">
        <v>52</v>
      </c>
      <c r="N608" s="82"/>
      <c r="O608" s="82"/>
      <c r="P608" s="82"/>
      <c r="Q608" s="82" t="s">
        <v>2202</v>
      </c>
      <c r="R608" s="111">
        <v>45840</v>
      </c>
      <c r="S608" s="82" t="s">
        <v>1211</v>
      </c>
      <c r="T608" s="81" t="s">
        <v>144</v>
      </c>
      <c r="U608" s="81" t="s">
        <v>3374</v>
      </c>
    </row>
    <row r="609" spans="1:21" ht="30" x14ac:dyDescent="0.25">
      <c r="A609" s="81"/>
      <c r="B609" s="81"/>
      <c r="C609" s="81" t="s">
        <v>144</v>
      </c>
      <c r="D609" s="81" t="s">
        <v>10</v>
      </c>
      <c r="E609" s="81" t="s">
        <v>2205</v>
      </c>
      <c r="F609" s="81" t="s">
        <v>3264</v>
      </c>
      <c r="G609" s="81" t="s">
        <v>2206</v>
      </c>
      <c r="H609" s="81"/>
      <c r="I609" s="81"/>
      <c r="J609" s="81"/>
      <c r="K609" s="81"/>
      <c r="L609" s="81"/>
      <c r="M609" s="82" t="s">
        <v>52</v>
      </c>
      <c r="N609" s="82"/>
      <c r="O609" s="82"/>
      <c r="P609" s="82"/>
      <c r="Q609" s="82" t="s">
        <v>2207</v>
      </c>
      <c r="R609" s="111">
        <v>45841</v>
      </c>
      <c r="S609" s="82" t="s">
        <v>674</v>
      </c>
      <c r="T609" s="81" t="s">
        <v>144</v>
      </c>
      <c r="U609" s="81" t="s">
        <v>3375</v>
      </c>
    </row>
    <row r="610" spans="1:21" x14ac:dyDescent="0.25">
      <c r="A610" s="81"/>
      <c r="B610" s="81"/>
      <c r="C610" s="81" t="s">
        <v>144</v>
      </c>
      <c r="D610" s="81" t="s">
        <v>10</v>
      </c>
      <c r="E610" s="81" t="s">
        <v>2208</v>
      </c>
      <c r="F610" s="81" t="s">
        <v>3264</v>
      </c>
      <c r="G610" s="81" t="s">
        <v>2209</v>
      </c>
      <c r="H610" s="81"/>
      <c r="I610" s="81"/>
      <c r="J610" s="81"/>
      <c r="K610" s="81"/>
      <c r="L610" s="81"/>
      <c r="M610" s="82" t="s">
        <v>52</v>
      </c>
      <c r="N610" s="82"/>
      <c r="O610" s="82"/>
      <c r="P610" s="82"/>
      <c r="Q610" s="82" t="s">
        <v>2210</v>
      </c>
      <c r="R610" s="111">
        <v>45845</v>
      </c>
      <c r="S610" s="82" t="s">
        <v>238</v>
      </c>
      <c r="T610" s="81" t="s">
        <v>144</v>
      </c>
      <c r="U610" s="81" t="s">
        <v>3376</v>
      </c>
    </row>
    <row r="611" spans="1:21" x14ac:dyDescent="0.25">
      <c r="A611" s="81"/>
      <c r="B611" s="81"/>
      <c r="C611" s="81" t="s">
        <v>144</v>
      </c>
      <c r="D611" s="81" t="s">
        <v>10</v>
      </c>
      <c r="E611" s="81" t="s">
        <v>2211</v>
      </c>
      <c r="F611" s="81" t="s">
        <v>106</v>
      </c>
      <c r="G611" s="81" t="s">
        <v>2212</v>
      </c>
      <c r="H611" s="81"/>
      <c r="I611" s="81"/>
      <c r="J611" s="81"/>
      <c r="K611" s="81"/>
      <c r="L611" s="81"/>
      <c r="M611" s="82" t="s">
        <v>52</v>
      </c>
      <c r="N611" s="82"/>
      <c r="O611" s="82"/>
      <c r="P611" s="82"/>
      <c r="Q611" s="82" t="s">
        <v>2213</v>
      </c>
      <c r="R611" s="111"/>
      <c r="S611" s="82"/>
      <c r="T611" s="81" t="s">
        <v>144</v>
      </c>
      <c r="U611" s="81" t="s">
        <v>3377</v>
      </c>
    </row>
    <row r="612" spans="1:21" ht="45" x14ac:dyDescent="0.25">
      <c r="A612" s="81"/>
      <c r="B612" s="81"/>
      <c r="C612" s="81" t="s">
        <v>144</v>
      </c>
      <c r="D612" s="81" t="s">
        <v>10</v>
      </c>
      <c r="E612" s="81" t="s">
        <v>2214</v>
      </c>
      <c r="F612" s="81" t="s">
        <v>106</v>
      </c>
      <c r="G612" s="81" t="s">
        <v>2215</v>
      </c>
      <c r="H612" s="81"/>
      <c r="I612" s="81"/>
      <c r="J612" s="81"/>
      <c r="K612" s="81"/>
      <c r="L612" s="81"/>
      <c r="M612" s="82" t="s">
        <v>52</v>
      </c>
      <c r="N612" s="82"/>
      <c r="O612" s="82"/>
      <c r="P612" s="82"/>
      <c r="Q612" s="82" t="s">
        <v>2216</v>
      </c>
      <c r="R612" s="111">
        <v>45847</v>
      </c>
      <c r="S612" s="82" t="s">
        <v>2217</v>
      </c>
      <c r="T612" s="81" t="s">
        <v>144</v>
      </c>
      <c r="U612" s="81" t="s">
        <v>3378</v>
      </c>
    </row>
    <row r="613" spans="1:21" ht="30" x14ac:dyDescent="0.25">
      <c r="A613" s="81"/>
      <c r="B613" s="81"/>
      <c r="C613" s="81" t="s">
        <v>144</v>
      </c>
      <c r="D613" s="81" t="s">
        <v>10</v>
      </c>
      <c r="E613" s="81" t="s">
        <v>2218</v>
      </c>
      <c r="F613" s="81" t="s">
        <v>150</v>
      </c>
      <c r="G613" s="81" t="s">
        <v>2219</v>
      </c>
      <c r="H613" s="81"/>
      <c r="I613" s="81"/>
      <c r="J613" s="81"/>
      <c r="K613" s="81"/>
      <c r="L613" s="81"/>
      <c r="M613" s="82" t="s">
        <v>52</v>
      </c>
      <c r="N613" s="82"/>
      <c r="O613" s="82"/>
      <c r="P613" s="82"/>
      <c r="Q613" s="82" t="s">
        <v>2220</v>
      </c>
      <c r="R613" s="111">
        <v>45847</v>
      </c>
      <c r="S613" s="82" t="s">
        <v>9</v>
      </c>
      <c r="T613" s="81" t="s">
        <v>144</v>
      </c>
      <c r="U613" s="81" t="s">
        <v>3379</v>
      </c>
    </row>
    <row r="614" spans="1:21" ht="30" x14ac:dyDescent="0.25">
      <c r="A614" s="81"/>
      <c r="B614" s="81"/>
      <c r="C614" s="81" t="s">
        <v>144</v>
      </c>
      <c r="D614" s="81" t="s">
        <v>10</v>
      </c>
      <c r="E614" s="81" t="s">
        <v>2221</v>
      </c>
      <c r="F614" s="81" t="s">
        <v>150</v>
      </c>
      <c r="G614" s="81" t="s">
        <v>2222</v>
      </c>
      <c r="H614" s="81"/>
      <c r="I614" s="81"/>
      <c r="J614" s="81"/>
      <c r="K614" s="81"/>
      <c r="L614" s="81"/>
      <c r="M614" s="82" t="s">
        <v>52</v>
      </c>
      <c r="N614" s="82"/>
      <c r="O614" s="82"/>
      <c r="P614" s="82"/>
      <c r="Q614" s="82" t="s">
        <v>2220</v>
      </c>
      <c r="R614" s="111">
        <v>45847</v>
      </c>
      <c r="S614" s="82" t="s">
        <v>9</v>
      </c>
      <c r="T614" s="81" t="s">
        <v>144</v>
      </c>
      <c r="U614" s="81" t="s">
        <v>3380</v>
      </c>
    </row>
    <row r="615" spans="1:21" ht="30" x14ac:dyDescent="0.25">
      <c r="A615" s="81"/>
      <c r="B615" s="81">
        <v>2</v>
      </c>
      <c r="C615" s="81" t="s">
        <v>144</v>
      </c>
      <c r="D615" s="81" t="s">
        <v>10</v>
      </c>
      <c r="E615" s="81" t="s">
        <v>123</v>
      </c>
      <c r="F615" s="81" t="s">
        <v>160</v>
      </c>
      <c r="G615" s="81" t="s">
        <v>2223</v>
      </c>
      <c r="H615" s="81"/>
      <c r="I615" s="81"/>
      <c r="J615" s="81"/>
      <c r="K615" s="81"/>
      <c r="L615" s="81"/>
      <c r="M615" s="82" t="s">
        <v>52</v>
      </c>
      <c r="N615" s="82"/>
      <c r="O615" s="82"/>
      <c r="P615" s="82"/>
      <c r="Q615" s="82" t="s">
        <v>125</v>
      </c>
      <c r="R615" s="111">
        <v>45852</v>
      </c>
      <c r="S615" s="82" t="s">
        <v>38</v>
      </c>
      <c r="T615" s="81" t="s">
        <v>144</v>
      </c>
      <c r="U615" s="81" t="s">
        <v>3381</v>
      </c>
    </row>
    <row r="616" spans="1:21" ht="30" x14ac:dyDescent="0.25">
      <c r="A616" s="81"/>
      <c r="B616" s="81">
        <v>2</v>
      </c>
      <c r="C616" s="81" t="s">
        <v>144</v>
      </c>
      <c r="D616" s="81" t="s">
        <v>10</v>
      </c>
      <c r="E616" s="81" t="s">
        <v>122</v>
      </c>
      <c r="F616" s="81" t="s">
        <v>3306</v>
      </c>
      <c r="G616" s="81" t="s">
        <v>2224</v>
      </c>
      <c r="H616" s="81"/>
      <c r="I616" s="81"/>
      <c r="J616" s="81"/>
      <c r="K616" s="81"/>
      <c r="L616" s="81"/>
      <c r="M616" s="82" t="s">
        <v>52</v>
      </c>
      <c r="N616" s="82"/>
      <c r="O616" s="82"/>
      <c r="P616" s="82"/>
      <c r="Q616" s="82" t="s">
        <v>129</v>
      </c>
      <c r="R616" s="111">
        <v>45853</v>
      </c>
      <c r="S616" s="82" t="s">
        <v>11</v>
      </c>
      <c r="T616" s="81" t="s">
        <v>144</v>
      </c>
      <c r="U616" s="81" t="s">
        <v>3382</v>
      </c>
    </row>
    <row r="617" spans="1:21" ht="30" x14ac:dyDescent="0.25">
      <c r="A617" s="81"/>
      <c r="B617" s="81"/>
      <c r="C617" s="81" t="s">
        <v>144</v>
      </c>
      <c r="D617" s="81" t="s">
        <v>10</v>
      </c>
      <c r="E617" s="81" t="s">
        <v>2225</v>
      </c>
      <c r="F617" s="81" t="s">
        <v>168</v>
      </c>
      <c r="G617" s="81" t="s">
        <v>2226</v>
      </c>
      <c r="H617" s="81"/>
      <c r="I617" s="81"/>
      <c r="J617" s="81"/>
      <c r="K617" s="81"/>
      <c r="L617" s="81"/>
      <c r="M617" s="82" t="s">
        <v>52</v>
      </c>
      <c r="N617" s="82"/>
      <c r="O617" s="82" t="s">
        <v>8</v>
      </c>
      <c r="P617" s="82"/>
      <c r="Q617" s="82" t="s">
        <v>2227</v>
      </c>
      <c r="R617" s="111">
        <v>45840</v>
      </c>
      <c r="S617" s="82" t="s">
        <v>11</v>
      </c>
      <c r="T617" s="81" t="s">
        <v>144</v>
      </c>
      <c r="U617" s="81" t="s">
        <v>3383</v>
      </c>
    </row>
    <row r="618" spans="1:21" ht="30" x14ac:dyDescent="0.25">
      <c r="A618" s="81"/>
      <c r="B618" s="81"/>
      <c r="C618" s="81" t="s">
        <v>144</v>
      </c>
      <c r="D618" s="81" t="s">
        <v>10</v>
      </c>
      <c r="E618" s="81" t="s">
        <v>2228</v>
      </c>
      <c r="F618" s="81" t="s">
        <v>168</v>
      </c>
      <c r="G618" s="81" t="s">
        <v>2229</v>
      </c>
      <c r="H618" s="81"/>
      <c r="I618" s="81"/>
      <c r="J618" s="81"/>
      <c r="K618" s="81"/>
      <c r="L618" s="81"/>
      <c r="M618" s="82" t="s">
        <v>52</v>
      </c>
      <c r="N618" s="82"/>
      <c r="O618" s="82"/>
      <c r="P618" s="82"/>
      <c r="Q618" s="82" t="s">
        <v>2230</v>
      </c>
      <c r="R618" s="111">
        <v>45855</v>
      </c>
      <c r="S618" s="82" t="s">
        <v>11</v>
      </c>
      <c r="T618" s="81" t="s">
        <v>144</v>
      </c>
      <c r="U618" s="81" t="s">
        <v>144</v>
      </c>
    </row>
    <row r="619" spans="1:21" ht="30" x14ac:dyDescent="0.25">
      <c r="A619" s="81"/>
      <c r="B619" s="81"/>
      <c r="C619" s="81" t="s">
        <v>144</v>
      </c>
      <c r="D619" s="81" t="s">
        <v>10</v>
      </c>
      <c r="E619" s="81" t="s">
        <v>2231</v>
      </c>
      <c r="F619" s="81" t="s">
        <v>150</v>
      </c>
      <c r="G619" s="81" t="s">
        <v>2232</v>
      </c>
      <c r="H619" s="81"/>
      <c r="I619" s="81"/>
      <c r="J619" s="81"/>
      <c r="K619" s="81"/>
      <c r="L619" s="81"/>
      <c r="M619" s="82" t="s">
        <v>52</v>
      </c>
      <c r="N619" s="82"/>
      <c r="O619" s="82"/>
      <c r="P619" s="82"/>
      <c r="Q619" s="82" t="s">
        <v>1621</v>
      </c>
      <c r="R619" s="111">
        <v>45855</v>
      </c>
      <c r="S619" s="82" t="s">
        <v>20</v>
      </c>
      <c r="T619" s="81" t="s">
        <v>144</v>
      </c>
      <c r="U619" s="81" t="s">
        <v>144</v>
      </c>
    </row>
    <row r="620" spans="1:21" ht="45" x14ac:dyDescent="0.25">
      <c r="A620" s="81"/>
      <c r="B620" s="81"/>
      <c r="C620" s="81" t="s">
        <v>144</v>
      </c>
      <c r="D620" s="81" t="s">
        <v>10</v>
      </c>
      <c r="E620" s="81" t="s">
        <v>2233</v>
      </c>
      <c r="F620" s="81" t="s">
        <v>3313</v>
      </c>
      <c r="G620" s="81" t="s">
        <v>2234</v>
      </c>
      <c r="H620" s="81"/>
      <c r="I620" s="81"/>
      <c r="J620" s="81"/>
      <c r="K620" s="81"/>
      <c r="L620" s="81"/>
      <c r="M620" s="82" t="s">
        <v>52</v>
      </c>
      <c r="N620" s="82"/>
      <c r="O620" s="82"/>
      <c r="P620" s="82"/>
      <c r="Q620" s="82" t="s">
        <v>2235</v>
      </c>
      <c r="R620" s="111">
        <v>45859</v>
      </c>
      <c r="S620" s="82" t="s">
        <v>23</v>
      </c>
      <c r="T620" s="81" t="s">
        <v>144</v>
      </c>
      <c r="U620" s="81" t="s">
        <v>3384</v>
      </c>
    </row>
    <row r="621" spans="1:21" ht="45" x14ac:dyDescent="0.25">
      <c r="A621" s="81" t="s">
        <v>8</v>
      </c>
      <c r="B621" s="81"/>
      <c r="C621" s="81" t="s">
        <v>144</v>
      </c>
      <c r="D621" s="81" t="s">
        <v>10</v>
      </c>
      <c r="E621" s="81" t="s">
        <v>2236</v>
      </c>
      <c r="F621" s="81" t="s">
        <v>3264</v>
      </c>
      <c r="G621" s="81" t="s">
        <v>2237</v>
      </c>
      <c r="H621" s="81"/>
      <c r="I621" s="81"/>
      <c r="J621" s="81"/>
      <c r="K621" s="81"/>
      <c r="L621" s="81"/>
      <c r="M621" s="82" t="s">
        <v>52</v>
      </c>
      <c r="N621" s="82"/>
      <c r="O621" s="82"/>
      <c r="P621" s="82"/>
      <c r="Q621" s="82"/>
      <c r="R621" s="111"/>
      <c r="S621" s="82"/>
      <c r="T621" s="81" t="s">
        <v>144</v>
      </c>
      <c r="U621" s="81" t="s">
        <v>144</v>
      </c>
    </row>
    <row r="622" spans="1:21" ht="45" x14ac:dyDescent="0.25">
      <c r="A622" s="81"/>
      <c r="B622" s="81"/>
      <c r="C622" s="81" t="s">
        <v>144</v>
      </c>
      <c r="D622" s="81" t="s">
        <v>10</v>
      </c>
      <c r="E622" s="81" t="s">
        <v>2238</v>
      </c>
      <c r="F622" s="81" t="s">
        <v>159</v>
      </c>
      <c r="G622" s="81" t="s">
        <v>2239</v>
      </c>
      <c r="H622" s="81"/>
      <c r="I622" s="81"/>
      <c r="J622" s="81"/>
      <c r="K622" s="81"/>
      <c r="L622" s="81"/>
      <c r="M622" s="82" t="s">
        <v>52</v>
      </c>
      <c r="N622" s="82"/>
      <c r="O622" s="82"/>
      <c r="P622" s="82"/>
      <c r="Q622" s="82" t="s">
        <v>2240</v>
      </c>
      <c r="R622" s="111">
        <v>45861</v>
      </c>
      <c r="S622" s="82" t="s">
        <v>23</v>
      </c>
      <c r="T622" s="81" t="s">
        <v>144</v>
      </c>
      <c r="U622" s="81" t="s">
        <v>3385</v>
      </c>
    </row>
    <row r="623" spans="1:21" x14ac:dyDescent="0.25">
      <c r="A623" s="81"/>
      <c r="B623" s="81"/>
      <c r="C623" s="81" t="s">
        <v>144</v>
      </c>
      <c r="D623" s="81" t="s">
        <v>10</v>
      </c>
      <c r="E623" s="81" t="s">
        <v>118</v>
      </c>
      <c r="F623" s="81" t="s">
        <v>3313</v>
      </c>
      <c r="G623" s="81" t="s">
        <v>2241</v>
      </c>
      <c r="H623" s="81"/>
      <c r="I623" s="81"/>
      <c r="J623" s="81"/>
      <c r="K623" s="81"/>
      <c r="L623" s="81"/>
      <c r="M623" s="82" t="s">
        <v>52</v>
      </c>
      <c r="N623" s="82"/>
      <c r="O623" s="82"/>
      <c r="P623" s="82"/>
      <c r="Q623" s="82" t="s">
        <v>47</v>
      </c>
      <c r="R623" s="111">
        <v>45855</v>
      </c>
      <c r="S623" s="82" t="s">
        <v>23</v>
      </c>
      <c r="T623" s="81" t="s">
        <v>144</v>
      </c>
      <c r="U623" s="81" t="s">
        <v>3386</v>
      </c>
    </row>
    <row r="624" spans="1:21" ht="30" x14ac:dyDescent="0.25">
      <c r="A624" s="81"/>
      <c r="B624" s="81"/>
      <c r="C624" s="81" t="s">
        <v>144</v>
      </c>
      <c r="D624" s="81" t="s">
        <v>10</v>
      </c>
      <c r="E624" s="81" t="s">
        <v>2242</v>
      </c>
      <c r="F624" s="81" t="s">
        <v>159</v>
      </c>
      <c r="G624" s="81" t="s">
        <v>2243</v>
      </c>
      <c r="H624" s="81"/>
      <c r="I624" s="81"/>
      <c r="J624" s="81"/>
      <c r="K624" s="81"/>
      <c r="L624" s="81"/>
      <c r="M624" s="82" t="s">
        <v>52</v>
      </c>
      <c r="N624" s="82"/>
      <c r="O624" s="82"/>
      <c r="P624" s="82"/>
      <c r="Q624" s="82" t="s">
        <v>2244</v>
      </c>
      <c r="R624" s="111">
        <v>45867</v>
      </c>
      <c r="S624" s="82" t="s">
        <v>2245</v>
      </c>
      <c r="T624" s="81" t="s">
        <v>144</v>
      </c>
      <c r="U624" s="81" t="s">
        <v>3387</v>
      </c>
    </row>
    <row r="625" spans="1:21" ht="30" x14ac:dyDescent="0.25">
      <c r="A625" s="81"/>
      <c r="B625" s="81"/>
      <c r="C625" s="81" t="s">
        <v>144</v>
      </c>
      <c r="D625" s="81" t="s">
        <v>10</v>
      </c>
      <c r="E625" s="81" t="s">
        <v>2246</v>
      </c>
      <c r="F625" s="81" t="s">
        <v>159</v>
      </c>
      <c r="G625" s="81" t="s">
        <v>2247</v>
      </c>
      <c r="H625" s="81"/>
      <c r="I625" s="81"/>
      <c r="J625" s="81"/>
      <c r="K625" s="81"/>
      <c r="L625" s="81"/>
      <c r="M625" s="82" t="s">
        <v>52</v>
      </c>
      <c r="N625" s="82"/>
      <c r="O625" s="82"/>
      <c r="P625" s="82"/>
      <c r="Q625" s="82" t="s">
        <v>2248</v>
      </c>
      <c r="R625" s="111">
        <v>45868</v>
      </c>
      <c r="S625" s="82" t="s">
        <v>23</v>
      </c>
      <c r="T625" s="81" t="s">
        <v>144</v>
      </c>
      <c r="U625" s="81" t="s">
        <v>3304</v>
      </c>
    </row>
    <row r="626" spans="1:21" ht="45" x14ac:dyDescent="0.25">
      <c r="A626" s="81"/>
      <c r="B626" s="81"/>
      <c r="C626" s="81" t="s">
        <v>144</v>
      </c>
      <c r="D626" s="81" t="s">
        <v>10</v>
      </c>
      <c r="E626" s="81" t="s">
        <v>132</v>
      </c>
      <c r="F626" s="81" t="s">
        <v>106</v>
      </c>
      <c r="G626" s="81" t="s">
        <v>133</v>
      </c>
      <c r="H626" s="81"/>
      <c r="I626" s="81"/>
      <c r="J626" s="81"/>
      <c r="K626" s="81"/>
      <c r="L626" s="81"/>
      <c r="M626" s="82" t="s">
        <v>52</v>
      </c>
      <c r="N626" s="82"/>
      <c r="O626" s="82"/>
      <c r="P626" s="82"/>
      <c r="Q626" s="82" t="s">
        <v>2249</v>
      </c>
      <c r="R626" s="111">
        <v>45868</v>
      </c>
      <c r="S626" s="82" t="s">
        <v>23</v>
      </c>
      <c r="T626" s="81" t="s">
        <v>144</v>
      </c>
      <c r="U626" s="81" t="s">
        <v>3388</v>
      </c>
    </row>
    <row r="627" spans="1:21" ht="30" x14ac:dyDescent="0.25">
      <c r="A627" s="81"/>
      <c r="B627" s="81"/>
      <c r="C627" s="81" t="s">
        <v>144</v>
      </c>
      <c r="D627" s="81" t="s">
        <v>10</v>
      </c>
      <c r="E627" s="81" t="s">
        <v>126</v>
      </c>
      <c r="F627" s="81" t="s">
        <v>157</v>
      </c>
      <c r="G627" s="81" t="s">
        <v>2250</v>
      </c>
      <c r="H627" s="81"/>
      <c r="I627" s="81"/>
      <c r="J627" s="81"/>
      <c r="K627" s="81"/>
      <c r="L627" s="81"/>
      <c r="M627" s="82" t="s">
        <v>52</v>
      </c>
      <c r="N627" s="82"/>
      <c r="O627" s="82"/>
      <c r="P627" s="82"/>
      <c r="Q627" s="82" t="s">
        <v>138</v>
      </c>
      <c r="R627" s="111"/>
      <c r="S627" s="82"/>
      <c r="T627" s="81" t="s">
        <v>144</v>
      </c>
      <c r="U627" s="81" t="s">
        <v>3389</v>
      </c>
    </row>
    <row r="628" spans="1:21" x14ac:dyDescent="0.25">
      <c r="A628" s="81"/>
      <c r="B628" s="81"/>
      <c r="C628" s="81" t="s">
        <v>144</v>
      </c>
      <c r="D628" s="81" t="s">
        <v>10</v>
      </c>
      <c r="E628" s="81" t="s">
        <v>130</v>
      </c>
      <c r="F628" s="81" t="s">
        <v>150</v>
      </c>
      <c r="G628" s="81" t="s">
        <v>131</v>
      </c>
      <c r="H628" s="81"/>
      <c r="I628" s="81"/>
      <c r="J628" s="81"/>
      <c r="K628" s="81"/>
      <c r="L628" s="81"/>
      <c r="M628" s="82" t="s">
        <v>52</v>
      </c>
      <c r="N628" s="82"/>
      <c r="O628" s="82"/>
      <c r="P628" s="82"/>
      <c r="Q628" s="82" t="s">
        <v>139</v>
      </c>
      <c r="R628" s="111"/>
      <c r="S628" s="82"/>
      <c r="T628" s="81" t="s">
        <v>144</v>
      </c>
      <c r="U628" s="81" t="s">
        <v>3390</v>
      </c>
    </row>
    <row r="629" spans="1:21" ht="30" x14ac:dyDescent="0.25">
      <c r="A629" s="81"/>
      <c r="B629" s="81"/>
      <c r="C629" s="81" t="s">
        <v>144</v>
      </c>
      <c r="D629" s="81" t="s">
        <v>10</v>
      </c>
      <c r="E629" s="81" t="s">
        <v>2251</v>
      </c>
      <c r="F629" s="81" t="s">
        <v>150</v>
      </c>
      <c r="G629" s="81" t="s">
        <v>2252</v>
      </c>
      <c r="H629" s="81"/>
      <c r="I629" s="81"/>
      <c r="J629" s="81"/>
      <c r="K629" s="81"/>
      <c r="L629" s="81"/>
      <c r="M629" s="82" t="s">
        <v>52</v>
      </c>
      <c r="N629" s="82"/>
      <c r="O629" s="82"/>
      <c r="P629" s="82"/>
      <c r="Q629" s="82" t="s">
        <v>2253</v>
      </c>
      <c r="R629" s="111">
        <v>45754</v>
      </c>
      <c r="S629" s="82" t="s">
        <v>238</v>
      </c>
      <c r="T629" s="81" t="s">
        <v>144</v>
      </c>
      <c r="U629" s="81" t="s">
        <v>3391</v>
      </c>
    </row>
    <row r="630" spans="1:21" x14ac:dyDescent="0.25">
      <c r="A630" s="81"/>
      <c r="B630" s="81"/>
      <c r="C630" s="81" t="s">
        <v>144</v>
      </c>
      <c r="D630" s="81" t="s">
        <v>10</v>
      </c>
      <c r="E630" s="81" t="s">
        <v>2254</v>
      </c>
      <c r="F630" s="81" t="s">
        <v>167</v>
      </c>
      <c r="G630" s="81" t="s">
        <v>2255</v>
      </c>
      <c r="H630" s="81"/>
      <c r="I630" s="81"/>
      <c r="J630" s="81"/>
      <c r="K630" s="81"/>
      <c r="L630" s="81"/>
      <c r="M630" s="82" t="s">
        <v>52</v>
      </c>
      <c r="N630" s="82"/>
      <c r="O630" s="82"/>
      <c r="P630" s="82"/>
      <c r="Q630" s="82" t="s">
        <v>427</v>
      </c>
      <c r="R630" s="111">
        <v>45833</v>
      </c>
      <c r="S630" s="82" t="s">
        <v>238</v>
      </c>
      <c r="T630" s="81" t="s">
        <v>144</v>
      </c>
      <c r="U630" s="81" t="s">
        <v>144</v>
      </c>
    </row>
    <row r="631" spans="1:21" ht="30" x14ac:dyDescent="0.25">
      <c r="A631" s="81"/>
      <c r="B631" s="81"/>
      <c r="C631" s="81" t="s">
        <v>144</v>
      </c>
      <c r="D631" s="81" t="s">
        <v>10</v>
      </c>
      <c r="E631" s="81" t="s">
        <v>2256</v>
      </c>
      <c r="F631" s="81" t="s">
        <v>106</v>
      </c>
      <c r="G631" s="81" t="s">
        <v>2257</v>
      </c>
      <c r="H631" s="81"/>
      <c r="I631" s="81"/>
      <c r="J631" s="81"/>
      <c r="K631" s="81"/>
      <c r="L631" s="81"/>
      <c r="M631" s="82" t="s">
        <v>52</v>
      </c>
      <c r="N631" s="82"/>
      <c r="O631" s="82"/>
      <c r="P631" s="82"/>
      <c r="Q631" s="82" t="s">
        <v>2258</v>
      </c>
      <c r="R631" s="111">
        <v>45881</v>
      </c>
      <c r="S631" s="82" t="s">
        <v>20</v>
      </c>
      <c r="T631" s="81" t="s">
        <v>144</v>
      </c>
      <c r="U631" s="81" t="s">
        <v>3392</v>
      </c>
    </row>
    <row r="632" spans="1:21" ht="30" x14ac:dyDescent="0.25">
      <c r="A632" s="81"/>
      <c r="B632" s="81"/>
      <c r="C632" s="81" t="s">
        <v>144</v>
      </c>
      <c r="D632" s="81" t="s">
        <v>10</v>
      </c>
      <c r="E632" s="81" t="s">
        <v>2259</v>
      </c>
      <c r="F632" s="81" t="s">
        <v>168</v>
      </c>
      <c r="G632" s="81" t="s">
        <v>2260</v>
      </c>
      <c r="H632" s="81"/>
      <c r="I632" s="81"/>
      <c r="J632" s="81"/>
      <c r="K632" s="81"/>
      <c r="L632" s="81"/>
      <c r="M632" s="82" t="s">
        <v>52</v>
      </c>
      <c r="N632" s="82"/>
      <c r="O632" s="82"/>
      <c r="P632" s="82"/>
      <c r="Q632" s="82" t="s">
        <v>2261</v>
      </c>
      <c r="R632" s="111">
        <v>45882</v>
      </c>
      <c r="S632" s="82" t="s">
        <v>23</v>
      </c>
      <c r="T632" s="81" t="s">
        <v>144</v>
      </c>
      <c r="U632" s="81" t="s">
        <v>3393</v>
      </c>
    </row>
    <row r="633" spans="1:21" x14ac:dyDescent="0.25">
      <c r="A633" s="81"/>
      <c r="B633" s="81"/>
      <c r="C633" s="81" t="s">
        <v>144</v>
      </c>
      <c r="D633" s="81" t="s">
        <v>10</v>
      </c>
      <c r="E633" s="81" t="s">
        <v>2262</v>
      </c>
      <c r="F633" s="81" t="s">
        <v>3264</v>
      </c>
      <c r="G633" s="81" t="s">
        <v>2263</v>
      </c>
      <c r="H633" s="81"/>
      <c r="I633" s="81"/>
      <c r="J633" s="81"/>
      <c r="K633" s="81"/>
      <c r="L633" s="81"/>
      <c r="M633" s="82" t="s">
        <v>52</v>
      </c>
      <c r="N633" s="82"/>
      <c r="O633" s="82"/>
      <c r="P633" s="82"/>
      <c r="Q633" s="82" t="s">
        <v>2264</v>
      </c>
      <c r="R633" s="111">
        <v>45882</v>
      </c>
      <c r="S633" s="82" t="s">
        <v>1600</v>
      </c>
      <c r="T633" s="81" t="s">
        <v>144</v>
      </c>
      <c r="U633" s="81" t="s">
        <v>144</v>
      </c>
    </row>
    <row r="634" spans="1:21" x14ac:dyDescent="0.25">
      <c r="A634" s="81"/>
      <c r="B634" s="81"/>
      <c r="C634" s="81" t="s">
        <v>144</v>
      </c>
      <c r="D634" s="81" t="s">
        <v>10</v>
      </c>
      <c r="E634" s="81" t="s">
        <v>2265</v>
      </c>
      <c r="F634" s="81" t="s">
        <v>150</v>
      </c>
      <c r="G634" s="81" t="s">
        <v>2266</v>
      </c>
      <c r="H634" s="81"/>
      <c r="I634" s="81"/>
      <c r="J634" s="81"/>
      <c r="K634" s="81"/>
      <c r="L634" s="81"/>
      <c r="M634" s="82" t="s">
        <v>52</v>
      </c>
      <c r="N634" s="82"/>
      <c r="O634" s="82"/>
      <c r="P634" s="82"/>
      <c r="Q634" s="82"/>
      <c r="R634" s="111">
        <v>45891</v>
      </c>
      <c r="S634" s="82" t="s">
        <v>535</v>
      </c>
      <c r="T634" s="81" t="s">
        <v>144</v>
      </c>
      <c r="U634" s="81" t="s">
        <v>144</v>
      </c>
    </row>
    <row r="635" spans="1:21" x14ac:dyDescent="0.25">
      <c r="A635" s="81"/>
      <c r="B635" s="81"/>
      <c r="C635" s="81" t="s">
        <v>144</v>
      </c>
      <c r="D635" s="81" t="s">
        <v>10</v>
      </c>
      <c r="E635" s="81" t="s">
        <v>2267</v>
      </c>
      <c r="F635" s="81" t="s">
        <v>159</v>
      </c>
      <c r="G635" s="81" t="s">
        <v>2268</v>
      </c>
      <c r="H635" s="81"/>
      <c r="I635" s="81"/>
      <c r="J635" s="81"/>
      <c r="K635" s="81"/>
      <c r="L635" s="81"/>
      <c r="M635" s="82" t="s">
        <v>52</v>
      </c>
      <c r="N635" s="82"/>
      <c r="O635" s="82"/>
      <c r="P635" s="82"/>
      <c r="Q635" s="82"/>
      <c r="R635" s="111">
        <v>45891</v>
      </c>
      <c r="S635" s="82" t="s">
        <v>674</v>
      </c>
      <c r="T635" s="81" t="s">
        <v>144</v>
      </c>
      <c r="U635" s="81" t="s">
        <v>144</v>
      </c>
    </row>
    <row r="636" spans="1:21" x14ac:dyDescent="0.25">
      <c r="A636" s="81"/>
      <c r="B636" s="81"/>
      <c r="C636" s="81" t="s">
        <v>144</v>
      </c>
      <c r="D636" s="81" t="s">
        <v>10</v>
      </c>
      <c r="E636" s="81" t="s">
        <v>2269</v>
      </c>
      <c r="F636" s="81" t="s">
        <v>168</v>
      </c>
      <c r="G636" s="81" t="s">
        <v>2270</v>
      </c>
      <c r="H636" s="81"/>
      <c r="I636" s="81"/>
      <c r="J636" s="81"/>
      <c r="K636" s="81"/>
      <c r="L636" s="81"/>
      <c r="M636" s="82" t="s">
        <v>52</v>
      </c>
      <c r="N636" s="82"/>
      <c r="O636" s="82"/>
      <c r="P636" s="82"/>
      <c r="Q636" s="82"/>
      <c r="R636" s="111"/>
      <c r="S636" s="82"/>
      <c r="T636" s="81" t="s">
        <v>144</v>
      </c>
      <c r="U636" s="81" t="s">
        <v>144</v>
      </c>
    </row>
    <row r="637" spans="1:21" x14ac:dyDescent="0.25">
      <c r="A637" s="81"/>
      <c r="B637" s="81"/>
      <c r="C637" s="81" t="s">
        <v>144</v>
      </c>
      <c r="D637" s="81" t="s">
        <v>10</v>
      </c>
      <c r="E637" s="81" t="s">
        <v>2271</v>
      </c>
      <c r="F637" s="81" t="s">
        <v>167</v>
      </c>
      <c r="G637" s="81" t="s">
        <v>2272</v>
      </c>
      <c r="H637" s="81"/>
      <c r="I637" s="81"/>
      <c r="J637" s="81"/>
      <c r="K637" s="81"/>
      <c r="L637" s="81"/>
      <c r="M637" s="82" t="s">
        <v>52</v>
      </c>
      <c r="N637" s="82"/>
      <c r="O637" s="82"/>
      <c r="P637" s="82"/>
      <c r="Q637" s="82"/>
      <c r="R637" s="111">
        <v>45896</v>
      </c>
      <c r="S637" s="82" t="s">
        <v>674</v>
      </c>
      <c r="T637" s="81" t="s">
        <v>144</v>
      </c>
      <c r="U637" s="81" t="s">
        <v>144</v>
      </c>
    </row>
    <row r="638" spans="1:21" x14ac:dyDescent="0.25">
      <c r="A638" s="81"/>
      <c r="B638" s="81"/>
      <c r="C638" s="81" t="s">
        <v>144</v>
      </c>
      <c r="D638" s="81" t="s">
        <v>10</v>
      </c>
      <c r="E638" s="81" t="s">
        <v>2273</v>
      </c>
      <c r="F638" s="81" t="s">
        <v>150</v>
      </c>
      <c r="G638" s="81" t="s">
        <v>2274</v>
      </c>
      <c r="H638" s="81"/>
      <c r="I638" s="81"/>
      <c r="J638" s="81"/>
      <c r="K638" s="81"/>
      <c r="L638" s="81"/>
      <c r="M638" s="82" t="s">
        <v>52</v>
      </c>
      <c r="N638" s="82"/>
      <c r="O638" s="82"/>
      <c r="P638" s="82"/>
      <c r="Q638" s="82"/>
      <c r="R638" s="111"/>
      <c r="S638" s="82"/>
      <c r="T638" s="81" t="s">
        <v>144</v>
      </c>
      <c r="U638" s="81" t="s">
        <v>3394</v>
      </c>
    </row>
    <row r="639" spans="1:21" x14ac:dyDescent="0.25">
      <c r="A639" s="81"/>
      <c r="B639" s="81"/>
      <c r="C639" s="81" t="s">
        <v>144</v>
      </c>
      <c r="D639" s="81" t="s">
        <v>10</v>
      </c>
      <c r="E639" s="81" t="s">
        <v>2275</v>
      </c>
      <c r="F639" s="81" t="s">
        <v>3264</v>
      </c>
      <c r="G639" s="81" t="s">
        <v>2276</v>
      </c>
      <c r="H639" s="81"/>
      <c r="I639" s="81"/>
      <c r="J639" s="81"/>
      <c r="K639" s="81"/>
      <c r="L639" s="81"/>
      <c r="M639" s="82" t="s">
        <v>52</v>
      </c>
      <c r="N639" s="82"/>
      <c r="O639" s="82"/>
      <c r="P639" s="82"/>
      <c r="Q639" s="82"/>
      <c r="R639" s="111">
        <v>45903</v>
      </c>
      <c r="S639" s="82" t="s">
        <v>238</v>
      </c>
      <c r="T639" s="81" t="s">
        <v>144</v>
      </c>
      <c r="U639" s="81" t="s">
        <v>3395</v>
      </c>
    </row>
    <row r="640" spans="1:21" x14ac:dyDescent="0.25">
      <c r="A640" s="81"/>
      <c r="B640" s="81"/>
      <c r="C640" s="81" t="s">
        <v>144</v>
      </c>
      <c r="D640" s="81" t="s">
        <v>10</v>
      </c>
      <c r="E640" s="81" t="s">
        <v>2277</v>
      </c>
      <c r="F640" s="81" t="s">
        <v>3264</v>
      </c>
      <c r="G640" s="81" t="s">
        <v>2278</v>
      </c>
      <c r="H640" s="81"/>
      <c r="I640" s="81"/>
      <c r="J640" s="81"/>
      <c r="K640" s="81"/>
      <c r="L640" s="81"/>
      <c r="M640" s="82" t="s">
        <v>52</v>
      </c>
      <c r="N640" s="82"/>
      <c r="O640" s="82"/>
      <c r="P640" s="82"/>
      <c r="Q640" s="82"/>
      <c r="R640" s="111">
        <v>45903</v>
      </c>
      <c r="S640" s="82" t="s">
        <v>238</v>
      </c>
      <c r="T640" s="81" t="s">
        <v>144</v>
      </c>
      <c r="U640" s="81" t="s">
        <v>3396</v>
      </c>
    </row>
    <row r="641" spans="1:21" x14ac:dyDescent="0.25">
      <c r="A641" s="81"/>
      <c r="B641" s="81"/>
      <c r="C641" s="81" t="s">
        <v>144</v>
      </c>
      <c r="D641" s="81" t="s">
        <v>10</v>
      </c>
      <c r="E641" s="81" t="s">
        <v>2279</v>
      </c>
      <c r="F641" s="81" t="s">
        <v>157</v>
      </c>
      <c r="G641" s="81" t="s">
        <v>2280</v>
      </c>
      <c r="H641" s="81"/>
      <c r="I641" s="81"/>
      <c r="J641" s="81"/>
      <c r="K641" s="81"/>
      <c r="L641" s="81"/>
      <c r="M641" s="82" t="s">
        <v>52</v>
      </c>
      <c r="N641" s="82"/>
      <c r="O641" s="82"/>
      <c r="P641" s="82"/>
      <c r="Q641" s="82"/>
      <c r="R641" s="111"/>
      <c r="S641" s="82"/>
      <c r="T641" s="81" t="s">
        <v>144</v>
      </c>
      <c r="U641" s="81" t="s">
        <v>3397</v>
      </c>
    </row>
    <row r="642" spans="1:21" ht="30" x14ac:dyDescent="0.25">
      <c r="A642" s="81"/>
      <c r="B642" s="81"/>
      <c r="C642" s="81" t="s">
        <v>144</v>
      </c>
      <c r="D642" s="81" t="s">
        <v>10</v>
      </c>
      <c r="E642" s="81" t="s">
        <v>2281</v>
      </c>
      <c r="F642" s="81" t="s">
        <v>167</v>
      </c>
      <c r="G642" s="81" t="s">
        <v>2282</v>
      </c>
      <c r="H642" s="81"/>
      <c r="I642" s="81"/>
      <c r="J642" s="81"/>
      <c r="K642" s="81"/>
      <c r="L642" s="81"/>
      <c r="M642" s="82" t="s">
        <v>52</v>
      </c>
      <c r="N642" s="82"/>
      <c r="O642" s="82"/>
      <c r="P642" s="82"/>
      <c r="Q642" s="82"/>
      <c r="R642" s="111"/>
      <c r="S642" s="82"/>
      <c r="T642" s="81" t="s">
        <v>144</v>
      </c>
      <c r="U642" s="81" t="s">
        <v>144</v>
      </c>
    </row>
    <row r="643" spans="1:21" x14ac:dyDescent="0.25">
      <c r="A643" s="81"/>
      <c r="B643" s="81"/>
      <c r="C643" s="81" t="s">
        <v>144</v>
      </c>
      <c r="D643" s="81" t="s">
        <v>10</v>
      </c>
      <c r="E643" s="81" t="s">
        <v>2283</v>
      </c>
      <c r="F643" s="81" t="s">
        <v>3264</v>
      </c>
      <c r="G643" s="81" t="s">
        <v>2284</v>
      </c>
      <c r="H643" s="81"/>
      <c r="I643" s="81"/>
      <c r="J643" s="81"/>
      <c r="K643" s="81"/>
      <c r="L643" s="81"/>
      <c r="M643" s="82" t="s">
        <v>52</v>
      </c>
      <c r="N643" s="82"/>
      <c r="O643" s="82"/>
      <c r="P643" s="82"/>
      <c r="Q643" s="82"/>
      <c r="R643" s="111">
        <v>45908</v>
      </c>
      <c r="S643" s="82" t="s">
        <v>238</v>
      </c>
      <c r="T643" s="81" t="s">
        <v>144</v>
      </c>
      <c r="U643" s="81" t="s">
        <v>144</v>
      </c>
    </row>
    <row r="644" spans="1:21" x14ac:dyDescent="0.25">
      <c r="A644" s="81"/>
      <c r="B644" s="81"/>
      <c r="C644" s="81" t="s">
        <v>144</v>
      </c>
      <c r="D644" s="81" t="s">
        <v>10</v>
      </c>
      <c r="E644" s="81" t="s">
        <v>2285</v>
      </c>
      <c r="F644" s="81" t="s">
        <v>3264</v>
      </c>
      <c r="G644" s="81" t="s">
        <v>2286</v>
      </c>
      <c r="H644" s="81"/>
      <c r="I644" s="81"/>
      <c r="J644" s="81"/>
      <c r="K644" s="81"/>
      <c r="L644" s="81"/>
      <c r="M644" s="82" t="s">
        <v>52</v>
      </c>
      <c r="N644" s="82"/>
      <c r="O644" s="82"/>
      <c r="P644" s="82"/>
      <c r="Q644" s="82"/>
      <c r="R644" s="111"/>
      <c r="S644" s="82"/>
      <c r="T644" s="81" t="s">
        <v>144</v>
      </c>
      <c r="U644" s="81" t="s">
        <v>144</v>
      </c>
    </row>
    <row r="645" spans="1:21" ht="30" x14ac:dyDescent="0.25">
      <c r="A645" s="81"/>
      <c r="B645" s="81"/>
      <c r="C645" s="81" t="s">
        <v>144</v>
      </c>
      <c r="D645" s="81" t="s">
        <v>10</v>
      </c>
      <c r="E645" s="81" t="s">
        <v>2287</v>
      </c>
      <c r="F645" s="81" t="s">
        <v>159</v>
      </c>
      <c r="G645" s="81" t="s">
        <v>2288</v>
      </c>
      <c r="H645" s="81"/>
      <c r="I645" s="81"/>
      <c r="J645" s="81"/>
      <c r="K645" s="81"/>
      <c r="L645" s="81"/>
      <c r="M645" s="82" t="s">
        <v>52</v>
      </c>
      <c r="N645" s="82"/>
      <c r="O645" s="82"/>
      <c r="P645" s="82"/>
      <c r="Q645" s="82"/>
      <c r="R645" s="111">
        <v>45911</v>
      </c>
      <c r="S645" s="82" t="s">
        <v>11</v>
      </c>
      <c r="T645" s="81" t="s">
        <v>144</v>
      </c>
      <c r="U645" s="81" t="s">
        <v>3398</v>
      </c>
    </row>
    <row r="646" spans="1:21" ht="30" x14ac:dyDescent="0.25">
      <c r="A646" s="81"/>
      <c r="B646" s="81"/>
      <c r="C646" s="81" t="s">
        <v>144</v>
      </c>
      <c r="D646" s="81" t="s">
        <v>10</v>
      </c>
      <c r="E646" s="81" t="s">
        <v>2289</v>
      </c>
      <c r="F646" s="81" t="s">
        <v>150</v>
      </c>
      <c r="G646" s="81" t="s">
        <v>2290</v>
      </c>
      <c r="H646" s="81"/>
      <c r="I646" s="81"/>
      <c r="J646" s="81"/>
      <c r="K646" s="81"/>
      <c r="L646" s="81"/>
      <c r="M646" s="82" t="s">
        <v>52</v>
      </c>
      <c r="N646" s="82"/>
      <c r="O646" s="82"/>
      <c r="P646" s="82"/>
      <c r="Q646" s="82" t="s">
        <v>2291</v>
      </c>
      <c r="R646" s="111">
        <v>45912</v>
      </c>
      <c r="S646" s="82" t="s">
        <v>238</v>
      </c>
      <c r="T646" s="81" t="s">
        <v>144</v>
      </c>
      <c r="U646" s="81" t="s">
        <v>144</v>
      </c>
    </row>
    <row r="647" spans="1:21" ht="105" x14ac:dyDescent="0.25">
      <c r="A647" s="81"/>
      <c r="B647" s="81"/>
      <c r="C647" s="81" t="s">
        <v>144</v>
      </c>
      <c r="D647" s="81" t="s">
        <v>10</v>
      </c>
      <c r="E647" s="81" t="s">
        <v>2292</v>
      </c>
      <c r="F647" s="81" t="s">
        <v>150</v>
      </c>
      <c r="G647" s="81" t="s">
        <v>2293</v>
      </c>
      <c r="H647" s="81"/>
      <c r="I647" s="81"/>
      <c r="J647" s="81"/>
      <c r="K647" s="81"/>
      <c r="L647" s="81"/>
      <c r="M647" s="82" t="s">
        <v>52</v>
      </c>
      <c r="N647" s="82"/>
      <c r="O647" s="82"/>
      <c r="P647" s="82"/>
      <c r="Q647" s="82" t="s">
        <v>2294</v>
      </c>
      <c r="R647" s="111">
        <v>45912</v>
      </c>
      <c r="S647" s="82" t="s">
        <v>227</v>
      </c>
      <c r="T647" s="81" t="s">
        <v>144</v>
      </c>
      <c r="U647" s="81" t="s">
        <v>3399</v>
      </c>
    </row>
    <row r="648" spans="1:21" ht="45" x14ac:dyDescent="0.25">
      <c r="A648" s="81"/>
      <c r="B648" s="81"/>
      <c r="C648" s="81" t="s">
        <v>144</v>
      </c>
      <c r="D648" s="81" t="s">
        <v>10</v>
      </c>
      <c r="E648" s="81" t="s">
        <v>2295</v>
      </c>
      <c r="F648" s="81" t="s">
        <v>3313</v>
      </c>
      <c r="G648" s="81" t="s">
        <v>2296</v>
      </c>
      <c r="H648" s="81"/>
      <c r="I648" s="81"/>
      <c r="J648" s="81"/>
      <c r="K648" s="81"/>
      <c r="L648" s="81"/>
      <c r="M648" s="82" t="s">
        <v>52</v>
      </c>
      <c r="N648" s="82"/>
      <c r="O648" s="82"/>
      <c r="P648" s="82"/>
      <c r="Q648" s="82" t="s">
        <v>2297</v>
      </c>
      <c r="R648" s="111">
        <v>45917</v>
      </c>
      <c r="S648" s="82" t="s">
        <v>45</v>
      </c>
      <c r="T648" s="81" t="s">
        <v>144</v>
      </c>
      <c r="U648" s="81" t="s">
        <v>3400</v>
      </c>
    </row>
    <row r="649" spans="1:21" ht="45" x14ac:dyDescent="0.25">
      <c r="A649" s="81"/>
      <c r="B649" s="81"/>
      <c r="C649" s="81" t="s">
        <v>144</v>
      </c>
      <c r="D649" s="81" t="s">
        <v>10</v>
      </c>
      <c r="E649" s="81" t="s">
        <v>2298</v>
      </c>
      <c r="F649" s="81" t="s">
        <v>167</v>
      </c>
      <c r="G649" s="81" t="s">
        <v>2299</v>
      </c>
      <c r="H649" s="81"/>
      <c r="I649" s="81"/>
      <c r="J649" s="81"/>
      <c r="K649" s="81"/>
      <c r="L649" s="81"/>
      <c r="M649" s="82" t="s">
        <v>52</v>
      </c>
      <c r="N649" s="82"/>
      <c r="O649" s="82"/>
      <c r="P649" s="82"/>
      <c r="Q649" s="82" t="s">
        <v>2300</v>
      </c>
      <c r="R649" s="111">
        <v>45918</v>
      </c>
      <c r="S649" s="82" t="s">
        <v>238</v>
      </c>
      <c r="T649" s="81" t="s">
        <v>144</v>
      </c>
      <c r="U649" s="81" t="s">
        <v>3401</v>
      </c>
    </row>
    <row r="650" spans="1:21" ht="30" x14ac:dyDescent="0.25">
      <c r="A650" s="81"/>
      <c r="B650" s="81"/>
      <c r="C650" s="81" t="s">
        <v>144</v>
      </c>
      <c r="D650" s="81" t="s">
        <v>10</v>
      </c>
      <c r="E650" s="81" t="s">
        <v>2301</v>
      </c>
      <c r="F650" s="81" t="s">
        <v>3402</v>
      </c>
      <c r="G650" s="81" t="s">
        <v>2302</v>
      </c>
      <c r="H650" s="81"/>
      <c r="I650" s="81"/>
      <c r="J650" s="81"/>
      <c r="K650" s="81"/>
      <c r="L650" s="81"/>
      <c r="M650" s="82" t="s">
        <v>52</v>
      </c>
      <c r="N650" s="82"/>
      <c r="O650" s="82"/>
      <c r="P650" s="82"/>
      <c r="Q650" s="82" t="s">
        <v>2303</v>
      </c>
      <c r="R650" s="111">
        <v>45925</v>
      </c>
      <c r="S650" s="82" t="s">
        <v>2304</v>
      </c>
      <c r="T650" s="81" t="s">
        <v>144</v>
      </c>
      <c r="U650" s="81" t="s">
        <v>144</v>
      </c>
    </row>
    <row r="651" spans="1:21" ht="45" x14ac:dyDescent="0.25">
      <c r="A651" s="81"/>
      <c r="B651" s="81"/>
      <c r="C651" s="81" t="s">
        <v>144</v>
      </c>
      <c r="D651" s="81" t="s">
        <v>10</v>
      </c>
      <c r="E651" s="81" t="s">
        <v>2305</v>
      </c>
      <c r="F651" s="81" t="s">
        <v>106</v>
      </c>
      <c r="G651" s="81" t="s">
        <v>2306</v>
      </c>
      <c r="H651" s="81"/>
      <c r="I651" s="81"/>
      <c r="J651" s="81"/>
      <c r="K651" s="81"/>
      <c r="L651" s="81"/>
      <c r="M651" s="82" t="s">
        <v>52</v>
      </c>
      <c r="N651" s="82"/>
      <c r="O651" s="82"/>
      <c r="P651" s="82"/>
      <c r="Q651" s="82" t="s">
        <v>2307</v>
      </c>
      <c r="R651" s="111">
        <v>45929</v>
      </c>
      <c r="S651" s="82" t="s">
        <v>23</v>
      </c>
      <c r="T651" s="81" t="s">
        <v>144</v>
      </c>
      <c r="U651" s="81" t="s">
        <v>3403</v>
      </c>
    </row>
    <row r="652" spans="1:21" x14ac:dyDescent="0.25">
      <c r="A652" s="81"/>
      <c r="B652" s="81"/>
      <c r="C652" s="81" t="s">
        <v>144</v>
      </c>
      <c r="D652" s="81" t="s">
        <v>10</v>
      </c>
      <c r="E652" s="81" t="s">
        <v>2308</v>
      </c>
      <c r="F652" s="81" t="s">
        <v>3264</v>
      </c>
      <c r="G652" s="81" t="s">
        <v>2309</v>
      </c>
      <c r="H652" s="81"/>
      <c r="I652" s="81"/>
      <c r="J652" s="81"/>
      <c r="K652" s="81"/>
      <c r="L652" s="81"/>
      <c r="M652" s="82" t="s">
        <v>52</v>
      </c>
      <c r="N652" s="82"/>
      <c r="O652" s="82"/>
      <c r="P652" s="82"/>
      <c r="Q652" s="82" t="s">
        <v>2310</v>
      </c>
      <c r="R652" s="111">
        <v>45931</v>
      </c>
      <c r="S652" s="82" t="s">
        <v>45</v>
      </c>
      <c r="T652" s="81" t="s">
        <v>144</v>
      </c>
      <c r="U652" s="81" t="s">
        <v>144</v>
      </c>
    </row>
    <row r="653" spans="1:21" x14ac:dyDescent="0.25">
      <c r="A653" s="81"/>
      <c r="B653" s="81"/>
      <c r="C653" s="81" t="s">
        <v>144</v>
      </c>
      <c r="D653" s="81" t="s">
        <v>10</v>
      </c>
      <c r="E653" s="81" t="s">
        <v>2311</v>
      </c>
      <c r="F653" s="81" t="s">
        <v>150</v>
      </c>
      <c r="G653" s="81" t="s">
        <v>2312</v>
      </c>
      <c r="H653" s="81"/>
      <c r="I653" s="81"/>
      <c r="J653" s="81"/>
      <c r="K653" s="81"/>
      <c r="L653" s="81"/>
      <c r="M653" s="82" t="s">
        <v>52</v>
      </c>
      <c r="N653" s="82"/>
      <c r="O653" s="82"/>
      <c r="P653" s="82"/>
      <c r="Q653" s="82" t="s">
        <v>2313</v>
      </c>
      <c r="R653" s="111">
        <v>45932</v>
      </c>
      <c r="S653" s="82" t="s">
        <v>674</v>
      </c>
      <c r="T653" s="81" t="s">
        <v>144</v>
      </c>
      <c r="U653" s="81" t="s">
        <v>3404</v>
      </c>
    </row>
    <row r="654" spans="1:21" ht="30" x14ac:dyDescent="0.25">
      <c r="A654" s="81"/>
      <c r="B654" s="81"/>
      <c r="C654" s="81" t="s">
        <v>144</v>
      </c>
      <c r="D654" s="81" t="s">
        <v>10</v>
      </c>
      <c r="E654" s="81" t="s">
        <v>2314</v>
      </c>
      <c r="F654" s="81" t="s">
        <v>150</v>
      </c>
      <c r="G654" s="81" t="s">
        <v>2315</v>
      </c>
      <c r="H654" s="81"/>
      <c r="I654" s="81"/>
      <c r="J654" s="81"/>
      <c r="K654" s="81"/>
      <c r="L654" s="81"/>
      <c r="M654" s="82" t="s">
        <v>52</v>
      </c>
      <c r="N654" s="82"/>
      <c r="O654" s="82"/>
      <c r="P654" s="82"/>
      <c r="Q654" s="82" t="s">
        <v>2316</v>
      </c>
      <c r="R654" s="111">
        <v>45930</v>
      </c>
      <c r="S654" s="82" t="s">
        <v>238</v>
      </c>
      <c r="T654" s="81" t="s">
        <v>144</v>
      </c>
      <c r="U654" s="81" t="s">
        <v>3405</v>
      </c>
    </row>
    <row r="655" spans="1:21" x14ac:dyDescent="0.25">
      <c r="A655" s="81"/>
      <c r="B655" s="81"/>
      <c r="C655" s="81" t="s">
        <v>144</v>
      </c>
      <c r="D655" s="81" t="s">
        <v>10</v>
      </c>
      <c r="E655" s="81" t="s">
        <v>2317</v>
      </c>
      <c r="F655" s="81" t="s">
        <v>3264</v>
      </c>
      <c r="G655" s="81" t="s">
        <v>2318</v>
      </c>
      <c r="H655" s="81"/>
      <c r="I655" s="81"/>
      <c r="J655" s="81"/>
      <c r="K655" s="81"/>
      <c r="L655" s="81"/>
      <c r="M655" s="82" t="s">
        <v>52</v>
      </c>
      <c r="N655" s="82"/>
      <c r="O655" s="82"/>
      <c r="P655" s="82"/>
      <c r="Q655" s="82" t="s">
        <v>2319</v>
      </c>
      <c r="R655" s="111">
        <v>45937</v>
      </c>
      <c r="S655" s="82"/>
      <c r="T655" s="81" t="s">
        <v>144</v>
      </c>
      <c r="U655" s="81" t="s">
        <v>3406</v>
      </c>
    </row>
    <row r="656" spans="1:21" ht="45" x14ac:dyDescent="0.25">
      <c r="A656" s="81"/>
      <c r="B656" s="81"/>
      <c r="C656" s="81" t="s">
        <v>144</v>
      </c>
      <c r="D656" s="81" t="s">
        <v>10</v>
      </c>
      <c r="E656" s="81" t="s">
        <v>2320</v>
      </c>
      <c r="F656" s="81" t="s">
        <v>150</v>
      </c>
      <c r="G656" s="81" t="s">
        <v>2321</v>
      </c>
      <c r="H656" s="81"/>
      <c r="I656" s="81"/>
      <c r="J656" s="81"/>
      <c r="K656" s="81"/>
      <c r="L656" s="81"/>
      <c r="M656" s="82" t="s">
        <v>52</v>
      </c>
      <c r="N656" s="82"/>
      <c r="O656" s="82"/>
      <c r="P656" s="82"/>
      <c r="Q656" s="82" t="s">
        <v>2322</v>
      </c>
      <c r="R656" s="111">
        <v>45946</v>
      </c>
      <c r="S656" s="82" t="s">
        <v>238</v>
      </c>
      <c r="T656" s="81" t="s">
        <v>144</v>
      </c>
      <c r="U656" s="81" t="s">
        <v>3491</v>
      </c>
    </row>
    <row r="657" spans="1:21" ht="30" x14ac:dyDescent="0.25">
      <c r="A657" s="81"/>
      <c r="B657" s="81"/>
      <c r="C657" s="81" t="s">
        <v>144</v>
      </c>
      <c r="D657" s="81" t="s">
        <v>10</v>
      </c>
      <c r="E657" s="81" t="s">
        <v>2481</v>
      </c>
      <c r="F657" s="81" t="s">
        <v>159</v>
      </c>
      <c r="G657" s="81" t="s">
        <v>2482</v>
      </c>
      <c r="H657" s="81"/>
      <c r="I657" s="81"/>
      <c r="J657" s="81"/>
      <c r="K657" s="81"/>
      <c r="L657" s="81"/>
      <c r="M657" s="82" t="s">
        <v>52</v>
      </c>
      <c r="N657" s="82"/>
      <c r="O657" s="82"/>
      <c r="P657" s="82"/>
      <c r="Q657" s="82" t="s">
        <v>3474</v>
      </c>
      <c r="R657" s="111"/>
      <c r="S657" s="82"/>
      <c r="T657" s="81" t="s">
        <v>144</v>
      </c>
      <c r="U657" s="81" t="s">
        <v>3385</v>
      </c>
    </row>
    <row r="658" spans="1:21" x14ac:dyDescent="0.25">
      <c r="A658" s="81"/>
      <c r="B658" s="81"/>
      <c r="C658" s="81" t="s">
        <v>144</v>
      </c>
      <c r="D658" s="81" t="s">
        <v>10</v>
      </c>
      <c r="E658" s="81" t="s">
        <v>2705</v>
      </c>
      <c r="F658" s="81" t="s">
        <v>168</v>
      </c>
      <c r="G658" s="81" t="s">
        <v>2270</v>
      </c>
      <c r="H658" s="81"/>
      <c r="I658" s="81"/>
      <c r="J658" s="81"/>
      <c r="K658" s="81"/>
      <c r="L658" s="81"/>
      <c r="M658" s="82" t="s">
        <v>52</v>
      </c>
      <c r="N658" s="82"/>
      <c r="O658" s="82"/>
      <c r="P658" s="82"/>
      <c r="Q658" s="82" t="s">
        <v>2706</v>
      </c>
      <c r="R658" s="111"/>
      <c r="S658" s="82" t="s">
        <v>238</v>
      </c>
      <c r="T658" s="81" t="s">
        <v>144</v>
      </c>
      <c r="U658" s="81" t="s">
        <v>144</v>
      </c>
    </row>
    <row r="659" spans="1:21" x14ac:dyDescent="0.25">
      <c r="A659" s="81"/>
      <c r="B659" s="81" t="s">
        <v>8</v>
      </c>
      <c r="C659" s="81" t="s">
        <v>144</v>
      </c>
      <c r="D659" s="81" t="s">
        <v>145</v>
      </c>
      <c r="E659" s="81" t="s">
        <v>2707</v>
      </c>
      <c r="F659" s="81" t="s">
        <v>151</v>
      </c>
      <c r="G659" s="81" t="s">
        <v>2708</v>
      </c>
      <c r="H659" s="81"/>
      <c r="I659" s="81"/>
      <c r="J659" s="81"/>
      <c r="K659" s="81"/>
      <c r="L659" s="81"/>
      <c r="M659" s="82" t="s">
        <v>52</v>
      </c>
      <c r="N659" s="82"/>
      <c r="O659" s="82"/>
      <c r="P659" s="82"/>
      <c r="Q659" s="82" t="s">
        <v>2709</v>
      </c>
      <c r="R659" s="111">
        <v>45789</v>
      </c>
      <c r="S659" s="82" t="s">
        <v>1403</v>
      </c>
      <c r="T659" s="81" t="s">
        <v>144</v>
      </c>
      <c r="U659" s="81" t="s">
        <v>144</v>
      </c>
    </row>
    <row r="660" spans="1:21" x14ac:dyDescent="0.25">
      <c r="A660" s="81"/>
      <c r="B660" s="81" t="s">
        <v>8</v>
      </c>
      <c r="C660" s="81" t="s">
        <v>144</v>
      </c>
      <c r="D660" s="81" t="s">
        <v>145</v>
      </c>
      <c r="E660" s="81" t="s">
        <v>2710</v>
      </c>
      <c r="F660" s="81" t="s">
        <v>151</v>
      </c>
      <c r="G660" s="81" t="s">
        <v>2711</v>
      </c>
      <c r="H660" s="81"/>
      <c r="I660" s="81"/>
      <c r="J660" s="81"/>
      <c r="K660" s="81"/>
      <c r="L660" s="81"/>
      <c r="M660" s="82" t="s">
        <v>52</v>
      </c>
      <c r="N660" s="82"/>
      <c r="O660" s="82"/>
      <c r="P660" s="82"/>
      <c r="Q660" s="82"/>
      <c r="R660" s="111"/>
      <c r="S660" s="82"/>
      <c r="T660" s="81" t="s">
        <v>144</v>
      </c>
      <c r="U660" s="81" t="s">
        <v>144</v>
      </c>
    </row>
    <row r="661" spans="1:21" x14ac:dyDescent="0.25">
      <c r="A661" s="81"/>
      <c r="B661" s="81" t="s">
        <v>8</v>
      </c>
      <c r="C661" s="81" t="s">
        <v>144</v>
      </c>
      <c r="D661" s="81" t="s">
        <v>145</v>
      </c>
      <c r="E661" s="81" t="s">
        <v>2712</v>
      </c>
      <c r="F661" s="81" t="s">
        <v>152</v>
      </c>
      <c r="G661" s="81" t="s">
        <v>2713</v>
      </c>
      <c r="H661" s="81"/>
      <c r="I661" s="81"/>
      <c r="J661" s="81"/>
      <c r="K661" s="81"/>
      <c r="L661" s="81"/>
      <c r="M661" s="82" t="s">
        <v>52</v>
      </c>
      <c r="N661" s="82"/>
      <c r="O661" s="82"/>
      <c r="P661" s="82"/>
      <c r="Q661" s="82"/>
      <c r="R661" s="111"/>
      <c r="S661" s="82"/>
      <c r="T661" s="81" t="s">
        <v>144</v>
      </c>
      <c r="U661" s="81" t="s">
        <v>144</v>
      </c>
    </row>
    <row r="662" spans="1:21" x14ac:dyDescent="0.25">
      <c r="A662" s="81"/>
      <c r="B662" s="81" t="s">
        <v>8</v>
      </c>
      <c r="C662" s="81" t="s">
        <v>144</v>
      </c>
      <c r="D662" s="81" t="s">
        <v>145</v>
      </c>
      <c r="E662" s="81" t="s">
        <v>2714</v>
      </c>
      <c r="F662" s="81" t="s">
        <v>151</v>
      </c>
      <c r="G662" s="81" t="s">
        <v>2715</v>
      </c>
      <c r="H662" s="81"/>
      <c r="I662" s="81"/>
      <c r="J662" s="81"/>
      <c r="K662" s="81"/>
      <c r="L662" s="81"/>
      <c r="M662" s="82" t="s">
        <v>52</v>
      </c>
      <c r="N662" s="82"/>
      <c r="O662" s="82"/>
      <c r="P662" s="82"/>
      <c r="Q662" s="82" t="s">
        <v>2716</v>
      </c>
      <c r="R662" s="111">
        <v>45720</v>
      </c>
      <c r="S662" s="82" t="s">
        <v>23</v>
      </c>
      <c r="T662" s="81" t="s">
        <v>144</v>
      </c>
      <c r="U662" s="81" t="s">
        <v>144</v>
      </c>
    </row>
    <row r="663" spans="1:21" ht="30" x14ac:dyDescent="0.25">
      <c r="A663" s="81"/>
      <c r="B663" s="81" t="s">
        <v>8</v>
      </c>
      <c r="C663" s="81" t="s">
        <v>144</v>
      </c>
      <c r="D663" s="81" t="s">
        <v>145</v>
      </c>
      <c r="E663" s="81" t="s">
        <v>2717</v>
      </c>
      <c r="F663" s="81" t="s">
        <v>151</v>
      </c>
      <c r="G663" s="81" t="s">
        <v>2718</v>
      </c>
      <c r="H663" s="81"/>
      <c r="I663" s="81"/>
      <c r="J663" s="81"/>
      <c r="K663" s="81"/>
      <c r="L663" s="81"/>
      <c r="M663" s="82" t="s">
        <v>52</v>
      </c>
      <c r="N663" s="82"/>
      <c r="O663" s="82"/>
      <c r="P663" s="82"/>
      <c r="Q663" s="82" t="s">
        <v>2719</v>
      </c>
      <c r="R663" s="111">
        <v>45716</v>
      </c>
      <c r="S663" s="82" t="s">
        <v>2720</v>
      </c>
      <c r="T663" s="81" t="s">
        <v>144</v>
      </c>
      <c r="U663" s="81" t="s">
        <v>144</v>
      </c>
    </row>
    <row r="664" spans="1:21" x14ac:dyDescent="0.25">
      <c r="A664" s="81"/>
      <c r="B664" s="81" t="s">
        <v>8</v>
      </c>
      <c r="C664" s="81" t="s">
        <v>144</v>
      </c>
      <c r="D664" s="81" t="s">
        <v>145</v>
      </c>
      <c r="E664" s="81" t="s">
        <v>2721</v>
      </c>
      <c r="F664" s="81" t="s">
        <v>152</v>
      </c>
      <c r="G664" s="81" t="s">
        <v>2722</v>
      </c>
      <c r="H664" s="81"/>
      <c r="I664" s="81"/>
      <c r="J664" s="81"/>
      <c r="K664" s="81"/>
      <c r="L664" s="81"/>
      <c r="M664" s="82" t="s">
        <v>52</v>
      </c>
      <c r="N664" s="82"/>
      <c r="O664" s="82"/>
      <c r="P664" s="82"/>
      <c r="Q664" s="82"/>
      <c r="R664" s="111"/>
      <c r="S664" s="82"/>
      <c r="T664" s="81" t="s">
        <v>144</v>
      </c>
      <c r="U664" s="81" t="s">
        <v>144</v>
      </c>
    </row>
    <row r="665" spans="1:21" ht="30" x14ac:dyDescent="0.25">
      <c r="A665" s="81"/>
      <c r="B665" s="81" t="s">
        <v>8</v>
      </c>
      <c r="C665" s="81" t="s">
        <v>144</v>
      </c>
      <c r="D665" s="81" t="s">
        <v>145</v>
      </c>
      <c r="E665" s="81" t="s">
        <v>2723</v>
      </c>
      <c r="F665" s="81" t="s">
        <v>142</v>
      </c>
      <c r="G665" s="81" t="s">
        <v>2724</v>
      </c>
      <c r="H665" s="81"/>
      <c r="I665" s="81"/>
      <c r="J665" s="81"/>
      <c r="K665" s="81"/>
      <c r="L665" s="81"/>
      <c r="M665" s="82" t="s">
        <v>52</v>
      </c>
      <c r="N665" s="82"/>
      <c r="O665" s="82"/>
      <c r="P665" s="82"/>
      <c r="Q665" s="82" t="s">
        <v>2725</v>
      </c>
      <c r="R665" s="111">
        <v>45685</v>
      </c>
      <c r="S665" s="82" t="s">
        <v>2720</v>
      </c>
      <c r="T665" s="81" t="s">
        <v>144</v>
      </c>
      <c r="U665" s="81" t="s">
        <v>144</v>
      </c>
    </row>
    <row r="666" spans="1:21" x14ac:dyDescent="0.25">
      <c r="A666" s="81"/>
      <c r="B666" s="81" t="s">
        <v>8</v>
      </c>
      <c r="C666" s="81" t="s">
        <v>144</v>
      </c>
      <c r="D666" s="81" t="s">
        <v>145</v>
      </c>
      <c r="E666" s="81" t="s">
        <v>2726</v>
      </c>
      <c r="F666" s="81" t="s">
        <v>152</v>
      </c>
      <c r="G666" s="81" t="s">
        <v>2727</v>
      </c>
      <c r="H666" s="81"/>
      <c r="I666" s="81"/>
      <c r="J666" s="81"/>
      <c r="K666" s="81"/>
      <c r="L666" s="81"/>
      <c r="M666" s="82" t="s">
        <v>52</v>
      </c>
      <c r="N666" s="82"/>
      <c r="O666" s="82"/>
      <c r="P666" s="82"/>
      <c r="Q666" s="82"/>
      <c r="R666" s="111"/>
      <c r="S666" s="82"/>
      <c r="T666" s="81" t="s">
        <v>144</v>
      </c>
      <c r="U666" s="81" t="s">
        <v>144</v>
      </c>
    </row>
    <row r="667" spans="1:21" ht="30" x14ac:dyDescent="0.25">
      <c r="A667" s="81"/>
      <c r="B667" s="81" t="s">
        <v>8</v>
      </c>
      <c r="C667" s="81" t="s">
        <v>144</v>
      </c>
      <c r="D667" s="81" t="s">
        <v>145</v>
      </c>
      <c r="E667" s="81" t="s">
        <v>2730</v>
      </c>
      <c r="F667" s="81" t="s">
        <v>152</v>
      </c>
      <c r="G667" s="81" t="s">
        <v>2731</v>
      </c>
      <c r="H667" s="81"/>
      <c r="I667" s="81"/>
      <c r="J667" s="81"/>
      <c r="K667" s="81"/>
      <c r="L667" s="81"/>
      <c r="M667" s="82" t="s">
        <v>52</v>
      </c>
      <c r="N667" s="82"/>
      <c r="O667" s="82"/>
      <c r="P667" s="82"/>
      <c r="Q667" s="82"/>
      <c r="R667" s="111"/>
      <c r="S667" s="82"/>
      <c r="T667" s="81" t="s">
        <v>144</v>
      </c>
      <c r="U667" s="81" t="s">
        <v>144</v>
      </c>
    </row>
    <row r="668" spans="1:21" x14ac:dyDescent="0.25">
      <c r="A668" s="81"/>
      <c r="B668" s="81" t="s">
        <v>8</v>
      </c>
      <c r="C668" s="81" t="s">
        <v>144</v>
      </c>
      <c r="D668" s="81" t="s">
        <v>145</v>
      </c>
      <c r="E668" s="81" t="s">
        <v>2732</v>
      </c>
      <c r="F668" s="81" t="s">
        <v>152</v>
      </c>
      <c r="G668" s="81" t="s">
        <v>2733</v>
      </c>
      <c r="H668" s="81"/>
      <c r="I668" s="81"/>
      <c r="J668" s="81"/>
      <c r="K668" s="81"/>
      <c r="L668" s="81"/>
      <c r="M668" s="82" t="s">
        <v>52</v>
      </c>
      <c r="N668" s="82"/>
      <c r="O668" s="82"/>
      <c r="P668" s="82"/>
      <c r="Q668" s="82" t="s">
        <v>2357</v>
      </c>
      <c r="R668" s="111"/>
      <c r="S668" s="82"/>
      <c r="T668" s="81" t="s">
        <v>144</v>
      </c>
      <c r="U668" s="81" t="s">
        <v>144</v>
      </c>
    </row>
    <row r="669" spans="1:21" x14ac:dyDescent="0.25">
      <c r="A669" s="81"/>
      <c r="B669" s="81" t="s">
        <v>8</v>
      </c>
      <c r="C669" s="81" t="s">
        <v>144</v>
      </c>
      <c r="D669" s="81" t="s">
        <v>145</v>
      </c>
      <c r="E669" s="81" t="s">
        <v>2734</v>
      </c>
      <c r="F669" s="81" t="s">
        <v>145</v>
      </c>
      <c r="G669" s="81" t="s">
        <v>2735</v>
      </c>
      <c r="H669" s="81"/>
      <c r="I669" s="81"/>
      <c r="J669" s="81"/>
      <c r="K669" s="81"/>
      <c r="L669" s="81"/>
      <c r="M669" s="82" t="s">
        <v>52</v>
      </c>
      <c r="N669" s="82"/>
      <c r="O669" s="82"/>
      <c r="P669" s="82"/>
      <c r="Q669" s="82" t="s">
        <v>2357</v>
      </c>
      <c r="R669" s="111"/>
      <c r="S669" s="82"/>
      <c r="T669" s="81" t="s">
        <v>144</v>
      </c>
      <c r="U669" s="81" t="s">
        <v>144</v>
      </c>
    </row>
    <row r="670" spans="1:21" x14ac:dyDescent="0.25">
      <c r="A670" s="81"/>
      <c r="B670" s="81" t="s">
        <v>8</v>
      </c>
      <c r="C670" s="81" t="s">
        <v>144</v>
      </c>
      <c r="D670" s="81" t="s">
        <v>145</v>
      </c>
      <c r="E670" s="81" t="s">
        <v>2736</v>
      </c>
      <c r="F670" s="81" t="s">
        <v>3271</v>
      </c>
      <c r="G670" s="81" t="s">
        <v>2737</v>
      </c>
      <c r="H670" s="81"/>
      <c r="I670" s="81"/>
      <c r="J670" s="81"/>
      <c r="K670" s="81"/>
      <c r="L670" s="81"/>
      <c r="M670" s="82" t="s">
        <v>52</v>
      </c>
      <c r="N670" s="82"/>
      <c r="O670" s="82"/>
      <c r="P670" s="82"/>
      <c r="Q670" s="82" t="s">
        <v>2357</v>
      </c>
      <c r="R670" s="111"/>
      <c r="S670" s="82"/>
      <c r="T670" s="81" t="s">
        <v>144</v>
      </c>
      <c r="U670" s="81" t="s">
        <v>144</v>
      </c>
    </row>
    <row r="671" spans="1:21" ht="30" x14ac:dyDescent="0.25">
      <c r="A671" s="81"/>
      <c r="B671" s="81" t="s">
        <v>8</v>
      </c>
      <c r="C671" s="81" t="s">
        <v>144</v>
      </c>
      <c r="D671" s="81" t="s">
        <v>145</v>
      </c>
      <c r="E671" s="81" t="s">
        <v>2738</v>
      </c>
      <c r="F671" s="81" t="s">
        <v>151</v>
      </c>
      <c r="G671" s="81" t="s">
        <v>2739</v>
      </c>
      <c r="H671" s="81"/>
      <c r="I671" s="81"/>
      <c r="J671" s="81"/>
      <c r="K671" s="81"/>
      <c r="L671" s="81"/>
      <c r="M671" s="82" t="s">
        <v>52</v>
      </c>
      <c r="N671" s="82"/>
      <c r="O671" s="82"/>
      <c r="P671" s="82"/>
      <c r="Q671" s="82"/>
      <c r="R671" s="111">
        <v>45638</v>
      </c>
      <c r="S671" s="82" t="s">
        <v>2720</v>
      </c>
      <c r="T671" s="81" t="s">
        <v>144</v>
      </c>
      <c r="U671" s="81" t="s">
        <v>144</v>
      </c>
    </row>
    <row r="672" spans="1:21" ht="30" x14ac:dyDescent="0.25">
      <c r="A672" s="81"/>
      <c r="B672" s="81" t="s">
        <v>8</v>
      </c>
      <c r="C672" s="81" t="s">
        <v>144</v>
      </c>
      <c r="D672" s="81" t="s">
        <v>145</v>
      </c>
      <c r="E672" s="81" t="s">
        <v>2740</v>
      </c>
      <c r="F672" s="81" t="s">
        <v>151</v>
      </c>
      <c r="G672" s="81" t="s">
        <v>2741</v>
      </c>
      <c r="H672" s="81"/>
      <c r="I672" s="81"/>
      <c r="J672" s="81"/>
      <c r="K672" s="81"/>
      <c r="L672" s="81"/>
      <c r="M672" s="82" t="s">
        <v>52</v>
      </c>
      <c r="N672" s="82"/>
      <c r="O672" s="82"/>
      <c r="P672" s="82"/>
      <c r="Q672" s="82" t="s">
        <v>2742</v>
      </c>
      <c r="R672" s="111">
        <v>45637</v>
      </c>
      <c r="S672" s="82" t="s">
        <v>2720</v>
      </c>
      <c r="T672" s="81" t="s">
        <v>144</v>
      </c>
      <c r="U672" s="81" t="s">
        <v>144</v>
      </c>
    </row>
    <row r="673" spans="1:21" x14ac:dyDescent="0.25">
      <c r="A673" s="81"/>
      <c r="B673" s="81" t="s">
        <v>8</v>
      </c>
      <c r="C673" s="81" t="s">
        <v>144</v>
      </c>
      <c r="D673" s="81" t="s">
        <v>145</v>
      </c>
      <c r="E673" s="81" t="s">
        <v>2743</v>
      </c>
      <c r="F673" s="81" t="s">
        <v>142</v>
      </c>
      <c r="G673" s="81" t="s">
        <v>2744</v>
      </c>
      <c r="H673" s="81"/>
      <c r="I673" s="81"/>
      <c r="J673" s="81"/>
      <c r="K673" s="81"/>
      <c r="L673" s="81"/>
      <c r="M673" s="82" t="s">
        <v>52</v>
      </c>
      <c r="N673" s="82"/>
      <c r="O673" s="82"/>
      <c r="P673" s="82"/>
      <c r="Q673" s="82"/>
      <c r="R673" s="111"/>
      <c r="S673" s="82"/>
      <c r="T673" s="81" t="s">
        <v>144</v>
      </c>
      <c r="U673" s="81" t="s">
        <v>144</v>
      </c>
    </row>
    <row r="674" spans="1:21" x14ac:dyDescent="0.25">
      <c r="A674" s="81"/>
      <c r="B674" s="81" t="s">
        <v>8</v>
      </c>
      <c r="C674" s="81" t="s">
        <v>144</v>
      </c>
      <c r="D674" s="81" t="s">
        <v>145</v>
      </c>
      <c r="E674" s="81" t="s">
        <v>2745</v>
      </c>
      <c r="F674" s="81" t="s">
        <v>142</v>
      </c>
      <c r="G674" s="81" t="s">
        <v>2746</v>
      </c>
      <c r="H674" s="81"/>
      <c r="I674" s="81"/>
      <c r="J674" s="81"/>
      <c r="K674" s="81"/>
      <c r="L674" s="81"/>
      <c r="M674" s="82" t="s">
        <v>52</v>
      </c>
      <c r="N674" s="82"/>
      <c r="O674" s="82"/>
      <c r="P674" s="82"/>
      <c r="Q674" s="82"/>
      <c r="R674" s="111"/>
      <c r="S674" s="82"/>
      <c r="T674" s="81" t="s">
        <v>144</v>
      </c>
      <c r="U674" s="81" t="s">
        <v>144</v>
      </c>
    </row>
    <row r="675" spans="1:21" x14ac:dyDescent="0.25">
      <c r="A675" s="81"/>
      <c r="B675" s="81" t="s">
        <v>8</v>
      </c>
      <c r="C675" s="81" t="s">
        <v>144</v>
      </c>
      <c r="D675" s="81" t="s">
        <v>145</v>
      </c>
      <c r="E675" s="81" t="s">
        <v>2747</v>
      </c>
      <c r="F675" s="81" t="s">
        <v>142</v>
      </c>
      <c r="G675" s="81" t="s">
        <v>2748</v>
      </c>
      <c r="H675" s="81"/>
      <c r="I675" s="81"/>
      <c r="J675" s="81"/>
      <c r="K675" s="81"/>
      <c r="L675" s="81"/>
      <c r="M675" s="82" t="s">
        <v>52</v>
      </c>
      <c r="N675" s="82"/>
      <c r="O675" s="82"/>
      <c r="P675" s="82"/>
      <c r="Q675" s="82"/>
      <c r="R675" s="111"/>
      <c r="S675" s="82"/>
      <c r="T675" s="81" t="s">
        <v>144</v>
      </c>
      <c r="U675" s="81" t="s">
        <v>144</v>
      </c>
    </row>
    <row r="676" spans="1:21" ht="30" x14ac:dyDescent="0.25">
      <c r="A676" s="81"/>
      <c r="B676" s="81" t="s">
        <v>8</v>
      </c>
      <c r="C676" s="81" t="s">
        <v>144</v>
      </c>
      <c r="D676" s="81" t="s">
        <v>145</v>
      </c>
      <c r="E676" s="81" t="s">
        <v>2749</v>
      </c>
      <c r="F676" s="81" t="s">
        <v>142</v>
      </c>
      <c r="G676" s="81" t="s">
        <v>2750</v>
      </c>
      <c r="H676" s="81"/>
      <c r="I676" s="81"/>
      <c r="J676" s="81"/>
      <c r="K676" s="81"/>
      <c r="L676" s="81"/>
      <c r="M676" s="82" t="s">
        <v>52</v>
      </c>
      <c r="N676" s="82"/>
      <c r="O676" s="82"/>
      <c r="P676" s="82"/>
      <c r="Q676" s="82"/>
      <c r="R676" s="111"/>
      <c r="S676" s="82"/>
      <c r="T676" s="81" t="s">
        <v>144</v>
      </c>
      <c r="U676" s="81" t="s">
        <v>144</v>
      </c>
    </row>
    <row r="677" spans="1:21" x14ac:dyDescent="0.25">
      <c r="A677" s="81"/>
      <c r="B677" s="81" t="s">
        <v>8</v>
      </c>
      <c r="C677" s="81" t="s">
        <v>144</v>
      </c>
      <c r="D677" s="81" t="s">
        <v>145</v>
      </c>
      <c r="E677" s="81" t="s">
        <v>2751</v>
      </c>
      <c r="F677" s="81" t="s">
        <v>142</v>
      </c>
      <c r="G677" s="81" t="s">
        <v>2752</v>
      </c>
      <c r="H677" s="81"/>
      <c r="I677" s="81"/>
      <c r="J677" s="81"/>
      <c r="K677" s="81"/>
      <c r="L677" s="81"/>
      <c r="M677" s="82" t="s">
        <v>52</v>
      </c>
      <c r="N677" s="82"/>
      <c r="O677" s="82"/>
      <c r="P677" s="82"/>
      <c r="Q677" s="82"/>
      <c r="R677" s="111"/>
      <c r="S677" s="82"/>
      <c r="T677" s="81" t="s">
        <v>144</v>
      </c>
      <c r="U677" s="81" t="s">
        <v>144</v>
      </c>
    </row>
    <row r="678" spans="1:21" ht="30" x14ac:dyDescent="0.25">
      <c r="A678" s="81"/>
      <c r="B678" s="81" t="s">
        <v>8</v>
      </c>
      <c r="C678" s="81" t="s">
        <v>144</v>
      </c>
      <c r="D678" s="81" t="s">
        <v>145</v>
      </c>
      <c r="E678" s="81" t="s">
        <v>2753</v>
      </c>
      <c r="F678" s="81" t="s">
        <v>151</v>
      </c>
      <c r="G678" s="81" t="s">
        <v>2754</v>
      </c>
      <c r="H678" s="81"/>
      <c r="I678" s="81"/>
      <c r="J678" s="81"/>
      <c r="K678" s="81"/>
      <c r="L678" s="81"/>
      <c r="M678" s="82" t="s">
        <v>52</v>
      </c>
      <c r="N678" s="82"/>
      <c r="O678" s="82"/>
      <c r="P678" s="82"/>
      <c r="Q678" s="82" t="s">
        <v>2755</v>
      </c>
      <c r="R678" s="111">
        <v>45813</v>
      </c>
      <c r="S678" s="82" t="s">
        <v>2756</v>
      </c>
      <c r="T678" s="81" t="s">
        <v>144</v>
      </c>
      <c r="U678" s="81" t="s">
        <v>144</v>
      </c>
    </row>
    <row r="679" spans="1:21" ht="30" x14ac:dyDescent="0.25">
      <c r="A679" s="81"/>
      <c r="B679" s="81" t="s">
        <v>8</v>
      </c>
      <c r="C679" s="81" t="s">
        <v>144</v>
      </c>
      <c r="D679" s="81" t="s">
        <v>145</v>
      </c>
      <c r="E679" s="81" t="s">
        <v>2757</v>
      </c>
      <c r="F679" s="81" t="s">
        <v>151</v>
      </c>
      <c r="G679" s="81" t="s">
        <v>2758</v>
      </c>
      <c r="H679" s="81"/>
      <c r="I679" s="81"/>
      <c r="J679" s="81"/>
      <c r="K679" s="81"/>
      <c r="L679" s="81"/>
      <c r="M679" s="82" t="s">
        <v>52</v>
      </c>
      <c r="N679" s="82"/>
      <c r="O679" s="82"/>
      <c r="P679" s="82"/>
      <c r="Q679" s="82" t="s">
        <v>2759</v>
      </c>
      <c r="R679" s="111"/>
      <c r="S679" s="82"/>
      <c r="T679" s="81" t="s">
        <v>144</v>
      </c>
      <c r="U679" s="81" t="s">
        <v>144</v>
      </c>
    </row>
    <row r="680" spans="1:21" ht="45" x14ac:dyDescent="0.25">
      <c r="A680" s="81"/>
      <c r="B680" s="81"/>
      <c r="C680" s="81" t="s">
        <v>144</v>
      </c>
      <c r="D680" s="81" t="s">
        <v>30</v>
      </c>
      <c r="E680" s="81" t="s">
        <v>2769</v>
      </c>
      <c r="F680" s="81" t="s">
        <v>175</v>
      </c>
      <c r="G680" s="81" t="s">
        <v>2770</v>
      </c>
      <c r="H680" s="81"/>
      <c r="I680" s="81"/>
      <c r="J680" s="81"/>
      <c r="K680" s="81"/>
      <c r="L680" s="81"/>
      <c r="M680" s="82" t="s">
        <v>52</v>
      </c>
      <c r="N680" s="82"/>
      <c r="O680" s="82"/>
      <c r="P680" s="82"/>
      <c r="Q680" s="82" t="s">
        <v>2771</v>
      </c>
      <c r="R680" s="111">
        <v>45863</v>
      </c>
      <c r="S680" s="82" t="s">
        <v>23</v>
      </c>
      <c r="T680" s="81" t="s">
        <v>144</v>
      </c>
      <c r="U680" s="81"/>
    </row>
    <row r="681" spans="1:21" ht="30" x14ac:dyDescent="0.25">
      <c r="A681" s="81"/>
      <c r="B681" s="81" t="s">
        <v>8</v>
      </c>
      <c r="C681" s="81" t="s">
        <v>144</v>
      </c>
      <c r="D681" s="81" t="s">
        <v>30</v>
      </c>
      <c r="E681" s="81" t="s">
        <v>2772</v>
      </c>
      <c r="F681" s="81" t="s">
        <v>30</v>
      </c>
      <c r="G681" s="81" t="s">
        <v>2773</v>
      </c>
      <c r="H681" s="81"/>
      <c r="I681" s="81"/>
      <c r="J681" s="81"/>
      <c r="K681" s="81"/>
      <c r="L681" s="81"/>
      <c r="M681" s="82" t="s">
        <v>52</v>
      </c>
      <c r="N681" s="82"/>
      <c r="O681" s="82"/>
      <c r="P681" s="82"/>
      <c r="Q681" s="82"/>
      <c r="R681" s="111"/>
      <c r="S681" s="82"/>
      <c r="T681" s="81" t="s">
        <v>144</v>
      </c>
      <c r="U681" s="81" t="s">
        <v>144</v>
      </c>
    </row>
    <row r="682" spans="1:21" ht="30" x14ac:dyDescent="0.25">
      <c r="A682" s="81"/>
      <c r="B682" s="81" t="s">
        <v>8</v>
      </c>
      <c r="C682" s="81" t="s">
        <v>144</v>
      </c>
      <c r="D682" s="81" t="s">
        <v>30</v>
      </c>
      <c r="E682" s="81" t="s">
        <v>2774</v>
      </c>
      <c r="F682" s="81" t="s">
        <v>186</v>
      </c>
      <c r="G682" s="81" t="s">
        <v>2775</v>
      </c>
      <c r="H682" s="81"/>
      <c r="I682" s="81"/>
      <c r="J682" s="81"/>
      <c r="K682" s="81"/>
      <c r="L682" s="81"/>
      <c r="M682" s="82" t="s">
        <v>52</v>
      </c>
      <c r="N682" s="82"/>
      <c r="O682" s="82"/>
      <c r="P682" s="82"/>
      <c r="Q682" s="82" t="s">
        <v>725</v>
      </c>
      <c r="R682" s="111">
        <v>45763</v>
      </c>
      <c r="S682" s="82" t="s">
        <v>23</v>
      </c>
      <c r="T682" s="81" t="s">
        <v>144</v>
      </c>
      <c r="U682" s="81" t="s">
        <v>144</v>
      </c>
    </row>
    <row r="683" spans="1:21" x14ac:dyDescent="0.25">
      <c r="A683" s="81"/>
      <c r="B683" s="81" t="s">
        <v>8</v>
      </c>
      <c r="C683" s="81" t="s">
        <v>144</v>
      </c>
      <c r="D683" s="81" t="s">
        <v>30</v>
      </c>
      <c r="E683" s="81" t="s">
        <v>2776</v>
      </c>
      <c r="F683" s="81" t="s">
        <v>186</v>
      </c>
      <c r="G683" s="81" t="s">
        <v>2777</v>
      </c>
      <c r="H683" s="81"/>
      <c r="I683" s="81"/>
      <c r="J683" s="81"/>
      <c r="K683" s="81"/>
      <c r="L683" s="81"/>
      <c r="M683" s="82" t="s">
        <v>52</v>
      </c>
      <c r="N683" s="82"/>
      <c r="O683" s="82"/>
      <c r="P683" s="82"/>
      <c r="Q683" s="82" t="s">
        <v>725</v>
      </c>
      <c r="R683" s="111">
        <v>45769</v>
      </c>
      <c r="S683" s="82" t="s">
        <v>45</v>
      </c>
      <c r="T683" s="81" t="s">
        <v>144</v>
      </c>
      <c r="U683" s="81" t="s">
        <v>144</v>
      </c>
    </row>
    <row r="684" spans="1:21" x14ac:dyDescent="0.25">
      <c r="A684" s="81"/>
      <c r="B684" s="81" t="s">
        <v>8</v>
      </c>
      <c r="C684" s="81" t="s">
        <v>144</v>
      </c>
      <c r="D684" s="81" t="s">
        <v>30</v>
      </c>
      <c r="E684" s="81" t="s">
        <v>2778</v>
      </c>
      <c r="F684" s="81" t="s">
        <v>186</v>
      </c>
      <c r="G684" s="81" t="s">
        <v>2779</v>
      </c>
      <c r="H684" s="81"/>
      <c r="I684" s="81"/>
      <c r="J684" s="81"/>
      <c r="K684" s="81"/>
      <c r="L684" s="81"/>
      <c r="M684" s="82" t="s">
        <v>52</v>
      </c>
      <c r="N684" s="82"/>
      <c r="O684" s="82"/>
      <c r="P684" s="82"/>
      <c r="Q684" s="82" t="s">
        <v>725</v>
      </c>
      <c r="R684" s="111">
        <v>45797</v>
      </c>
      <c r="S684" s="82" t="s">
        <v>535</v>
      </c>
      <c r="T684" s="81" t="s">
        <v>144</v>
      </c>
      <c r="U684" s="81" t="s">
        <v>144</v>
      </c>
    </row>
    <row r="685" spans="1:21" ht="30" x14ac:dyDescent="0.25">
      <c r="A685" s="81"/>
      <c r="B685" s="81" t="s">
        <v>8</v>
      </c>
      <c r="C685" s="81" t="s">
        <v>144</v>
      </c>
      <c r="D685" s="81" t="s">
        <v>30</v>
      </c>
      <c r="E685" s="81" t="s">
        <v>2780</v>
      </c>
      <c r="F685" s="81" t="s">
        <v>3272</v>
      </c>
      <c r="G685" s="81" t="s">
        <v>2781</v>
      </c>
      <c r="H685" s="81"/>
      <c r="I685" s="81"/>
      <c r="J685" s="81"/>
      <c r="K685" s="81"/>
      <c r="L685" s="81"/>
      <c r="M685" s="82" t="s">
        <v>52</v>
      </c>
      <c r="N685" s="82"/>
      <c r="O685" s="82"/>
      <c r="P685" s="82"/>
      <c r="Q685" s="82" t="s">
        <v>725</v>
      </c>
      <c r="R685" s="111">
        <v>45806</v>
      </c>
      <c r="S685" s="82" t="s">
        <v>23</v>
      </c>
      <c r="T685" s="81" t="s">
        <v>144</v>
      </c>
      <c r="U685" s="81" t="s">
        <v>144</v>
      </c>
    </row>
    <row r="686" spans="1:21" ht="30" x14ac:dyDescent="0.25">
      <c r="A686" s="81"/>
      <c r="B686" s="81" t="s">
        <v>8</v>
      </c>
      <c r="C686" s="81" t="s">
        <v>144</v>
      </c>
      <c r="D686" s="81" t="s">
        <v>30</v>
      </c>
      <c r="E686" s="81" t="s">
        <v>2782</v>
      </c>
      <c r="F686" s="81" t="s">
        <v>30</v>
      </c>
      <c r="G686" s="81" t="s">
        <v>2783</v>
      </c>
      <c r="H686" s="81"/>
      <c r="I686" s="81"/>
      <c r="J686" s="81"/>
      <c r="K686" s="81"/>
      <c r="L686" s="81"/>
      <c r="M686" s="82" t="s">
        <v>52</v>
      </c>
      <c r="N686" s="82"/>
      <c r="O686" s="82"/>
      <c r="P686" s="82"/>
      <c r="Q686" s="82"/>
      <c r="R686" s="111"/>
      <c r="S686" s="82"/>
      <c r="T686" s="81" t="s">
        <v>144</v>
      </c>
      <c r="U686" s="81" t="s">
        <v>144</v>
      </c>
    </row>
    <row r="687" spans="1:21" ht="30" x14ac:dyDescent="0.25">
      <c r="A687" s="81"/>
      <c r="B687" s="81" t="s">
        <v>8</v>
      </c>
      <c r="C687" s="81" t="s">
        <v>144</v>
      </c>
      <c r="D687" s="81" t="s">
        <v>30</v>
      </c>
      <c r="E687" s="81" t="s">
        <v>2784</v>
      </c>
      <c r="F687" s="81" t="s">
        <v>30</v>
      </c>
      <c r="G687" s="81" t="s">
        <v>2785</v>
      </c>
      <c r="H687" s="81"/>
      <c r="I687" s="81"/>
      <c r="J687" s="81"/>
      <c r="K687" s="81"/>
      <c r="L687" s="81"/>
      <c r="M687" s="82" t="s">
        <v>52</v>
      </c>
      <c r="N687" s="82" t="s">
        <v>8</v>
      </c>
      <c r="O687" s="82"/>
      <c r="P687" s="82"/>
      <c r="Q687" s="82" t="s">
        <v>2786</v>
      </c>
      <c r="R687" s="111">
        <v>45782</v>
      </c>
      <c r="S687" s="82" t="s">
        <v>535</v>
      </c>
      <c r="T687" s="81" t="s">
        <v>144</v>
      </c>
      <c r="U687" s="81" t="s">
        <v>144</v>
      </c>
    </row>
    <row r="688" spans="1:21" ht="30" x14ac:dyDescent="0.25">
      <c r="A688" s="81"/>
      <c r="B688" s="81" t="s">
        <v>8</v>
      </c>
      <c r="C688" s="81" t="s">
        <v>144</v>
      </c>
      <c r="D688" s="81" t="s">
        <v>30</v>
      </c>
      <c r="E688" s="81" t="s">
        <v>2787</v>
      </c>
      <c r="F688" s="81" t="s">
        <v>30</v>
      </c>
      <c r="G688" s="81" t="s">
        <v>2788</v>
      </c>
      <c r="H688" s="81"/>
      <c r="I688" s="81"/>
      <c r="J688" s="81"/>
      <c r="K688" s="81"/>
      <c r="L688" s="81"/>
      <c r="M688" s="82" t="s">
        <v>52</v>
      </c>
      <c r="N688" s="82"/>
      <c r="O688" s="82"/>
      <c r="P688" s="82"/>
      <c r="Q688" s="82"/>
      <c r="R688" s="111"/>
      <c r="S688" s="82"/>
      <c r="T688" s="81" t="s">
        <v>144</v>
      </c>
      <c r="U688" s="81" t="s">
        <v>144</v>
      </c>
    </row>
    <row r="689" spans="1:21" ht="30" x14ac:dyDescent="0.25">
      <c r="A689" s="81"/>
      <c r="B689" s="81" t="s">
        <v>8</v>
      </c>
      <c r="C689" s="81" t="s">
        <v>144</v>
      </c>
      <c r="D689" s="81" t="s">
        <v>30</v>
      </c>
      <c r="E689" s="81" t="s">
        <v>2789</v>
      </c>
      <c r="F689" s="81" t="s">
        <v>30</v>
      </c>
      <c r="G689" s="81" t="s">
        <v>2790</v>
      </c>
      <c r="H689" s="81"/>
      <c r="I689" s="81"/>
      <c r="J689" s="81"/>
      <c r="K689" s="81"/>
      <c r="L689" s="81"/>
      <c r="M689" s="82" t="s">
        <v>52</v>
      </c>
      <c r="N689" s="82"/>
      <c r="O689" s="82"/>
      <c r="P689" s="82"/>
      <c r="Q689" s="82"/>
      <c r="R689" s="111"/>
      <c r="S689" s="82"/>
      <c r="T689" s="81" t="s">
        <v>144</v>
      </c>
      <c r="U689" s="81" t="s">
        <v>144</v>
      </c>
    </row>
    <row r="690" spans="1:21" ht="30" x14ac:dyDescent="0.25">
      <c r="A690" s="81"/>
      <c r="B690" s="81" t="s">
        <v>8</v>
      </c>
      <c r="C690" s="81" t="s">
        <v>144</v>
      </c>
      <c r="D690" s="81" t="s">
        <v>30</v>
      </c>
      <c r="E690" s="81" t="s">
        <v>2791</v>
      </c>
      <c r="F690" s="81" t="s">
        <v>30</v>
      </c>
      <c r="G690" s="81" t="s">
        <v>2792</v>
      </c>
      <c r="H690" s="81"/>
      <c r="I690" s="81"/>
      <c r="J690" s="81"/>
      <c r="K690" s="81"/>
      <c r="L690" s="81"/>
      <c r="M690" s="82" t="s">
        <v>52</v>
      </c>
      <c r="N690" s="82"/>
      <c r="O690" s="82"/>
      <c r="P690" s="82"/>
      <c r="Q690" s="82" t="s">
        <v>2793</v>
      </c>
      <c r="R690" s="111">
        <v>45782</v>
      </c>
      <c r="S690" s="82" t="s">
        <v>535</v>
      </c>
      <c r="T690" s="81" t="s">
        <v>144</v>
      </c>
      <c r="U690" s="81" t="s">
        <v>144</v>
      </c>
    </row>
    <row r="691" spans="1:21" ht="30" x14ac:dyDescent="0.25">
      <c r="A691" s="81"/>
      <c r="B691" s="81" t="s">
        <v>8</v>
      </c>
      <c r="C691" s="81" t="s">
        <v>144</v>
      </c>
      <c r="D691" s="81" t="s">
        <v>30</v>
      </c>
      <c r="E691" s="81" t="s">
        <v>2794</v>
      </c>
      <c r="F691" s="81" t="s">
        <v>30</v>
      </c>
      <c r="G691" s="81" t="s">
        <v>2795</v>
      </c>
      <c r="H691" s="81"/>
      <c r="I691" s="81"/>
      <c r="J691" s="81"/>
      <c r="K691" s="81"/>
      <c r="L691" s="81"/>
      <c r="M691" s="82" t="s">
        <v>52</v>
      </c>
      <c r="N691" s="82"/>
      <c r="O691" s="82"/>
      <c r="P691" s="82"/>
      <c r="Q691" s="82" t="s">
        <v>2796</v>
      </c>
      <c r="R691" s="111">
        <v>45779</v>
      </c>
      <c r="S691" s="82" t="s">
        <v>535</v>
      </c>
      <c r="T691" s="81" t="s">
        <v>144</v>
      </c>
      <c r="U691" s="81" t="s">
        <v>144</v>
      </c>
    </row>
    <row r="692" spans="1:21" ht="30" x14ac:dyDescent="0.25">
      <c r="A692" s="81"/>
      <c r="B692" s="81" t="s">
        <v>8</v>
      </c>
      <c r="C692" s="81" t="s">
        <v>144</v>
      </c>
      <c r="D692" s="81" t="s">
        <v>30</v>
      </c>
      <c r="E692" s="81" t="s">
        <v>2797</v>
      </c>
      <c r="F692" s="81" t="s">
        <v>30</v>
      </c>
      <c r="G692" s="81" t="s">
        <v>2798</v>
      </c>
      <c r="H692" s="81"/>
      <c r="I692" s="81"/>
      <c r="J692" s="81"/>
      <c r="K692" s="81"/>
      <c r="L692" s="81"/>
      <c r="M692" s="82" t="s">
        <v>52</v>
      </c>
      <c r="N692" s="82"/>
      <c r="O692" s="82"/>
      <c r="P692" s="82"/>
      <c r="Q692" s="82" t="s">
        <v>2799</v>
      </c>
      <c r="R692" s="111">
        <v>45775</v>
      </c>
      <c r="S692" s="82" t="s">
        <v>2800</v>
      </c>
      <c r="T692" s="81" t="s">
        <v>144</v>
      </c>
      <c r="U692" s="81" t="s">
        <v>144</v>
      </c>
    </row>
    <row r="693" spans="1:21" ht="30" x14ac:dyDescent="0.25">
      <c r="A693" s="81"/>
      <c r="B693" s="81" t="s">
        <v>8</v>
      </c>
      <c r="C693" s="81" t="s">
        <v>144</v>
      </c>
      <c r="D693" s="81" t="s">
        <v>30</v>
      </c>
      <c r="E693" s="81" t="s">
        <v>2801</v>
      </c>
      <c r="F693" s="81" t="s">
        <v>30</v>
      </c>
      <c r="G693" s="81" t="s">
        <v>2802</v>
      </c>
      <c r="H693" s="81"/>
      <c r="I693" s="81"/>
      <c r="J693" s="81"/>
      <c r="K693" s="81"/>
      <c r="L693" s="81"/>
      <c r="M693" s="82" t="s">
        <v>52</v>
      </c>
      <c r="N693" s="82"/>
      <c r="O693" s="82"/>
      <c r="P693" s="82"/>
      <c r="Q693" s="82" t="s">
        <v>2803</v>
      </c>
      <c r="R693" s="111">
        <v>45775</v>
      </c>
      <c r="S693" s="82" t="s">
        <v>2800</v>
      </c>
      <c r="T693" s="81" t="s">
        <v>144</v>
      </c>
      <c r="U693" s="81" t="s">
        <v>144</v>
      </c>
    </row>
    <row r="694" spans="1:21" ht="30" x14ac:dyDescent="0.25">
      <c r="A694" s="81"/>
      <c r="B694" s="81" t="s">
        <v>8</v>
      </c>
      <c r="C694" s="81" t="s">
        <v>144</v>
      </c>
      <c r="D694" s="81" t="s">
        <v>30</v>
      </c>
      <c r="E694" s="81" t="s">
        <v>2804</v>
      </c>
      <c r="F694" s="81" t="s">
        <v>30</v>
      </c>
      <c r="G694" s="81" t="s">
        <v>2805</v>
      </c>
      <c r="H694" s="81"/>
      <c r="I694" s="81"/>
      <c r="J694" s="81"/>
      <c r="K694" s="81"/>
      <c r="L694" s="81"/>
      <c r="M694" s="82" t="s">
        <v>52</v>
      </c>
      <c r="N694" s="82"/>
      <c r="O694" s="82"/>
      <c r="P694" s="82"/>
      <c r="Q694" s="82"/>
      <c r="R694" s="111"/>
      <c r="S694" s="82"/>
      <c r="T694" s="81" t="s">
        <v>144</v>
      </c>
      <c r="U694" s="81" t="s">
        <v>144</v>
      </c>
    </row>
    <row r="695" spans="1:21" ht="30" x14ac:dyDescent="0.25">
      <c r="A695" s="81"/>
      <c r="B695" s="81" t="s">
        <v>8</v>
      </c>
      <c r="C695" s="81" t="s">
        <v>144</v>
      </c>
      <c r="D695" s="81" t="s">
        <v>30</v>
      </c>
      <c r="E695" s="81" t="s">
        <v>2806</v>
      </c>
      <c r="F695" s="81" t="s">
        <v>30</v>
      </c>
      <c r="G695" s="81" t="s">
        <v>2807</v>
      </c>
      <c r="H695" s="81"/>
      <c r="I695" s="81"/>
      <c r="J695" s="81"/>
      <c r="K695" s="81"/>
      <c r="L695" s="81"/>
      <c r="M695" s="82" t="s">
        <v>52</v>
      </c>
      <c r="N695" s="82"/>
      <c r="O695" s="82"/>
      <c r="P695" s="82"/>
      <c r="Q695" s="82"/>
      <c r="R695" s="111">
        <v>45710</v>
      </c>
      <c r="S695" s="82"/>
      <c r="T695" s="81" t="s">
        <v>144</v>
      </c>
      <c r="U695" s="81" t="s">
        <v>144</v>
      </c>
    </row>
    <row r="696" spans="1:21" ht="30" x14ac:dyDescent="0.25">
      <c r="A696" s="81"/>
      <c r="B696" s="81" t="s">
        <v>8</v>
      </c>
      <c r="C696" s="81" t="s">
        <v>144</v>
      </c>
      <c r="D696" s="81" t="s">
        <v>30</v>
      </c>
      <c r="E696" s="81" t="s">
        <v>2808</v>
      </c>
      <c r="F696" s="81" t="s">
        <v>30</v>
      </c>
      <c r="G696" s="81" t="s">
        <v>2809</v>
      </c>
      <c r="H696" s="81"/>
      <c r="I696" s="81"/>
      <c r="J696" s="81"/>
      <c r="K696" s="81"/>
      <c r="L696" s="81"/>
      <c r="M696" s="82" t="s">
        <v>52</v>
      </c>
      <c r="N696" s="82"/>
      <c r="O696" s="82"/>
      <c r="P696" s="82"/>
      <c r="Q696" s="82"/>
      <c r="R696" s="111"/>
      <c r="S696" s="82"/>
      <c r="T696" s="81" t="s">
        <v>144</v>
      </c>
      <c r="U696" s="81" t="s">
        <v>144</v>
      </c>
    </row>
    <row r="697" spans="1:21" ht="30" x14ac:dyDescent="0.25">
      <c r="A697" s="81"/>
      <c r="B697" s="81" t="s">
        <v>8</v>
      </c>
      <c r="C697" s="81" t="s">
        <v>144</v>
      </c>
      <c r="D697" s="81" t="s">
        <v>30</v>
      </c>
      <c r="E697" s="81" t="s">
        <v>2810</v>
      </c>
      <c r="F697" s="81" t="s">
        <v>30</v>
      </c>
      <c r="G697" s="81" t="s">
        <v>2811</v>
      </c>
      <c r="H697" s="81"/>
      <c r="I697" s="81"/>
      <c r="J697" s="81"/>
      <c r="K697" s="81"/>
      <c r="L697" s="81"/>
      <c r="M697" s="82" t="s">
        <v>52</v>
      </c>
      <c r="N697" s="82"/>
      <c r="O697" s="82"/>
      <c r="P697" s="82"/>
      <c r="Q697" s="82"/>
      <c r="R697" s="111"/>
      <c r="S697" s="82"/>
      <c r="T697" s="81" t="s">
        <v>144</v>
      </c>
      <c r="U697" s="81" t="s">
        <v>144</v>
      </c>
    </row>
    <row r="698" spans="1:21" ht="30" x14ac:dyDescent="0.25">
      <c r="A698" s="81"/>
      <c r="B698" s="81" t="s">
        <v>8</v>
      </c>
      <c r="C698" s="81" t="s">
        <v>144</v>
      </c>
      <c r="D698" s="81" t="s">
        <v>30</v>
      </c>
      <c r="E698" s="81" t="s">
        <v>2812</v>
      </c>
      <c r="F698" s="81" t="s">
        <v>30</v>
      </c>
      <c r="G698" s="81" t="s">
        <v>2813</v>
      </c>
      <c r="H698" s="81"/>
      <c r="I698" s="81"/>
      <c r="J698" s="81"/>
      <c r="K698" s="81"/>
      <c r="L698" s="81"/>
      <c r="M698" s="82" t="s">
        <v>52</v>
      </c>
      <c r="N698" s="82"/>
      <c r="O698" s="82"/>
      <c r="P698" s="82"/>
      <c r="Q698" s="82"/>
      <c r="R698" s="111"/>
      <c r="S698" s="82"/>
      <c r="T698" s="81" t="s">
        <v>144</v>
      </c>
      <c r="U698" s="81" t="s">
        <v>144</v>
      </c>
    </row>
    <row r="699" spans="1:21" x14ac:dyDescent="0.25">
      <c r="A699" s="81"/>
      <c r="B699" s="81" t="s">
        <v>8</v>
      </c>
      <c r="C699" s="81" t="s">
        <v>144</v>
      </c>
      <c r="D699" s="81" t="s">
        <v>30</v>
      </c>
      <c r="E699" s="81" t="s">
        <v>2814</v>
      </c>
      <c r="F699" s="81" t="s">
        <v>2815</v>
      </c>
      <c r="G699" s="81" t="s">
        <v>2816</v>
      </c>
      <c r="H699" s="81"/>
      <c r="I699" s="81"/>
      <c r="J699" s="81"/>
      <c r="K699" s="81"/>
      <c r="L699" s="81"/>
      <c r="M699" s="82" t="s">
        <v>52</v>
      </c>
      <c r="N699" s="82"/>
      <c r="O699" s="82"/>
      <c r="P699" s="82"/>
      <c r="Q699" s="82"/>
      <c r="R699" s="111"/>
      <c r="S699" s="82"/>
      <c r="T699" s="81" t="s">
        <v>144</v>
      </c>
      <c r="U699" s="81" t="s">
        <v>144</v>
      </c>
    </row>
    <row r="700" spans="1:21" ht="30" x14ac:dyDescent="0.25">
      <c r="A700" s="81"/>
      <c r="B700" s="81" t="s">
        <v>8</v>
      </c>
      <c r="C700" s="81" t="s">
        <v>144</v>
      </c>
      <c r="D700" s="81" t="s">
        <v>30</v>
      </c>
      <c r="E700" s="81" t="s">
        <v>2817</v>
      </c>
      <c r="F700" s="81" t="s">
        <v>30</v>
      </c>
      <c r="G700" s="81" t="s">
        <v>2818</v>
      </c>
      <c r="H700" s="81"/>
      <c r="I700" s="81"/>
      <c r="J700" s="81"/>
      <c r="K700" s="81"/>
      <c r="L700" s="81"/>
      <c r="M700" s="82" t="s">
        <v>52</v>
      </c>
      <c r="N700" s="82"/>
      <c r="O700" s="82"/>
      <c r="P700" s="82"/>
      <c r="Q700" s="82"/>
      <c r="R700" s="111"/>
      <c r="S700" s="82"/>
      <c r="T700" s="81" t="s">
        <v>144</v>
      </c>
      <c r="U700" s="81" t="s">
        <v>144</v>
      </c>
    </row>
    <row r="701" spans="1:21" ht="30" x14ac:dyDescent="0.25">
      <c r="A701" s="81"/>
      <c r="B701" s="81" t="s">
        <v>8</v>
      </c>
      <c r="C701" s="81" t="s">
        <v>144</v>
      </c>
      <c r="D701" s="81" t="s">
        <v>30</v>
      </c>
      <c r="E701" s="81" t="s">
        <v>2819</v>
      </c>
      <c r="F701" s="81" t="s">
        <v>30</v>
      </c>
      <c r="G701" s="81" t="s">
        <v>2820</v>
      </c>
      <c r="H701" s="81"/>
      <c r="I701" s="81"/>
      <c r="J701" s="81"/>
      <c r="K701" s="81"/>
      <c r="L701" s="81"/>
      <c r="M701" s="82" t="s">
        <v>52</v>
      </c>
      <c r="N701" s="82"/>
      <c r="O701" s="82"/>
      <c r="P701" s="82"/>
      <c r="Q701" s="82"/>
      <c r="R701" s="111"/>
      <c r="S701" s="82"/>
      <c r="T701" s="81" t="s">
        <v>144</v>
      </c>
      <c r="U701" s="81" t="s">
        <v>144</v>
      </c>
    </row>
    <row r="702" spans="1:21" x14ac:dyDescent="0.25">
      <c r="A702" s="81"/>
      <c r="B702" s="81" t="s">
        <v>8</v>
      </c>
      <c r="C702" s="81" t="s">
        <v>144</v>
      </c>
      <c r="D702" s="81" t="s">
        <v>30</v>
      </c>
      <c r="E702" s="81" t="s">
        <v>2821</v>
      </c>
      <c r="F702" s="81" t="s">
        <v>2815</v>
      </c>
      <c r="G702" s="81" t="s">
        <v>2822</v>
      </c>
      <c r="H702" s="81"/>
      <c r="I702" s="81"/>
      <c r="J702" s="81"/>
      <c r="K702" s="81"/>
      <c r="L702" s="81"/>
      <c r="M702" s="82" t="s">
        <v>52</v>
      </c>
      <c r="N702" s="82"/>
      <c r="O702" s="82"/>
      <c r="P702" s="82"/>
      <c r="Q702" s="82"/>
      <c r="R702" s="111"/>
      <c r="S702" s="82"/>
      <c r="T702" s="81" t="s">
        <v>144</v>
      </c>
      <c r="U702" s="81" t="s">
        <v>144</v>
      </c>
    </row>
    <row r="703" spans="1:21" x14ac:dyDescent="0.25">
      <c r="A703" s="81"/>
      <c r="B703" s="81" t="s">
        <v>8</v>
      </c>
      <c r="C703" s="81" t="s">
        <v>144</v>
      </c>
      <c r="D703" s="81" t="s">
        <v>30</v>
      </c>
      <c r="E703" s="81" t="s">
        <v>2823</v>
      </c>
      <c r="F703" s="81" t="s">
        <v>2824</v>
      </c>
      <c r="G703" s="81" t="s">
        <v>2825</v>
      </c>
      <c r="H703" s="81"/>
      <c r="I703" s="81"/>
      <c r="J703" s="81"/>
      <c r="K703" s="81"/>
      <c r="L703" s="81"/>
      <c r="M703" s="82" t="s">
        <v>52</v>
      </c>
      <c r="N703" s="82"/>
      <c r="O703" s="82"/>
      <c r="P703" s="82"/>
      <c r="Q703" s="82"/>
      <c r="R703" s="111"/>
      <c r="S703" s="82"/>
      <c r="T703" s="81" t="s">
        <v>144</v>
      </c>
      <c r="U703" s="81" t="s">
        <v>144</v>
      </c>
    </row>
    <row r="704" spans="1:21" x14ac:dyDescent="0.25">
      <c r="A704" s="81"/>
      <c r="B704" s="81" t="s">
        <v>8</v>
      </c>
      <c r="C704" s="81" t="s">
        <v>144</v>
      </c>
      <c r="D704" s="81" t="s">
        <v>30</v>
      </c>
      <c r="E704" s="81" t="s">
        <v>2826</v>
      </c>
      <c r="F704" s="81" t="s">
        <v>2824</v>
      </c>
      <c r="G704" s="81" t="s">
        <v>2827</v>
      </c>
      <c r="H704" s="81"/>
      <c r="I704" s="81"/>
      <c r="J704" s="81"/>
      <c r="K704" s="81"/>
      <c r="L704" s="81"/>
      <c r="M704" s="82" t="s">
        <v>52</v>
      </c>
      <c r="N704" s="82"/>
      <c r="O704" s="82"/>
      <c r="P704" s="82"/>
      <c r="Q704" s="82"/>
      <c r="R704" s="111"/>
      <c r="S704" s="82"/>
      <c r="T704" s="81" t="s">
        <v>144</v>
      </c>
      <c r="U704" s="81" t="s">
        <v>144</v>
      </c>
    </row>
    <row r="705" spans="1:21" ht="45" x14ac:dyDescent="0.25">
      <c r="A705" s="81"/>
      <c r="B705" s="81" t="s">
        <v>8</v>
      </c>
      <c r="C705" s="81" t="s">
        <v>144</v>
      </c>
      <c r="D705" s="81" t="s">
        <v>30</v>
      </c>
      <c r="E705" s="81" t="s">
        <v>2828</v>
      </c>
      <c r="F705" s="81" t="s">
        <v>30</v>
      </c>
      <c r="G705" s="81" t="s">
        <v>2829</v>
      </c>
      <c r="H705" s="81"/>
      <c r="I705" s="81"/>
      <c r="J705" s="81"/>
      <c r="K705" s="81"/>
      <c r="L705" s="81"/>
      <c r="M705" s="82" t="s">
        <v>52</v>
      </c>
      <c r="N705" s="82"/>
      <c r="O705" s="82"/>
      <c r="P705" s="82"/>
      <c r="Q705" s="82"/>
      <c r="R705" s="111"/>
      <c r="S705" s="82"/>
      <c r="T705" s="81" t="s">
        <v>144</v>
      </c>
      <c r="U705" s="81" t="s">
        <v>144</v>
      </c>
    </row>
    <row r="706" spans="1:21" ht="30" x14ac:dyDescent="0.25">
      <c r="A706" s="81"/>
      <c r="B706" s="81" t="s">
        <v>8</v>
      </c>
      <c r="C706" s="81" t="s">
        <v>144</v>
      </c>
      <c r="D706" s="81" t="s">
        <v>30</v>
      </c>
      <c r="E706" s="81" t="s">
        <v>2830</v>
      </c>
      <c r="F706" s="81" t="s">
        <v>30</v>
      </c>
      <c r="G706" s="81" t="s">
        <v>2831</v>
      </c>
      <c r="H706" s="81"/>
      <c r="I706" s="81"/>
      <c r="J706" s="81"/>
      <c r="K706" s="81"/>
      <c r="L706" s="81"/>
      <c r="M706" s="82" t="s">
        <v>52</v>
      </c>
      <c r="N706" s="82"/>
      <c r="O706" s="82"/>
      <c r="P706" s="82"/>
      <c r="Q706" s="82"/>
      <c r="R706" s="111"/>
      <c r="S706" s="82"/>
      <c r="T706" s="81" t="s">
        <v>144</v>
      </c>
      <c r="U706" s="81" t="s">
        <v>144</v>
      </c>
    </row>
    <row r="707" spans="1:21" ht="30" x14ac:dyDescent="0.25">
      <c r="A707" s="81"/>
      <c r="B707" s="81" t="s">
        <v>8</v>
      </c>
      <c r="C707" s="81" t="s">
        <v>144</v>
      </c>
      <c r="D707" s="81" t="s">
        <v>30</v>
      </c>
      <c r="E707" s="81" t="s">
        <v>2832</v>
      </c>
      <c r="F707" s="81" t="s">
        <v>30</v>
      </c>
      <c r="G707" s="81" t="s">
        <v>2833</v>
      </c>
      <c r="H707" s="81"/>
      <c r="I707" s="81"/>
      <c r="J707" s="81"/>
      <c r="K707" s="81"/>
      <c r="L707" s="81"/>
      <c r="M707" s="82" t="s">
        <v>52</v>
      </c>
      <c r="N707" s="82"/>
      <c r="O707" s="82"/>
      <c r="P707" s="82"/>
      <c r="Q707" s="82"/>
      <c r="R707" s="111"/>
      <c r="S707" s="82"/>
      <c r="T707" s="81" t="s">
        <v>144</v>
      </c>
      <c r="U707" s="81" t="s">
        <v>144</v>
      </c>
    </row>
    <row r="708" spans="1:21" ht="30" x14ac:dyDescent="0.25">
      <c r="A708" s="81"/>
      <c r="B708" s="81" t="s">
        <v>8</v>
      </c>
      <c r="C708" s="81" t="s">
        <v>144</v>
      </c>
      <c r="D708" s="81" t="s">
        <v>30</v>
      </c>
      <c r="E708" s="81" t="s">
        <v>2834</v>
      </c>
      <c r="F708" s="81" t="s">
        <v>30</v>
      </c>
      <c r="G708" s="81" t="s">
        <v>2835</v>
      </c>
      <c r="H708" s="81"/>
      <c r="I708" s="81"/>
      <c r="J708" s="81"/>
      <c r="K708" s="81"/>
      <c r="L708" s="81"/>
      <c r="M708" s="82" t="s">
        <v>52</v>
      </c>
      <c r="N708" s="82"/>
      <c r="O708" s="82"/>
      <c r="P708" s="82"/>
      <c r="Q708" s="82"/>
      <c r="R708" s="111"/>
      <c r="S708" s="82"/>
      <c r="T708" s="81" t="s">
        <v>144</v>
      </c>
      <c r="U708" s="81" t="s">
        <v>144</v>
      </c>
    </row>
    <row r="709" spans="1:21" ht="30" x14ac:dyDescent="0.25">
      <c r="A709" s="81"/>
      <c r="B709" s="81" t="s">
        <v>8</v>
      </c>
      <c r="C709" s="81" t="s">
        <v>144</v>
      </c>
      <c r="D709" s="81" t="s">
        <v>30</v>
      </c>
      <c r="E709" s="81" t="s">
        <v>2836</v>
      </c>
      <c r="F709" s="81" t="s">
        <v>30</v>
      </c>
      <c r="G709" s="81" t="s">
        <v>2837</v>
      </c>
      <c r="H709" s="81"/>
      <c r="I709" s="81"/>
      <c r="J709" s="81"/>
      <c r="K709" s="81"/>
      <c r="L709" s="81"/>
      <c r="M709" s="82" t="s">
        <v>52</v>
      </c>
      <c r="N709" s="82"/>
      <c r="O709" s="82"/>
      <c r="P709" s="82"/>
      <c r="Q709" s="82"/>
      <c r="R709" s="111"/>
      <c r="S709" s="82"/>
      <c r="T709" s="81" t="s">
        <v>144</v>
      </c>
      <c r="U709" s="81" t="s">
        <v>144</v>
      </c>
    </row>
    <row r="710" spans="1:21" ht="30" x14ac:dyDescent="0.25">
      <c r="A710" s="81"/>
      <c r="B710" s="81" t="s">
        <v>8</v>
      </c>
      <c r="C710" s="81" t="s">
        <v>144</v>
      </c>
      <c r="D710" s="81" t="s">
        <v>30</v>
      </c>
      <c r="E710" s="81" t="s">
        <v>2838</v>
      </c>
      <c r="F710" s="81" t="s">
        <v>30</v>
      </c>
      <c r="G710" s="81" t="s">
        <v>2839</v>
      </c>
      <c r="H710" s="81"/>
      <c r="I710" s="81"/>
      <c r="J710" s="81"/>
      <c r="K710" s="81"/>
      <c r="L710" s="81"/>
      <c r="M710" s="82" t="s">
        <v>52</v>
      </c>
      <c r="N710" s="82"/>
      <c r="O710" s="82"/>
      <c r="P710" s="82"/>
      <c r="Q710" s="82"/>
      <c r="R710" s="111"/>
      <c r="S710" s="82"/>
      <c r="T710" s="81" t="s">
        <v>144</v>
      </c>
      <c r="U710" s="81" t="s">
        <v>144</v>
      </c>
    </row>
    <row r="711" spans="1:21" ht="30" x14ac:dyDescent="0.25">
      <c r="A711" s="81"/>
      <c r="B711" s="81" t="s">
        <v>8</v>
      </c>
      <c r="C711" s="81" t="s">
        <v>144</v>
      </c>
      <c r="D711" s="81" t="s">
        <v>30</v>
      </c>
      <c r="E711" s="81" t="s">
        <v>2840</v>
      </c>
      <c r="F711" s="81" t="s">
        <v>30</v>
      </c>
      <c r="G711" s="81" t="s">
        <v>2841</v>
      </c>
      <c r="H711" s="81"/>
      <c r="I711" s="81"/>
      <c r="J711" s="81"/>
      <c r="K711" s="81"/>
      <c r="L711" s="81"/>
      <c r="M711" s="82" t="s">
        <v>52</v>
      </c>
      <c r="N711" s="82"/>
      <c r="O711" s="82"/>
      <c r="P711" s="82"/>
      <c r="Q711" s="82"/>
      <c r="R711" s="111"/>
      <c r="S711" s="82" t="s">
        <v>254</v>
      </c>
      <c r="T711" s="81" t="s">
        <v>144</v>
      </c>
      <c r="U711" s="81" t="s">
        <v>144</v>
      </c>
    </row>
    <row r="712" spans="1:21" ht="30" x14ac:dyDescent="0.25">
      <c r="A712" s="81"/>
      <c r="B712" s="81" t="s">
        <v>8</v>
      </c>
      <c r="C712" s="81" t="s">
        <v>144</v>
      </c>
      <c r="D712" s="81" t="s">
        <v>30</v>
      </c>
      <c r="E712" s="81" t="s">
        <v>2842</v>
      </c>
      <c r="F712" s="81" t="s">
        <v>2824</v>
      </c>
      <c r="G712" s="81" t="s">
        <v>2843</v>
      </c>
      <c r="H712" s="81"/>
      <c r="I712" s="81"/>
      <c r="J712" s="81"/>
      <c r="K712" s="81"/>
      <c r="L712" s="81"/>
      <c r="M712" s="82" t="s">
        <v>52</v>
      </c>
      <c r="N712" s="82"/>
      <c r="O712" s="82"/>
      <c r="P712" s="82"/>
      <c r="Q712" s="82"/>
      <c r="R712" s="111"/>
      <c r="S712" s="82"/>
      <c r="T712" s="81" t="s">
        <v>144</v>
      </c>
      <c r="U712" s="81" t="s">
        <v>144</v>
      </c>
    </row>
    <row r="713" spans="1:21" ht="30" x14ac:dyDescent="0.25">
      <c r="A713" s="81"/>
      <c r="B713" s="81" t="s">
        <v>8</v>
      </c>
      <c r="C713" s="81" t="s">
        <v>144</v>
      </c>
      <c r="D713" s="81" t="s">
        <v>30</v>
      </c>
      <c r="E713" s="81" t="s">
        <v>2844</v>
      </c>
      <c r="F713" s="81" t="s">
        <v>30</v>
      </c>
      <c r="G713" s="81" t="s">
        <v>2845</v>
      </c>
      <c r="H713" s="81"/>
      <c r="I713" s="81"/>
      <c r="J713" s="81"/>
      <c r="K713" s="81"/>
      <c r="L713" s="81"/>
      <c r="M713" s="82" t="s">
        <v>52</v>
      </c>
      <c r="N713" s="82"/>
      <c r="O713" s="82"/>
      <c r="P713" s="82"/>
      <c r="Q713" s="82"/>
      <c r="R713" s="111"/>
      <c r="S713" s="82"/>
      <c r="T713" s="81" t="s">
        <v>144</v>
      </c>
      <c r="U713" s="81" t="s">
        <v>144</v>
      </c>
    </row>
    <row r="714" spans="1:21" x14ac:dyDescent="0.25">
      <c r="A714" s="81"/>
      <c r="B714" s="81" t="s">
        <v>8</v>
      </c>
      <c r="C714" s="81" t="s">
        <v>144</v>
      </c>
      <c r="D714" s="81" t="s">
        <v>30</v>
      </c>
      <c r="E714" s="81" t="s">
        <v>2846</v>
      </c>
      <c r="F714" s="81" t="s">
        <v>2815</v>
      </c>
      <c r="G714" s="81" t="s">
        <v>2847</v>
      </c>
      <c r="H714" s="81"/>
      <c r="I714" s="81"/>
      <c r="J714" s="81"/>
      <c r="K714" s="81"/>
      <c r="L714" s="81"/>
      <c r="M714" s="82" t="s">
        <v>52</v>
      </c>
      <c r="N714" s="82"/>
      <c r="O714" s="82"/>
      <c r="P714" s="82"/>
      <c r="Q714" s="82"/>
      <c r="R714" s="111"/>
      <c r="S714" s="82"/>
      <c r="T714" s="81" t="s">
        <v>144</v>
      </c>
      <c r="U714" s="81" t="s">
        <v>144</v>
      </c>
    </row>
    <row r="715" spans="1:21" ht="30" x14ac:dyDescent="0.25">
      <c r="A715" s="81"/>
      <c r="B715" s="81" t="s">
        <v>8</v>
      </c>
      <c r="C715" s="81" t="s">
        <v>144</v>
      </c>
      <c r="D715" s="81" t="s">
        <v>30</v>
      </c>
      <c r="E715" s="81" t="s">
        <v>2848</v>
      </c>
      <c r="F715" s="81" t="s">
        <v>30</v>
      </c>
      <c r="G715" s="81" t="s">
        <v>2849</v>
      </c>
      <c r="H715" s="81"/>
      <c r="I715" s="81"/>
      <c r="J715" s="81"/>
      <c r="K715" s="81"/>
      <c r="L715" s="81"/>
      <c r="M715" s="82" t="s">
        <v>52</v>
      </c>
      <c r="N715" s="82"/>
      <c r="O715" s="82"/>
      <c r="P715" s="82"/>
      <c r="Q715" s="82"/>
      <c r="R715" s="111"/>
      <c r="S715" s="82"/>
      <c r="T715" s="81" t="s">
        <v>144</v>
      </c>
      <c r="U715" s="81" t="s">
        <v>144</v>
      </c>
    </row>
    <row r="716" spans="1:21" ht="30" x14ac:dyDescent="0.25">
      <c r="A716" s="81"/>
      <c r="B716" s="81" t="s">
        <v>8</v>
      </c>
      <c r="C716" s="81" t="s">
        <v>144</v>
      </c>
      <c r="D716" s="81" t="s">
        <v>30</v>
      </c>
      <c r="E716" s="81" t="s">
        <v>2850</v>
      </c>
      <c r="F716" s="81" t="s">
        <v>30</v>
      </c>
      <c r="G716" s="81" t="s">
        <v>2851</v>
      </c>
      <c r="H716" s="81"/>
      <c r="I716" s="81"/>
      <c r="J716" s="81"/>
      <c r="K716" s="81"/>
      <c r="L716" s="81"/>
      <c r="M716" s="82" t="s">
        <v>52</v>
      </c>
      <c r="N716" s="82"/>
      <c r="O716" s="82"/>
      <c r="P716" s="82"/>
      <c r="Q716" s="82"/>
      <c r="R716" s="111"/>
      <c r="S716" s="82" t="s">
        <v>38</v>
      </c>
      <c r="T716" s="81" t="s">
        <v>144</v>
      </c>
      <c r="U716" s="81" t="s">
        <v>144</v>
      </c>
    </row>
    <row r="717" spans="1:21" ht="45" x14ac:dyDescent="0.25">
      <c r="A717" s="81"/>
      <c r="B717" s="81" t="s">
        <v>8</v>
      </c>
      <c r="C717" s="81" t="s">
        <v>144</v>
      </c>
      <c r="D717" s="81" t="s">
        <v>30</v>
      </c>
      <c r="E717" s="81" t="s">
        <v>2852</v>
      </c>
      <c r="F717" s="81" t="s">
        <v>30</v>
      </c>
      <c r="G717" s="81" t="s">
        <v>2853</v>
      </c>
      <c r="H717" s="81"/>
      <c r="I717" s="81"/>
      <c r="J717" s="81"/>
      <c r="K717" s="81"/>
      <c r="L717" s="81"/>
      <c r="M717" s="82" t="s">
        <v>52</v>
      </c>
      <c r="N717" s="82"/>
      <c r="O717" s="82"/>
      <c r="P717" s="82"/>
      <c r="Q717" s="82" t="s">
        <v>2854</v>
      </c>
      <c r="R717" s="111">
        <v>45720</v>
      </c>
      <c r="S717" s="82" t="s">
        <v>254</v>
      </c>
      <c r="T717" s="81" t="s">
        <v>144</v>
      </c>
      <c r="U717" s="81" t="s">
        <v>144</v>
      </c>
    </row>
    <row r="718" spans="1:21" ht="30" x14ac:dyDescent="0.25">
      <c r="A718" s="81"/>
      <c r="B718" s="81" t="s">
        <v>8</v>
      </c>
      <c r="C718" s="81" t="s">
        <v>144</v>
      </c>
      <c r="D718" s="81" t="s">
        <v>30</v>
      </c>
      <c r="E718" s="81" t="s">
        <v>2855</v>
      </c>
      <c r="F718" s="81" t="s">
        <v>30</v>
      </c>
      <c r="G718" s="81" t="s">
        <v>2856</v>
      </c>
      <c r="H718" s="81"/>
      <c r="I718" s="81"/>
      <c r="J718" s="81"/>
      <c r="K718" s="81"/>
      <c r="L718" s="81"/>
      <c r="M718" s="82" t="s">
        <v>52</v>
      </c>
      <c r="N718" s="82"/>
      <c r="O718" s="82"/>
      <c r="P718" s="82"/>
      <c r="Q718" s="82" t="s">
        <v>2857</v>
      </c>
      <c r="R718" s="111">
        <v>45715</v>
      </c>
      <c r="S718" s="82" t="s">
        <v>9</v>
      </c>
      <c r="T718" s="81" t="s">
        <v>144</v>
      </c>
      <c r="U718" s="81" t="s">
        <v>144</v>
      </c>
    </row>
    <row r="719" spans="1:21" ht="30" x14ac:dyDescent="0.25">
      <c r="A719" s="81"/>
      <c r="B719" s="81" t="s">
        <v>8</v>
      </c>
      <c r="C719" s="81" t="s">
        <v>144</v>
      </c>
      <c r="D719" s="81" t="s">
        <v>30</v>
      </c>
      <c r="E719" s="81" t="s">
        <v>2858</v>
      </c>
      <c r="F719" s="81" t="s">
        <v>30</v>
      </c>
      <c r="G719" s="81" t="s">
        <v>2859</v>
      </c>
      <c r="H719" s="81"/>
      <c r="I719" s="81"/>
      <c r="J719" s="81"/>
      <c r="K719" s="81"/>
      <c r="L719" s="81"/>
      <c r="M719" s="82" t="s">
        <v>52</v>
      </c>
      <c r="N719" s="82"/>
      <c r="O719" s="82"/>
      <c r="P719" s="82"/>
      <c r="Q719" s="82" t="s">
        <v>2008</v>
      </c>
      <c r="R719" s="111">
        <v>45706</v>
      </c>
      <c r="S719" s="82" t="s">
        <v>254</v>
      </c>
      <c r="T719" s="81" t="s">
        <v>144</v>
      </c>
      <c r="U719" s="81" t="s">
        <v>144</v>
      </c>
    </row>
    <row r="720" spans="1:21" ht="30" x14ac:dyDescent="0.25">
      <c r="A720" s="81"/>
      <c r="B720" s="81" t="s">
        <v>8</v>
      </c>
      <c r="C720" s="81" t="s">
        <v>144</v>
      </c>
      <c r="D720" s="81" t="s">
        <v>30</v>
      </c>
      <c r="E720" s="81" t="s">
        <v>2860</v>
      </c>
      <c r="F720" s="81" t="s">
        <v>30</v>
      </c>
      <c r="G720" s="81" t="s">
        <v>2861</v>
      </c>
      <c r="H720" s="81"/>
      <c r="I720" s="81"/>
      <c r="J720" s="81"/>
      <c r="K720" s="81"/>
      <c r="L720" s="81"/>
      <c r="M720" s="82" t="s">
        <v>52</v>
      </c>
      <c r="N720" s="82"/>
      <c r="O720" s="82"/>
      <c r="P720" s="82"/>
      <c r="Q720" s="82" t="s">
        <v>2008</v>
      </c>
      <c r="R720" s="111">
        <v>45701</v>
      </c>
      <c r="S720" s="82" t="s">
        <v>254</v>
      </c>
      <c r="T720" s="81" t="s">
        <v>144</v>
      </c>
      <c r="U720" s="81" t="s">
        <v>144</v>
      </c>
    </row>
    <row r="721" spans="1:21" x14ac:dyDescent="0.25">
      <c r="A721" s="81"/>
      <c r="B721" s="81" t="s">
        <v>8</v>
      </c>
      <c r="C721" s="81" t="s">
        <v>144</v>
      </c>
      <c r="D721" s="81" t="s">
        <v>30</v>
      </c>
      <c r="E721" s="81" t="s">
        <v>2862</v>
      </c>
      <c r="F721" s="81" t="s">
        <v>3273</v>
      </c>
      <c r="G721" s="81" t="s">
        <v>2863</v>
      </c>
      <c r="H721" s="81"/>
      <c r="I721" s="81"/>
      <c r="J721" s="81"/>
      <c r="K721" s="81"/>
      <c r="L721" s="81"/>
      <c r="M721" s="82" t="s">
        <v>52</v>
      </c>
      <c r="N721" s="82"/>
      <c r="O721" s="82"/>
      <c r="P721" s="82"/>
      <c r="Q721" s="82"/>
      <c r="R721" s="111"/>
      <c r="S721" s="82" t="s">
        <v>254</v>
      </c>
      <c r="T721" s="81" t="s">
        <v>144</v>
      </c>
      <c r="U721" s="81" t="s">
        <v>144</v>
      </c>
    </row>
    <row r="722" spans="1:21" x14ac:dyDescent="0.25">
      <c r="A722" s="81"/>
      <c r="B722" s="81" t="s">
        <v>8</v>
      </c>
      <c r="C722" s="81" t="s">
        <v>144</v>
      </c>
      <c r="D722" s="81" t="s">
        <v>30</v>
      </c>
      <c r="E722" s="81" t="s">
        <v>2864</v>
      </c>
      <c r="F722" s="81" t="s">
        <v>3273</v>
      </c>
      <c r="G722" s="81" t="s">
        <v>2865</v>
      </c>
      <c r="H722" s="81"/>
      <c r="I722" s="81"/>
      <c r="J722" s="81"/>
      <c r="K722" s="81"/>
      <c r="L722" s="81"/>
      <c r="M722" s="82" t="s">
        <v>52</v>
      </c>
      <c r="N722" s="82"/>
      <c r="O722" s="82"/>
      <c r="P722" s="82"/>
      <c r="Q722" s="82"/>
      <c r="R722" s="111"/>
      <c r="S722" s="82" t="s">
        <v>254</v>
      </c>
      <c r="T722" s="81" t="s">
        <v>144</v>
      </c>
      <c r="U722" s="81" t="s">
        <v>144</v>
      </c>
    </row>
    <row r="723" spans="1:21" ht="30" x14ac:dyDescent="0.25">
      <c r="A723" s="81"/>
      <c r="B723" s="81" t="s">
        <v>8</v>
      </c>
      <c r="C723" s="81" t="s">
        <v>144</v>
      </c>
      <c r="D723" s="81" t="s">
        <v>30</v>
      </c>
      <c r="E723" s="81" t="s">
        <v>2866</v>
      </c>
      <c r="F723" s="81" t="s">
        <v>30</v>
      </c>
      <c r="G723" s="81" t="s">
        <v>2867</v>
      </c>
      <c r="H723" s="81"/>
      <c r="I723" s="81"/>
      <c r="J723" s="81"/>
      <c r="K723" s="81"/>
      <c r="L723" s="81"/>
      <c r="M723" s="82" t="s">
        <v>52</v>
      </c>
      <c r="N723" s="82"/>
      <c r="O723" s="82"/>
      <c r="P723" s="82"/>
      <c r="Q723" s="82"/>
      <c r="R723" s="111">
        <v>45700</v>
      </c>
      <c r="S723" s="82" t="s">
        <v>254</v>
      </c>
      <c r="T723" s="81" t="s">
        <v>144</v>
      </c>
      <c r="U723" s="81" t="s">
        <v>144</v>
      </c>
    </row>
    <row r="724" spans="1:21" ht="30" x14ac:dyDescent="0.25">
      <c r="A724" s="81"/>
      <c r="B724" s="81" t="s">
        <v>8</v>
      </c>
      <c r="C724" s="81" t="s">
        <v>144</v>
      </c>
      <c r="D724" s="81" t="s">
        <v>30</v>
      </c>
      <c r="E724" s="81" t="s">
        <v>2868</v>
      </c>
      <c r="F724" s="81" t="s">
        <v>30</v>
      </c>
      <c r="G724" s="81" t="s">
        <v>2869</v>
      </c>
      <c r="H724" s="81"/>
      <c r="I724" s="81"/>
      <c r="J724" s="81"/>
      <c r="K724" s="81"/>
      <c r="L724" s="81"/>
      <c r="M724" s="82" t="s">
        <v>52</v>
      </c>
      <c r="N724" s="82"/>
      <c r="O724" s="82"/>
      <c r="P724" s="82"/>
      <c r="Q724" s="82"/>
      <c r="R724" s="111"/>
      <c r="S724" s="82" t="s">
        <v>254</v>
      </c>
      <c r="T724" s="81" t="s">
        <v>144</v>
      </c>
      <c r="U724" s="81" t="s">
        <v>144</v>
      </c>
    </row>
    <row r="725" spans="1:21" ht="30" x14ac:dyDescent="0.25">
      <c r="A725" s="81"/>
      <c r="B725" s="81" t="s">
        <v>8</v>
      </c>
      <c r="C725" s="81" t="s">
        <v>144</v>
      </c>
      <c r="D725" s="81" t="s">
        <v>30</v>
      </c>
      <c r="E725" s="81" t="s">
        <v>2870</v>
      </c>
      <c r="F725" s="81" t="s">
        <v>30</v>
      </c>
      <c r="G725" s="81" t="s">
        <v>2871</v>
      </c>
      <c r="H725" s="81"/>
      <c r="I725" s="81"/>
      <c r="J725" s="81"/>
      <c r="K725" s="81"/>
      <c r="L725" s="81"/>
      <c r="M725" s="82" t="s">
        <v>52</v>
      </c>
      <c r="N725" s="82"/>
      <c r="O725" s="82"/>
      <c r="P725" s="82"/>
      <c r="Q725" s="82"/>
      <c r="R725" s="111"/>
      <c r="S725" s="82" t="s">
        <v>254</v>
      </c>
      <c r="T725" s="81" t="s">
        <v>144</v>
      </c>
      <c r="U725" s="81" t="s">
        <v>144</v>
      </c>
    </row>
    <row r="726" spans="1:21" ht="30" x14ac:dyDescent="0.25">
      <c r="A726" s="81"/>
      <c r="B726" s="81" t="s">
        <v>8</v>
      </c>
      <c r="C726" s="81" t="s">
        <v>144</v>
      </c>
      <c r="D726" s="81" t="s">
        <v>30</v>
      </c>
      <c r="E726" s="81" t="s">
        <v>2872</v>
      </c>
      <c r="F726" s="81" t="s">
        <v>30</v>
      </c>
      <c r="G726" s="81" t="s">
        <v>2873</v>
      </c>
      <c r="H726" s="81"/>
      <c r="I726" s="81"/>
      <c r="J726" s="81"/>
      <c r="K726" s="81"/>
      <c r="L726" s="81"/>
      <c r="M726" s="82" t="s">
        <v>52</v>
      </c>
      <c r="N726" s="82"/>
      <c r="O726" s="82"/>
      <c r="P726" s="82"/>
      <c r="Q726" s="82"/>
      <c r="R726" s="111"/>
      <c r="S726" s="82" t="s">
        <v>254</v>
      </c>
      <c r="T726" s="81" t="s">
        <v>144</v>
      </c>
      <c r="U726" s="81" t="s">
        <v>144</v>
      </c>
    </row>
    <row r="727" spans="1:21" ht="30" x14ac:dyDescent="0.25">
      <c r="A727" s="81"/>
      <c r="B727" s="81" t="s">
        <v>8</v>
      </c>
      <c r="C727" s="81" t="s">
        <v>144</v>
      </c>
      <c r="D727" s="81" t="s">
        <v>30</v>
      </c>
      <c r="E727" s="81" t="s">
        <v>2874</v>
      </c>
      <c r="F727" s="81" t="s">
        <v>30</v>
      </c>
      <c r="G727" s="81" t="s">
        <v>2875</v>
      </c>
      <c r="H727" s="81"/>
      <c r="I727" s="81"/>
      <c r="J727" s="81"/>
      <c r="K727" s="81"/>
      <c r="L727" s="81"/>
      <c r="M727" s="82" t="s">
        <v>52</v>
      </c>
      <c r="N727" s="82"/>
      <c r="O727" s="82"/>
      <c r="P727" s="82"/>
      <c r="Q727" s="82"/>
      <c r="R727" s="111"/>
      <c r="S727" s="82" t="s">
        <v>254</v>
      </c>
      <c r="T727" s="81" t="s">
        <v>144</v>
      </c>
      <c r="U727" s="81" t="s">
        <v>144</v>
      </c>
    </row>
    <row r="728" spans="1:21" x14ac:dyDescent="0.25">
      <c r="A728" s="81"/>
      <c r="B728" s="81" t="s">
        <v>8</v>
      </c>
      <c r="C728" s="81" t="s">
        <v>144</v>
      </c>
      <c r="D728" s="81" t="s">
        <v>30</v>
      </c>
      <c r="E728" s="81" t="s">
        <v>2876</v>
      </c>
      <c r="F728" s="81" t="s">
        <v>2824</v>
      </c>
      <c r="G728" s="81" t="s">
        <v>2877</v>
      </c>
      <c r="H728" s="81"/>
      <c r="I728" s="81"/>
      <c r="J728" s="81"/>
      <c r="K728" s="81"/>
      <c r="L728" s="81"/>
      <c r="M728" s="82" t="s">
        <v>52</v>
      </c>
      <c r="N728" s="82"/>
      <c r="O728" s="82"/>
      <c r="P728" s="82"/>
      <c r="Q728" s="82"/>
      <c r="R728" s="111"/>
      <c r="S728" s="82"/>
      <c r="T728" s="81" t="s">
        <v>144</v>
      </c>
      <c r="U728" s="81" t="s">
        <v>144</v>
      </c>
    </row>
    <row r="729" spans="1:21" ht="30" x14ac:dyDescent="0.25">
      <c r="A729" s="81"/>
      <c r="B729" s="81" t="s">
        <v>8</v>
      </c>
      <c r="C729" s="81" t="s">
        <v>144</v>
      </c>
      <c r="D729" s="81" t="s">
        <v>30</v>
      </c>
      <c r="E729" s="81" t="s">
        <v>2878</v>
      </c>
      <c r="F729" s="81" t="s">
        <v>3273</v>
      </c>
      <c r="G729" s="81" t="s">
        <v>2879</v>
      </c>
      <c r="H729" s="81"/>
      <c r="I729" s="81"/>
      <c r="J729" s="81"/>
      <c r="K729" s="81"/>
      <c r="L729" s="81"/>
      <c r="M729" s="82" t="s">
        <v>52</v>
      </c>
      <c r="N729" s="82"/>
      <c r="O729" s="82"/>
      <c r="P729" s="82"/>
      <c r="Q729" s="82"/>
      <c r="R729" s="111"/>
      <c r="S729" s="82"/>
      <c r="T729" s="81" t="s">
        <v>144</v>
      </c>
      <c r="U729" s="81" t="s">
        <v>144</v>
      </c>
    </row>
    <row r="730" spans="1:21" x14ac:dyDescent="0.25">
      <c r="A730" s="81"/>
      <c r="B730" s="81" t="s">
        <v>8</v>
      </c>
      <c r="C730" s="81" t="s">
        <v>144</v>
      </c>
      <c r="D730" s="81" t="s">
        <v>30</v>
      </c>
      <c r="E730" s="81" t="s">
        <v>2880</v>
      </c>
      <c r="F730" s="81" t="s">
        <v>2824</v>
      </c>
      <c r="G730" s="81" t="s">
        <v>2881</v>
      </c>
      <c r="H730" s="81"/>
      <c r="I730" s="81"/>
      <c r="J730" s="81"/>
      <c r="K730" s="81"/>
      <c r="L730" s="81"/>
      <c r="M730" s="82" t="s">
        <v>52</v>
      </c>
      <c r="N730" s="82"/>
      <c r="O730" s="82"/>
      <c r="P730" s="82"/>
      <c r="Q730" s="82"/>
      <c r="R730" s="111"/>
      <c r="S730" s="82"/>
      <c r="T730" s="81" t="s">
        <v>144</v>
      </c>
      <c r="U730" s="81" t="s">
        <v>144</v>
      </c>
    </row>
    <row r="731" spans="1:21" x14ac:dyDescent="0.25">
      <c r="A731" s="81"/>
      <c r="B731" s="81" t="s">
        <v>8</v>
      </c>
      <c r="C731" s="81" t="s">
        <v>144</v>
      </c>
      <c r="D731" s="81" t="s">
        <v>30</v>
      </c>
      <c r="E731" s="81" t="s">
        <v>2882</v>
      </c>
      <c r="F731" s="81" t="s">
        <v>2824</v>
      </c>
      <c r="G731" s="81" t="s">
        <v>2883</v>
      </c>
      <c r="H731" s="81"/>
      <c r="I731" s="81"/>
      <c r="J731" s="81"/>
      <c r="K731" s="81"/>
      <c r="L731" s="81"/>
      <c r="M731" s="82" t="s">
        <v>52</v>
      </c>
      <c r="N731" s="82"/>
      <c r="O731" s="82"/>
      <c r="P731" s="82"/>
      <c r="Q731" s="82"/>
      <c r="R731" s="111"/>
      <c r="S731" s="82"/>
      <c r="T731" s="81" t="s">
        <v>144</v>
      </c>
      <c r="U731" s="81" t="s">
        <v>144</v>
      </c>
    </row>
    <row r="732" spans="1:21" ht="30" x14ac:dyDescent="0.25">
      <c r="A732" s="81"/>
      <c r="B732" s="81" t="s">
        <v>8</v>
      </c>
      <c r="C732" s="81" t="s">
        <v>144</v>
      </c>
      <c r="D732" s="81" t="s">
        <v>30</v>
      </c>
      <c r="E732" s="81" t="s">
        <v>2884</v>
      </c>
      <c r="F732" s="81" t="s">
        <v>30</v>
      </c>
      <c r="G732" s="81" t="s">
        <v>2885</v>
      </c>
      <c r="H732" s="81"/>
      <c r="I732" s="81"/>
      <c r="J732" s="81"/>
      <c r="K732" s="81"/>
      <c r="L732" s="81"/>
      <c r="M732" s="82" t="s">
        <v>52</v>
      </c>
      <c r="N732" s="82"/>
      <c r="O732" s="82"/>
      <c r="P732" s="82"/>
      <c r="Q732" s="82"/>
      <c r="R732" s="111"/>
      <c r="S732" s="82"/>
      <c r="T732" s="81" t="s">
        <v>144</v>
      </c>
      <c r="U732" s="81" t="s">
        <v>144</v>
      </c>
    </row>
    <row r="733" spans="1:21" ht="30" x14ac:dyDescent="0.25">
      <c r="A733" s="81"/>
      <c r="B733" s="81" t="s">
        <v>8</v>
      </c>
      <c r="C733" s="81" t="s">
        <v>144</v>
      </c>
      <c r="D733" s="81" t="s">
        <v>30</v>
      </c>
      <c r="E733" s="81" t="s">
        <v>2886</v>
      </c>
      <c r="F733" s="81" t="s">
        <v>30</v>
      </c>
      <c r="G733" s="81" t="s">
        <v>2887</v>
      </c>
      <c r="H733" s="81"/>
      <c r="I733" s="81"/>
      <c r="J733" s="81"/>
      <c r="K733" s="81"/>
      <c r="L733" s="81"/>
      <c r="M733" s="82" t="s">
        <v>52</v>
      </c>
      <c r="N733" s="82"/>
      <c r="O733" s="82"/>
      <c r="P733" s="82"/>
      <c r="Q733" s="82"/>
      <c r="R733" s="111"/>
      <c r="S733" s="82"/>
      <c r="T733" s="81" t="s">
        <v>144</v>
      </c>
      <c r="U733" s="81" t="s">
        <v>144</v>
      </c>
    </row>
    <row r="734" spans="1:21" ht="30" x14ac:dyDescent="0.25">
      <c r="A734" s="81"/>
      <c r="B734" s="81" t="s">
        <v>8</v>
      </c>
      <c r="C734" s="81" t="s">
        <v>144</v>
      </c>
      <c r="D734" s="81" t="s">
        <v>30</v>
      </c>
      <c r="E734" s="81" t="s">
        <v>2888</v>
      </c>
      <c r="F734" s="81" t="s">
        <v>2889</v>
      </c>
      <c r="G734" s="81" t="s">
        <v>2805</v>
      </c>
      <c r="H734" s="81"/>
      <c r="I734" s="81"/>
      <c r="J734" s="81"/>
      <c r="K734" s="81"/>
      <c r="L734" s="81"/>
      <c r="M734" s="82" t="s">
        <v>52</v>
      </c>
      <c r="N734" s="82"/>
      <c r="O734" s="82"/>
      <c r="P734" s="82"/>
      <c r="Q734" s="82"/>
      <c r="R734" s="111"/>
      <c r="S734" s="82"/>
      <c r="T734" s="81" t="s">
        <v>144</v>
      </c>
      <c r="U734" s="81" t="s">
        <v>144</v>
      </c>
    </row>
    <row r="735" spans="1:21" x14ac:dyDescent="0.25">
      <c r="A735" s="81"/>
      <c r="B735" s="81" t="s">
        <v>8</v>
      </c>
      <c r="C735" s="81" t="s">
        <v>144</v>
      </c>
      <c r="D735" s="81" t="s">
        <v>30</v>
      </c>
      <c r="E735" s="81" t="s">
        <v>2890</v>
      </c>
      <c r="F735" s="81" t="s">
        <v>2824</v>
      </c>
      <c r="G735" s="81" t="s">
        <v>2891</v>
      </c>
      <c r="H735" s="81"/>
      <c r="I735" s="81"/>
      <c r="J735" s="81"/>
      <c r="K735" s="81"/>
      <c r="L735" s="81"/>
      <c r="M735" s="82" t="s">
        <v>52</v>
      </c>
      <c r="N735" s="82"/>
      <c r="O735" s="82"/>
      <c r="P735" s="82"/>
      <c r="Q735" s="82"/>
      <c r="R735" s="111"/>
      <c r="S735" s="82"/>
      <c r="T735" s="81" t="s">
        <v>144</v>
      </c>
      <c r="U735" s="81" t="s">
        <v>144</v>
      </c>
    </row>
    <row r="736" spans="1:21" x14ac:dyDescent="0.25">
      <c r="A736" s="81"/>
      <c r="B736" s="81" t="s">
        <v>8</v>
      </c>
      <c r="C736" s="81" t="s">
        <v>144</v>
      </c>
      <c r="D736" s="81" t="s">
        <v>30</v>
      </c>
      <c r="E736" s="81" t="s">
        <v>2892</v>
      </c>
      <c r="F736" s="81" t="s">
        <v>2824</v>
      </c>
      <c r="G736" s="81" t="s">
        <v>2893</v>
      </c>
      <c r="H736" s="81"/>
      <c r="I736" s="81"/>
      <c r="J736" s="81"/>
      <c r="K736" s="81"/>
      <c r="L736" s="81"/>
      <c r="M736" s="82" t="s">
        <v>52</v>
      </c>
      <c r="N736" s="82"/>
      <c r="O736" s="82"/>
      <c r="P736" s="82"/>
      <c r="Q736" s="82"/>
      <c r="R736" s="111"/>
      <c r="S736" s="82"/>
      <c r="T736" s="81" t="s">
        <v>144</v>
      </c>
      <c r="U736" s="81" t="s">
        <v>144</v>
      </c>
    </row>
    <row r="737" spans="1:21" ht="30" x14ac:dyDescent="0.25">
      <c r="A737" s="81"/>
      <c r="B737" s="81" t="s">
        <v>8</v>
      </c>
      <c r="C737" s="81" t="s">
        <v>144</v>
      </c>
      <c r="D737" s="81" t="s">
        <v>30</v>
      </c>
      <c r="E737" s="81" t="s">
        <v>2894</v>
      </c>
      <c r="F737" s="81" t="s">
        <v>30</v>
      </c>
      <c r="G737" s="81" t="s">
        <v>2895</v>
      </c>
      <c r="H737" s="81"/>
      <c r="I737" s="81"/>
      <c r="J737" s="81"/>
      <c r="K737" s="81"/>
      <c r="L737" s="81"/>
      <c r="M737" s="82" t="s">
        <v>52</v>
      </c>
      <c r="N737" s="82"/>
      <c r="O737" s="82"/>
      <c r="P737" s="82"/>
      <c r="Q737" s="82"/>
      <c r="R737" s="111">
        <v>45681</v>
      </c>
      <c r="S737" s="82" t="s">
        <v>535</v>
      </c>
      <c r="T737" s="81" t="s">
        <v>144</v>
      </c>
      <c r="U737" s="81" t="s">
        <v>144</v>
      </c>
    </row>
    <row r="738" spans="1:21" x14ac:dyDescent="0.25">
      <c r="A738" s="81"/>
      <c r="B738" s="81" t="s">
        <v>8</v>
      </c>
      <c r="C738" s="81" t="s">
        <v>144</v>
      </c>
      <c r="D738" s="81" t="s">
        <v>30</v>
      </c>
      <c r="E738" s="81" t="s">
        <v>2896</v>
      </c>
      <c r="F738" s="81" t="s">
        <v>186</v>
      </c>
      <c r="G738" s="81" t="s">
        <v>2897</v>
      </c>
      <c r="H738" s="81"/>
      <c r="I738" s="81"/>
      <c r="J738" s="81"/>
      <c r="K738" s="81"/>
      <c r="L738" s="81"/>
      <c r="M738" s="82" t="s">
        <v>52</v>
      </c>
      <c r="N738" s="82"/>
      <c r="O738" s="82"/>
      <c r="P738" s="82"/>
      <c r="Q738" s="82"/>
      <c r="R738" s="111">
        <v>45680</v>
      </c>
      <c r="S738" s="82" t="s">
        <v>535</v>
      </c>
      <c r="T738" s="81" t="s">
        <v>144</v>
      </c>
      <c r="U738" s="81" t="s">
        <v>144</v>
      </c>
    </row>
    <row r="739" spans="1:21" x14ac:dyDescent="0.25">
      <c r="A739" s="81"/>
      <c r="B739" s="81" t="s">
        <v>8</v>
      </c>
      <c r="C739" s="81" t="s">
        <v>144</v>
      </c>
      <c r="D739" s="81" t="s">
        <v>30</v>
      </c>
      <c r="E739" s="81" t="s">
        <v>2898</v>
      </c>
      <c r="F739" s="81" t="s">
        <v>186</v>
      </c>
      <c r="G739" s="81" t="s">
        <v>2899</v>
      </c>
      <c r="H739" s="81"/>
      <c r="I739" s="81"/>
      <c r="J739" s="81"/>
      <c r="K739" s="81"/>
      <c r="L739" s="81"/>
      <c r="M739" s="82" t="s">
        <v>52</v>
      </c>
      <c r="N739" s="82"/>
      <c r="O739" s="82"/>
      <c r="P739" s="82"/>
      <c r="Q739" s="82"/>
      <c r="R739" s="111">
        <v>45681</v>
      </c>
      <c r="S739" s="82" t="s">
        <v>535</v>
      </c>
      <c r="T739" s="81" t="s">
        <v>144</v>
      </c>
      <c r="U739" s="81" t="s">
        <v>144</v>
      </c>
    </row>
    <row r="740" spans="1:21" x14ac:dyDescent="0.25">
      <c r="A740" s="81"/>
      <c r="B740" s="81" t="s">
        <v>8</v>
      </c>
      <c r="C740" s="81" t="s">
        <v>144</v>
      </c>
      <c r="D740" s="81" t="s">
        <v>30</v>
      </c>
      <c r="E740" s="81" t="s">
        <v>2900</v>
      </c>
      <c r="F740" s="81" t="s">
        <v>2815</v>
      </c>
      <c r="G740" s="81" t="s">
        <v>2901</v>
      </c>
      <c r="H740" s="81"/>
      <c r="I740" s="81"/>
      <c r="J740" s="81"/>
      <c r="K740" s="81"/>
      <c r="L740" s="81"/>
      <c r="M740" s="82" t="s">
        <v>52</v>
      </c>
      <c r="N740" s="82"/>
      <c r="O740" s="82"/>
      <c r="P740" s="82"/>
      <c r="Q740" s="82" t="s">
        <v>2902</v>
      </c>
      <c r="R740" s="111">
        <v>45679</v>
      </c>
      <c r="S740" s="82" t="s">
        <v>2903</v>
      </c>
      <c r="T740" s="81" t="s">
        <v>144</v>
      </c>
      <c r="U740" s="81" t="s">
        <v>144</v>
      </c>
    </row>
    <row r="741" spans="1:21" ht="30" x14ac:dyDescent="0.25">
      <c r="A741" s="81"/>
      <c r="B741" s="81" t="s">
        <v>8</v>
      </c>
      <c r="C741" s="81" t="s">
        <v>144</v>
      </c>
      <c r="D741" s="81" t="s">
        <v>30</v>
      </c>
      <c r="E741" s="81" t="s">
        <v>2904</v>
      </c>
      <c r="F741" s="81" t="s">
        <v>2889</v>
      </c>
      <c r="G741" s="81" t="s">
        <v>2905</v>
      </c>
      <c r="H741" s="81"/>
      <c r="I741" s="81"/>
      <c r="J741" s="81"/>
      <c r="K741" s="81"/>
      <c r="L741" s="81"/>
      <c r="M741" s="82" t="s">
        <v>52</v>
      </c>
      <c r="N741" s="82"/>
      <c r="O741" s="82"/>
      <c r="P741" s="82"/>
      <c r="Q741" s="82" t="s">
        <v>2902</v>
      </c>
      <c r="R741" s="111">
        <v>45679</v>
      </c>
      <c r="S741" s="82" t="s">
        <v>2903</v>
      </c>
      <c r="T741" s="81" t="s">
        <v>144</v>
      </c>
      <c r="U741" s="81" t="s">
        <v>144</v>
      </c>
    </row>
    <row r="742" spans="1:21" ht="30" x14ac:dyDescent="0.25">
      <c r="A742" s="81"/>
      <c r="B742" s="81" t="s">
        <v>8</v>
      </c>
      <c r="C742" s="81" t="s">
        <v>144</v>
      </c>
      <c r="D742" s="81" t="s">
        <v>30</v>
      </c>
      <c r="E742" s="81" t="s">
        <v>2906</v>
      </c>
      <c r="F742" s="81" t="s">
        <v>30</v>
      </c>
      <c r="G742" s="81" t="s">
        <v>2907</v>
      </c>
      <c r="H742" s="81"/>
      <c r="I742" s="81"/>
      <c r="J742" s="81"/>
      <c r="K742" s="81"/>
      <c r="L742" s="81"/>
      <c r="M742" s="82" t="s">
        <v>52</v>
      </c>
      <c r="N742" s="82"/>
      <c r="O742" s="82"/>
      <c r="P742" s="82"/>
      <c r="Q742" s="82" t="s">
        <v>2902</v>
      </c>
      <c r="R742" s="111">
        <v>45674</v>
      </c>
      <c r="S742" s="82" t="s">
        <v>2903</v>
      </c>
      <c r="T742" s="81" t="s">
        <v>144</v>
      </c>
      <c r="U742" s="81" t="s">
        <v>144</v>
      </c>
    </row>
    <row r="743" spans="1:21" ht="30" x14ac:dyDescent="0.25">
      <c r="A743" s="81"/>
      <c r="B743" s="81" t="s">
        <v>8</v>
      </c>
      <c r="C743" s="81" t="s">
        <v>144</v>
      </c>
      <c r="D743" s="81" t="s">
        <v>30</v>
      </c>
      <c r="E743" s="81" t="s">
        <v>2908</v>
      </c>
      <c r="F743" s="81" t="s">
        <v>30</v>
      </c>
      <c r="G743" s="81" t="s">
        <v>2907</v>
      </c>
      <c r="H743" s="81"/>
      <c r="I743" s="81"/>
      <c r="J743" s="81"/>
      <c r="K743" s="81"/>
      <c r="L743" s="81"/>
      <c r="M743" s="82" t="s">
        <v>52</v>
      </c>
      <c r="N743" s="82"/>
      <c r="O743" s="82"/>
      <c r="P743" s="82"/>
      <c r="Q743" s="82"/>
      <c r="R743" s="111">
        <v>45672</v>
      </c>
      <c r="S743" s="82" t="s">
        <v>2909</v>
      </c>
      <c r="T743" s="81" t="s">
        <v>144</v>
      </c>
      <c r="U743" s="81" t="s">
        <v>144</v>
      </c>
    </row>
    <row r="744" spans="1:21" ht="30" x14ac:dyDescent="0.25">
      <c r="A744" s="81"/>
      <c r="B744" s="81" t="s">
        <v>8</v>
      </c>
      <c r="C744" s="81" t="s">
        <v>144</v>
      </c>
      <c r="D744" s="81" t="s">
        <v>30</v>
      </c>
      <c r="E744" s="81" t="s">
        <v>2910</v>
      </c>
      <c r="F744" s="81" t="s">
        <v>30</v>
      </c>
      <c r="G744" s="81" t="s">
        <v>2911</v>
      </c>
      <c r="H744" s="81"/>
      <c r="I744" s="81"/>
      <c r="J744" s="81"/>
      <c r="K744" s="81"/>
      <c r="L744" s="81"/>
      <c r="M744" s="82" t="s">
        <v>52</v>
      </c>
      <c r="N744" s="82"/>
      <c r="O744" s="82"/>
      <c r="P744" s="82"/>
      <c r="Q744" s="82"/>
      <c r="R744" s="111"/>
      <c r="S744" s="82"/>
      <c r="T744" s="81" t="s">
        <v>144</v>
      </c>
      <c r="U744" s="81" t="s">
        <v>144</v>
      </c>
    </row>
    <row r="745" spans="1:21" ht="30" x14ac:dyDescent="0.25">
      <c r="A745" s="81"/>
      <c r="B745" s="81" t="s">
        <v>8</v>
      </c>
      <c r="C745" s="81" t="s">
        <v>144</v>
      </c>
      <c r="D745" s="81" t="s">
        <v>30</v>
      </c>
      <c r="E745" s="81" t="s">
        <v>2912</v>
      </c>
      <c r="F745" s="81" t="s">
        <v>2815</v>
      </c>
      <c r="G745" s="81" t="s">
        <v>2913</v>
      </c>
      <c r="H745" s="81"/>
      <c r="I745" s="81"/>
      <c r="J745" s="81"/>
      <c r="K745" s="81"/>
      <c r="L745" s="81"/>
      <c r="M745" s="82" t="s">
        <v>52</v>
      </c>
      <c r="N745" s="82"/>
      <c r="O745" s="82"/>
      <c r="P745" s="82"/>
      <c r="Q745" s="82"/>
      <c r="R745" s="111"/>
      <c r="S745" s="82"/>
      <c r="T745" s="81" t="s">
        <v>144</v>
      </c>
      <c r="U745" s="81" t="s">
        <v>144</v>
      </c>
    </row>
    <row r="746" spans="1:21" ht="30" x14ac:dyDescent="0.25">
      <c r="A746" s="81"/>
      <c r="B746" s="81" t="s">
        <v>8</v>
      </c>
      <c r="C746" s="81" t="s">
        <v>144</v>
      </c>
      <c r="D746" s="81" t="s">
        <v>30</v>
      </c>
      <c r="E746" s="81" t="s">
        <v>2914</v>
      </c>
      <c r="F746" s="81" t="s">
        <v>30</v>
      </c>
      <c r="G746" s="81" t="s">
        <v>2915</v>
      </c>
      <c r="H746" s="81"/>
      <c r="I746" s="81"/>
      <c r="J746" s="81"/>
      <c r="K746" s="81"/>
      <c r="L746" s="81"/>
      <c r="M746" s="82" t="s">
        <v>52</v>
      </c>
      <c r="N746" s="82"/>
      <c r="O746" s="82"/>
      <c r="P746" s="82"/>
      <c r="Q746" s="82"/>
      <c r="R746" s="111">
        <v>45784</v>
      </c>
      <c r="S746" s="82" t="s">
        <v>786</v>
      </c>
      <c r="T746" s="81" t="s">
        <v>144</v>
      </c>
      <c r="U746" s="81" t="s">
        <v>144</v>
      </c>
    </row>
    <row r="747" spans="1:21" ht="30" x14ac:dyDescent="0.25">
      <c r="A747" s="81"/>
      <c r="B747" s="81" t="s">
        <v>8</v>
      </c>
      <c r="C747" s="81" t="s">
        <v>144</v>
      </c>
      <c r="D747" s="81" t="s">
        <v>30</v>
      </c>
      <c r="E747" s="81" t="s">
        <v>2916</v>
      </c>
      <c r="F747" s="81" t="s">
        <v>30</v>
      </c>
      <c r="G747" s="81" t="s">
        <v>2917</v>
      </c>
      <c r="H747" s="81"/>
      <c r="I747" s="81"/>
      <c r="J747" s="81"/>
      <c r="K747" s="81"/>
      <c r="L747" s="81"/>
      <c r="M747" s="82" t="s">
        <v>52</v>
      </c>
      <c r="N747" s="82"/>
      <c r="O747" s="82"/>
      <c r="P747" s="82"/>
      <c r="Q747" s="82"/>
      <c r="R747" s="111">
        <v>45785</v>
      </c>
      <c r="S747" s="82" t="s">
        <v>786</v>
      </c>
      <c r="T747" s="81" t="s">
        <v>144</v>
      </c>
      <c r="U747" s="81" t="s">
        <v>144</v>
      </c>
    </row>
    <row r="748" spans="1:21" ht="30" x14ac:dyDescent="0.25">
      <c r="A748" s="81"/>
      <c r="B748" s="81" t="s">
        <v>8</v>
      </c>
      <c r="C748" s="81" t="s">
        <v>144</v>
      </c>
      <c r="D748" s="81" t="s">
        <v>30</v>
      </c>
      <c r="E748" s="81" t="s">
        <v>2918</v>
      </c>
      <c r="F748" s="81" t="s">
        <v>30</v>
      </c>
      <c r="G748" s="81" t="s">
        <v>2919</v>
      </c>
      <c r="H748" s="81"/>
      <c r="I748" s="81"/>
      <c r="J748" s="81"/>
      <c r="K748" s="81"/>
      <c r="L748" s="81"/>
      <c r="M748" s="82" t="s">
        <v>52</v>
      </c>
      <c r="N748" s="82"/>
      <c r="O748" s="82"/>
      <c r="P748" s="82"/>
      <c r="Q748" s="82" t="s">
        <v>2920</v>
      </c>
      <c r="R748" s="111">
        <v>45775</v>
      </c>
      <c r="S748" s="82" t="s">
        <v>2800</v>
      </c>
      <c r="T748" s="81" t="s">
        <v>144</v>
      </c>
      <c r="U748" s="81" t="s">
        <v>144</v>
      </c>
    </row>
    <row r="749" spans="1:21" ht="30" x14ac:dyDescent="0.25">
      <c r="A749" s="81"/>
      <c r="B749" s="81" t="s">
        <v>8</v>
      </c>
      <c r="C749" s="81" t="s">
        <v>144</v>
      </c>
      <c r="D749" s="81" t="s">
        <v>30</v>
      </c>
      <c r="E749" s="81" t="s">
        <v>2921</v>
      </c>
      <c r="F749" s="81" t="s">
        <v>30</v>
      </c>
      <c r="G749" s="81" t="s">
        <v>2922</v>
      </c>
      <c r="H749" s="81"/>
      <c r="I749" s="81"/>
      <c r="J749" s="81"/>
      <c r="K749" s="81"/>
      <c r="L749" s="81"/>
      <c r="M749" s="82" t="s">
        <v>52</v>
      </c>
      <c r="N749" s="82"/>
      <c r="O749" s="82"/>
      <c r="P749" s="82"/>
      <c r="Q749" s="82" t="s">
        <v>2923</v>
      </c>
      <c r="R749" s="111">
        <v>45784</v>
      </c>
      <c r="S749" s="82" t="s">
        <v>2756</v>
      </c>
      <c r="T749" s="81" t="s">
        <v>144</v>
      </c>
      <c r="U749" s="81" t="s">
        <v>144</v>
      </c>
    </row>
    <row r="750" spans="1:21" ht="30" x14ac:dyDescent="0.25">
      <c r="A750" s="81"/>
      <c r="B750" s="81" t="s">
        <v>8</v>
      </c>
      <c r="C750" s="81" t="s">
        <v>144</v>
      </c>
      <c r="D750" s="81" t="s">
        <v>30</v>
      </c>
      <c r="E750" s="81" t="s">
        <v>2924</v>
      </c>
      <c r="F750" s="81" t="s">
        <v>30</v>
      </c>
      <c r="G750" s="81" t="s">
        <v>2925</v>
      </c>
      <c r="H750" s="81"/>
      <c r="I750" s="81"/>
      <c r="J750" s="81"/>
      <c r="K750" s="81"/>
      <c r="L750" s="81"/>
      <c r="M750" s="82" t="s">
        <v>52</v>
      </c>
      <c r="N750" s="82"/>
      <c r="O750" s="82"/>
      <c r="P750" s="82"/>
      <c r="Q750" s="82"/>
      <c r="R750" s="111"/>
      <c r="S750" s="82"/>
      <c r="T750" s="81" t="s">
        <v>144</v>
      </c>
      <c r="U750" s="81" t="s">
        <v>144</v>
      </c>
    </row>
    <row r="751" spans="1:21" x14ac:dyDescent="0.25">
      <c r="A751" s="81"/>
      <c r="B751" s="81" t="s">
        <v>8</v>
      </c>
      <c r="C751" s="81" t="s">
        <v>144</v>
      </c>
      <c r="D751" s="81" t="s">
        <v>30</v>
      </c>
      <c r="E751" s="81" t="s">
        <v>2926</v>
      </c>
      <c r="F751" s="81" t="s">
        <v>2824</v>
      </c>
      <c r="G751" s="81" t="s">
        <v>2927</v>
      </c>
      <c r="H751" s="81"/>
      <c r="I751" s="81"/>
      <c r="J751" s="81"/>
      <c r="K751" s="81"/>
      <c r="L751" s="81"/>
      <c r="M751" s="82" t="s">
        <v>52</v>
      </c>
      <c r="N751" s="82"/>
      <c r="O751" s="82"/>
      <c r="P751" s="82"/>
      <c r="Q751" s="82"/>
      <c r="R751" s="111"/>
      <c r="S751" s="82"/>
      <c r="T751" s="81" t="s">
        <v>144</v>
      </c>
      <c r="U751" s="81" t="s">
        <v>144</v>
      </c>
    </row>
    <row r="752" spans="1:21" ht="30" x14ac:dyDescent="0.25">
      <c r="A752" s="81"/>
      <c r="B752" s="81" t="s">
        <v>8</v>
      </c>
      <c r="C752" s="81" t="s">
        <v>144</v>
      </c>
      <c r="D752" s="81" t="s">
        <v>30</v>
      </c>
      <c r="E752" s="81" t="s">
        <v>2928</v>
      </c>
      <c r="F752" s="81" t="s">
        <v>30</v>
      </c>
      <c r="G752" s="81" t="s">
        <v>2929</v>
      </c>
      <c r="H752" s="81"/>
      <c r="I752" s="81"/>
      <c r="J752" s="81"/>
      <c r="K752" s="81"/>
      <c r="L752" s="81"/>
      <c r="M752" s="82" t="s">
        <v>52</v>
      </c>
      <c r="N752" s="82"/>
      <c r="O752" s="82"/>
      <c r="P752" s="82"/>
      <c r="Q752" s="82"/>
      <c r="R752" s="111"/>
      <c r="S752" s="82"/>
      <c r="T752" s="81" t="s">
        <v>144</v>
      </c>
      <c r="U752" s="81" t="s">
        <v>144</v>
      </c>
    </row>
    <row r="753" spans="1:21" ht="30" x14ac:dyDescent="0.25">
      <c r="A753" s="81"/>
      <c r="B753" s="81" t="s">
        <v>8</v>
      </c>
      <c r="C753" s="81" t="s">
        <v>144</v>
      </c>
      <c r="D753" s="81" t="s">
        <v>30</v>
      </c>
      <c r="E753" s="81" t="s">
        <v>2930</v>
      </c>
      <c r="F753" s="81" t="s">
        <v>30</v>
      </c>
      <c r="G753" s="81" t="s">
        <v>2931</v>
      </c>
      <c r="H753" s="81"/>
      <c r="I753" s="81"/>
      <c r="J753" s="81"/>
      <c r="K753" s="81"/>
      <c r="L753" s="81"/>
      <c r="M753" s="82" t="s">
        <v>52</v>
      </c>
      <c r="N753" s="82"/>
      <c r="O753" s="82"/>
      <c r="P753" s="82"/>
      <c r="Q753" s="82"/>
      <c r="R753" s="111"/>
      <c r="S753" s="82"/>
      <c r="T753" s="81" t="s">
        <v>144</v>
      </c>
      <c r="U753" s="81" t="s">
        <v>144</v>
      </c>
    </row>
    <row r="754" spans="1:21" ht="30" x14ac:dyDescent="0.25">
      <c r="A754" s="81"/>
      <c r="B754" s="81"/>
      <c r="C754" s="81" t="s">
        <v>144</v>
      </c>
      <c r="D754" s="81" t="s">
        <v>30</v>
      </c>
      <c r="E754" s="81" t="s">
        <v>2932</v>
      </c>
      <c r="F754" s="81" t="s">
        <v>30</v>
      </c>
      <c r="G754" s="81" t="s">
        <v>2933</v>
      </c>
      <c r="H754" s="81"/>
      <c r="I754" s="81"/>
      <c r="J754" s="81"/>
      <c r="K754" s="81"/>
      <c r="L754" s="81"/>
      <c r="M754" s="82" t="s">
        <v>52</v>
      </c>
      <c r="N754" s="82"/>
      <c r="O754" s="82"/>
      <c r="P754" s="82"/>
      <c r="Q754" s="82"/>
      <c r="R754" s="111"/>
      <c r="S754" s="82"/>
      <c r="T754" s="81" t="s">
        <v>144</v>
      </c>
      <c r="U754" s="81" t="s">
        <v>144</v>
      </c>
    </row>
    <row r="755" spans="1:21" x14ac:dyDescent="0.25">
      <c r="A755" s="81"/>
      <c r="B755" s="81"/>
      <c r="C755" s="81" t="s">
        <v>144</v>
      </c>
      <c r="D755" s="81" t="s">
        <v>30</v>
      </c>
      <c r="E755" s="81" t="s">
        <v>2934</v>
      </c>
      <c r="F755" s="81" t="s">
        <v>2824</v>
      </c>
      <c r="G755" s="81" t="s">
        <v>2935</v>
      </c>
      <c r="H755" s="81"/>
      <c r="I755" s="81"/>
      <c r="J755" s="81"/>
      <c r="K755" s="81"/>
      <c r="L755" s="81"/>
      <c r="M755" s="82" t="s">
        <v>52</v>
      </c>
      <c r="N755" s="82"/>
      <c r="O755" s="82"/>
      <c r="P755" s="82"/>
      <c r="Q755" s="82"/>
      <c r="R755" s="111"/>
      <c r="S755" s="82"/>
      <c r="T755" s="81" t="s">
        <v>144</v>
      </c>
      <c r="U755" s="81" t="s">
        <v>144</v>
      </c>
    </row>
    <row r="756" spans="1:21" x14ac:dyDescent="0.25">
      <c r="A756" s="81"/>
      <c r="B756" s="81"/>
      <c r="C756" s="81" t="s">
        <v>144</v>
      </c>
      <c r="D756" s="81" t="s">
        <v>30</v>
      </c>
      <c r="E756" s="81" t="s">
        <v>2936</v>
      </c>
      <c r="F756" s="81" t="s">
        <v>2824</v>
      </c>
      <c r="G756" s="81" t="s">
        <v>2937</v>
      </c>
      <c r="H756" s="81"/>
      <c r="I756" s="81"/>
      <c r="J756" s="81"/>
      <c r="K756" s="81"/>
      <c r="L756" s="81"/>
      <c r="M756" s="82" t="s">
        <v>52</v>
      </c>
      <c r="N756" s="82"/>
      <c r="O756" s="82"/>
      <c r="P756" s="82"/>
      <c r="Q756" s="82"/>
      <c r="R756" s="111"/>
      <c r="S756" s="82"/>
      <c r="T756" s="81" t="s">
        <v>144</v>
      </c>
      <c r="U756" s="81" t="s">
        <v>144</v>
      </c>
    </row>
    <row r="757" spans="1:21" ht="30" x14ac:dyDescent="0.25">
      <c r="A757" s="81"/>
      <c r="B757" s="81"/>
      <c r="C757" s="81" t="s">
        <v>144</v>
      </c>
      <c r="D757" s="81" t="s">
        <v>30</v>
      </c>
      <c r="E757" s="81" t="s">
        <v>2938</v>
      </c>
      <c r="F757" s="81" t="s">
        <v>30</v>
      </c>
      <c r="G757" s="81" t="s">
        <v>2939</v>
      </c>
      <c r="H757" s="81"/>
      <c r="I757" s="81"/>
      <c r="J757" s="81"/>
      <c r="K757" s="81"/>
      <c r="L757" s="81"/>
      <c r="M757" s="82" t="s">
        <v>52</v>
      </c>
      <c r="N757" s="82"/>
      <c r="O757" s="82"/>
      <c r="P757" s="82"/>
      <c r="Q757" s="82"/>
      <c r="R757" s="111"/>
      <c r="S757" s="82"/>
      <c r="T757" s="81" t="s">
        <v>144</v>
      </c>
      <c r="U757" s="81" t="s">
        <v>144</v>
      </c>
    </row>
    <row r="758" spans="1:21" ht="30" x14ac:dyDescent="0.25">
      <c r="A758" s="81"/>
      <c r="B758" s="81" t="s">
        <v>8</v>
      </c>
      <c r="C758" s="81" t="s">
        <v>144</v>
      </c>
      <c r="D758" s="81" t="s">
        <v>30</v>
      </c>
      <c r="E758" s="81" t="s">
        <v>2940</v>
      </c>
      <c r="F758" s="81" t="s">
        <v>30</v>
      </c>
      <c r="G758" s="81" t="s">
        <v>2941</v>
      </c>
      <c r="H758" s="81"/>
      <c r="I758" s="81"/>
      <c r="J758" s="81"/>
      <c r="K758" s="81"/>
      <c r="L758" s="81"/>
      <c r="M758" s="82" t="s">
        <v>52</v>
      </c>
      <c r="N758" s="82"/>
      <c r="O758" s="82"/>
      <c r="P758" s="82"/>
      <c r="Q758" s="82"/>
      <c r="R758" s="111"/>
      <c r="S758" s="82"/>
      <c r="T758" s="81" t="s">
        <v>144</v>
      </c>
      <c r="U758" s="81" t="s">
        <v>144</v>
      </c>
    </row>
    <row r="759" spans="1:21" ht="30" x14ac:dyDescent="0.25">
      <c r="A759" s="81"/>
      <c r="B759" s="81"/>
      <c r="C759" s="81" t="s">
        <v>144</v>
      </c>
      <c r="D759" s="81" t="s">
        <v>30</v>
      </c>
      <c r="E759" s="81" t="s">
        <v>2942</v>
      </c>
      <c r="F759" s="81" t="s">
        <v>30</v>
      </c>
      <c r="G759" s="81" t="s">
        <v>2943</v>
      </c>
      <c r="H759" s="81"/>
      <c r="I759" s="81"/>
      <c r="J759" s="81"/>
      <c r="K759" s="81"/>
      <c r="L759" s="81"/>
      <c r="M759" s="82" t="s">
        <v>52</v>
      </c>
      <c r="N759" s="82"/>
      <c r="O759" s="82"/>
      <c r="P759" s="82"/>
      <c r="Q759" s="82"/>
      <c r="R759" s="111"/>
      <c r="S759" s="82"/>
      <c r="T759" s="81" t="s">
        <v>144</v>
      </c>
      <c r="U759" s="81" t="s">
        <v>144</v>
      </c>
    </row>
    <row r="760" spans="1:21" ht="30" x14ac:dyDescent="0.25">
      <c r="A760" s="81"/>
      <c r="B760" s="81" t="s">
        <v>8</v>
      </c>
      <c r="C760" s="81" t="s">
        <v>144</v>
      </c>
      <c r="D760" s="81" t="s">
        <v>30</v>
      </c>
      <c r="E760" s="81" t="s">
        <v>2944</v>
      </c>
      <c r="F760" s="81" t="s">
        <v>30</v>
      </c>
      <c r="G760" s="81" t="s">
        <v>2945</v>
      </c>
      <c r="H760" s="81"/>
      <c r="I760" s="81"/>
      <c r="J760" s="81"/>
      <c r="K760" s="81"/>
      <c r="L760" s="81"/>
      <c r="M760" s="82" t="s">
        <v>52</v>
      </c>
      <c r="N760" s="82"/>
      <c r="O760" s="82"/>
      <c r="P760" s="82"/>
      <c r="Q760" s="82"/>
      <c r="R760" s="111"/>
      <c r="S760" s="82"/>
      <c r="T760" s="81" t="s">
        <v>144</v>
      </c>
      <c r="U760" s="81" t="s">
        <v>144</v>
      </c>
    </row>
    <row r="761" spans="1:21" ht="30" x14ac:dyDescent="0.25">
      <c r="A761" s="81"/>
      <c r="B761" s="81" t="s">
        <v>8</v>
      </c>
      <c r="C761" s="81" t="s">
        <v>144</v>
      </c>
      <c r="D761" s="81" t="s">
        <v>30</v>
      </c>
      <c r="E761" s="81" t="s">
        <v>2946</v>
      </c>
      <c r="F761" s="81" t="s">
        <v>30</v>
      </c>
      <c r="G761" s="81" t="s">
        <v>2947</v>
      </c>
      <c r="H761" s="81"/>
      <c r="I761" s="81"/>
      <c r="J761" s="81"/>
      <c r="K761" s="81"/>
      <c r="L761" s="81"/>
      <c r="M761" s="82" t="s">
        <v>52</v>
      </c>
      <c r="N761" s="82"/>
      <c r="O761" s="82"/>
      <c r="P761" s="82"/>
      <c r="Q761" s="82"/>
      <c r="R761" s="111"/>
      <c r="S761" s="82"/>
      <c r="T761" s="81" t="s">
        <v>144</v>
      </c>
      <c r="U761" s="81" t="s">
        <v>144</v>
      </c>
    </row>
    <row r="762" spans="1:21" ht="30" x14ac:dyDescent="0.25">
      <c r="A762" s="81"/>
      <c r="B762" s="81" t="s">
        <v>8</v>
      </c>
      <c r="C762" s="81" t="s">
        <v>144</v>
      </c>
      <c r="D762" s="81" t="s">
        <v>30</v>
      </c>
      <c r="E762" s="81" t="s">
        <v>2948</v>
      </c>
      <c r="F762" s="81" t="s">
        <v>30</v>
      </c>
      <c r="G762" s="81" t="s">
        <v>2949</v>
      </c>
      <c r="H762" s="81"/>
      <c r="I762" s="81"/>
      <c r="J762" s="81"/>
      <c r="K762" s="81"/>
      <c r="L762" s="81"/>
      <c r="M762" s="82" t="s">
        <v>52</v>
      </c>
      <c r="N762" s="82"/>
      <c r="O762" s="82"/>
      <c r="P762" s="82"/>
      <c r="Q762" s="82"/>
      <c r="R762" s="111"/>
      <c r="S762" s="82"/>
      <c r="T762" s="81" t="s">
        <v>144</v>
      </c>
      <c r="U762" s="81" t="s">
        <v>144</v>
      </c>
    </row>
    <row r="763" spans="1:21" ht="30" x14ac:dyDescent="0.25">
      <c r="A763" s="81"/>
      <c r="B763" s="81" t="s">
        <v>8</v>
      </c>
      <c r="C763" s="81" t="s">
        <v>144</v>
      </c>
      <c r="D763" s="81" t="s">
        <v>30</v>
      </c>
      <c r="E763" s="81" t="s">
        <v>2950</v>
      </c>
      <c r="F763" s="81" t="s">
        <v>30</v>
      </c>
      <c r="G763" s="81" t="s">
        <v>2951</v>
      </c>
      <c r="H763" s="81"/>
      <c r="I763" s="81"/>
      <c r="J763" s="81"/>
      <c r="K763" s="81"/>
      <c r="L763" s="81"/>
      <c r="M763" s="82" t="s">
        <v>52</v>
      </c>
      <c r="N763" s="82"/>
      <c r="O763" s="82"/>
      <c r="P763" s="82"/>
      <c r="Q763" s="82"/>
      <c r="R763" s="111"/>
      <c r="S763" s="82"/>
      <c r="T763" s="81" t="s">
        <v>144</v>
      </c>
      <c r="U763" s="81" t="s">
        <v>144</v>
      </c>
    </row>
    <row r="764" spans="1:21" ht="30" x14ac:dyDescent="0.25">
      <c r="A764" s="81"/>
      <c r="B764" s="81" t="s">
        <v>8</v>
      </c>
      <c r="C764" s="81" t="s">
        <v>144</v>
      </c>
      <c r="D764" s="81" t="s">
        <v>30</v>
      </c>
      <c r="E764" s="81" t="s">
        <v>2952</v>
      </c>
      <c r="F764" s="81" t="s">
        <v>30</v>
      </c>
      <c r="G764" s="81" t="s">
        <v>2953</v>
      </c>
      <c r="H764" s="81"/>
      <c r="I764" s="81"/>
      <c r="J764" s="81"/>
      <c r="K764" s="81"/>
      <c r="L764" s="81"/>
      <c r="M764" s="82" t="s">
        <v>52</v>
      </c>
      <c r="N764" s="82"/>
      <c r="O764" s="82"/>
      <c r="P764" s="82"/>
      <c r="Q764" s="82"/>
      <c r="R764" s="111"/>
      <c r="S764" s="82"/>
      <c r="T764" s="81" t="s">
        <v>144</v>
      </c>
      <c r="U764" s="81" t="s">
        <v>144</v>
      </c>
    </row>
    <row r="765" spans="1:21" ht="30" x14ac:dyDescent="0.25">
      <c r="A765" s="81"/>
      <c r="B765" s="81" t="s">
        <v>8</v>
      </c>
      <c r="C765" s="81" t="s">
        <v>144</v>
      </c>
      <c r="D765" s="81" t="s">
        <v>30</v>
      </c>
      <c r="E765" s="81" t="s">
        <v>2954</v>
      </c>
      <c r="F765" s="81" t="s">
        <v>30</v>
      </c>
      <c r="G765" s="81" t="s">
        <v>2955</v>
      </c>
      <c r="H765" s="81"/>
      <c r="I765" s="81"/>
      <c r="J765" s="81"/>
      <c r="K765" s="81"/>
      <c r="L765" s="81"/>
      <c r="M765" s="82" t="s">
        <v>52</v>
      </c>
      <c r="N765" s="82"/>
      <c r="O765" s="82"/>
      <c r="P765" s="82"/>
      <c r="Q765" s="82"/>
      <c r="R765" s="111"/>
      <c r="S765" s="82"/>
      <c r="T765" s="81" t="s">
        <v>144</v>
      </c>
      <c r="U765" s="81" t="s">
        <v>144</v>
      </c>
    </row>
    <row r="766" spans="1:21" ht="30" x14ac:dyDescent="0.25">
      <c r="A766" s="81"/>
      <c r="B766" s="81" t="s">
        <v>8</v>
      </c>
      <c r="C766" s="81" t="s">
        <v>144</v>
      </c>
      <c r="D766" s="81" t="s">
        <v>30</v>
      </c>
      <c r="E766" s="81" t="s">
        <v>2956</v>
      </c>
      <c r="F766" s="81" t="s">
        <v>30</v>
      </c>
      <c r="G766" s="81" t="s">
        <v>2957</v>
      </c>
      <c r="H766" s="81"/>
      <c r="I766" s="81"/>
      <c r="J766" s="81"/>
      <c r="K766" s="81"/>
      <c r="L766" s="81"/>
      <c r="M766" s="82" t="s">
        <v>52</v>
      </c>
      <c r="N766" s="82"/>
      <c r="O766" s="82"/>
      <c r="P766" s="82"/>
      <c r="Q766" s="82"/>
      <c r="R766" s="111"/>
      <c r="S766" s="82"/>
      <c r="T766" s="81" t="s">
        <v>144</v>
      </c>
      <c r="U766" s="81" t="s">
        <v>144</v>
      </c>
    </row>
    <row r="767" spans="1:21" x14ac:dyDescent="0.25">
      <c r="A767" s="81"/>
      <c r="B767" s="81"/>
      <c r="C767" s="81" t="s">
        <v>144</v>
      </c>
      <c r="D767" s="81" t="s">
        <v>30</v>
      </c>
      <c r="E767" s="81" t="s">
        <v>2958</v>
      </c>
      <c r="F767" s="81" t="s">
        <v>186</v>
      </c>
      <c r="G767" s="81" t="s">
        <v>2959</v>
      </c>
      <c r="H767" s="81"/>
      <c r="I767" s="81"/>
      <c r="J767" s="81"/>
      <c r="K767" s="81"/>
      <c r="L767" s="81"/>
      <c r="M767" s="82" t="s">
        <v>52</v>
      </c>
      <c r="N767" s="82"/>
      <c r="O767" s="82"/>
      <c r="P767" s="82"/>
      <c r="Q767" s="82"/>
      <c r="R767" s="111"/>
      <c r="S767" s="82"/>
      <c r="T767" s="81" t="s">
        <v>144</v>
      </c>
      <c r="U767" s="81" t="s">
        <v>144</v>
      </c>
    </row>
    <row r="768" spans="1:21" x14ac:dyDescent="0.25">
      <c r="A768" s="81"/>
      <c r="B768" s="81"/>
      <c r="C768" s="81" t="s">
        <v>144</v>
      </c>
      <c r="D768" s="81" t="s">
        <v>30</v>
      </c>
      <c r="E768" s="81" t="s">
        <v>2960</v>
      </c>
      <c r="F768" s="81" t="s">
        <v>153</v>
      </c>
      <c r="G768" s="81" t="s">
        <v>2961</v>
      </c>
      <c r="H768" s="81"/>
      <c r="I768" s="81"/>
      <c r="J768" s="81"/>
      <c r="K768" s="81"/>
      <c r="L768" s="81"/>
      <c r="M768" s="82" t="s">
        <v>52</v>
      </c>
      <c r="N768" s="82"/>
      <c r="O768" s="82"/>
      <c r="P768" s="82"/>
      <c r="Q768" s="82"/>
      <c r="R768" s="111"/>
      <c r="S768" s="82"/>
      <c r="T768" s="81" t="s">
        <v>144</v>
      </c>
      <c r="U768" s="81" t="s">
        <v>144</v>
      </c>
    </row>
    <row r="769" spans="1:21" ht="30" x14ac:dyDescent="0.25">
      <c r="A769" s="81"/>
      <c r="B769" s="81" t="s">
        <v>8</v>
      </c>
      <c r="C769" s="81" t="s">
        <v>144</v>
      </c>
      <c r="D769" s="81" t="s">
        <v>30</v>
      </c>
      <c r="E769" s="81" t="s">
        <v>2962</v>
      </c>
      <c r="F769" s="81" t="s">
        <v>30</v>
      </c>
      <c r="G769" s="81" t="s">
        <v>2963</v>
      </c>
      <c r="H769" s="81"/>
      <c r="I769" s="81"/>
      <c r="J769" s="81"/>
      <c r="K769" s="81"/>
      <c r="L769" s="81"/>
      <c r="M769" s="82" t="s">
        <v>52</v>
      </c>
      <c r="N769" s="82"/>
      <c r="O769" s="82"/>
      <c r="P769" s="82"/>
      <c r="Q769" s="82"/>
      <c r="R769" s="111"/>
      <c r="S769" s="82"/>
      <c r="T769" s="81" t="s">
        <v>144</v>
      </c>
      <c r="U769" s="81" t="s">
        <v>144</v>
      </c>
    </row>
    <row r="770" spans="1:21" x14ac:dyDescent="0.25">
      <c r="A770" s="81"/>
      <c r="B770" s="81"/>
      <c r="C770" s="81" t="s">
        <v>144</v>
      </c>
      <c r="D770" s="81" t="s">
        <v>30</v>
      </c>
      <c r="E770" s="81" t="s">
        <v>2964</v>
      </c>
      <c r="F770" s="81" t="s">
        <v>153</v>
      </c>
      <c r="G770" s="81" t="s">
        <v>2965</v>
      </c>
      <c r="H770" s="81"/>
      <c r="I770" s="81"/>
      <c r="J770" s="81"/>
      <c r="K770" s="81"/>
      <c r="L770" s="81"/>
      <c r="M770" s="82" t="s">
        <v>52</v>
      </c>
      <c r="N770" s="82"/>
      <c r="O770" s="82"/>
      <c r="P770" s="82"/>
      <c r="Q770" s="82"/>
      <c r="R770" s="111"/>
      <c r="S770" s="82"/>
      <c r="T770" s="81" t="s">
        <v>144</v>
      </c>
      <c r="U770" s="81" t="s">
        <v>144</v>
      </c>
    </row>
    <row r="771" spans="1:21" ht="30" x14ac:dyDescent="0.25">
      <c r="A771" s="81"/>
      <c r="B771" s="81"/>
      <c r="C771" s="81" t="s">
        <v>144</v>
      </c>
      <c r="D771" s="81" t="s">
        <v>30</v>
      </c>
      <c r="E771" s="81" t="s">
        <v>2966</v>
      </c>
      <c r="F771" s="81" t="s">
        <v>2967</v>
      </c>
      <c r="G771" s="81" t="s">
        <v>2968</v>
      </c>
      <c r="H771" s="81"/>
      <c r="I771" s="81"/>
      <c r="J771" s="81"/>
      <c r="K771" s="81"/>
      <c r="L771" s="81"/>
      <c r="M771" s="82" t="s">
        <v>52</v>
      </c>
      <c r="N771" s="82"/>
      <c r="O771" s="82"/>
      <c r="P771" s="82"/>
      <c r="Q771" s="82"/>
      <c r="R771" s="111"/>
      <c r="S771" s="82"/>
      <c r="T771" s="81" t="s">
        <v>144</v>
      </c>
      <c r="U771" s="81"/>
    </row>
    <row r="772" spans="1:21" ht="30" x14ac:dyDescent="0.25">
      <c r="A772" s="81"/>
      <c r="B772" s="81"/>
      <c r="C772" s="81" t="s">
        <v>144</v>
      </c>
      <c r="D772" s="81" t="s">
        <v>30</v>
      </c>
      <c r="E772" s="81" t="s">
        <v>2969</v>
      </c>
      <c r="F772" s="81" t="s">
        <v>2967</v>
      </c>
      <c r="G772" s="81" t="s">
        <v>2970</v>
      </c>
      <c r="H772" s="81"/>
      <c r="I772" s="81"/>
      <c r="J772" s="81"/>
      <c r="K772" s="81"/>
      <c r="L772" s="81"/>
      <c r="M772" s="82" t="s">
        <v>52</v>
      </c>
      <c r="N772" s="82"/>
      <c r="O772" s="82"/>
      <c r="P772" s="82"/>
      <c r="Q772" s="82"/>
      <c r="R772" s="111"/>
      <c r="S772" s="82"/>
      <c r="T772" s="81" t="s">
        <v>144</v>
      </c>
      <c r="U772" s="81"/>
    </row>
    <row r="773" spans="1:21" x14ac:dyDescent="0.25">
      <c r="A773" s="81"/>
      <c r="B773" s="81"/>
      <c r="C773" s="81" t="s">
        <v>144</v>
      </c>
      <c r="D773" s="81" t="s">
        <v>30</v>
      </c>
      <c r="E773" s="81" t="s">
        <v>2971</v>
      </c>
      <c r="F773" s="81" t="s">
        <v>2967</v>
      </c>
      <c r="G773" s="81" t="s">
        <v>2972</v>
      </c>
      <c r="H773" s="81"/>
      <c r="I773" s="81"/>
      <c r="J773" s="81"/>
      <c r="K773" s="81"/>
      <c r="L773" s="81"/>
      <c r="M773" s="82" t="s">
        <v>52</v>
      </c>
      <c r="N773" s="82"/>
      <c r="O773" s="82"/>
      <c r="P773" s="82"/>
      <c r="Q773" s="82"/>
      <c r="R773" s="111"/>
      <c r="S773" s="82"/>
      <c r="T773" s="81" t="s">
        <v>144</v>
      </c>
      <c r="U773" s="81"/>
    </row>
    <row r="774" spans="1:21" ht="30" x14ac:dyDescent="0.25">
      <c r="A774" s="81"/>
      <c r="B774" s="81" t="s">
        <v>8</v>
      </c>
      <c r="C774" s="81" t="s">
        <v>144</v>
      </c>
      <c r="D774" s="81" t="s">
        <v>30</v>
      </c>
      <c r="E774" s="81" t="s">
        <v>89</v>
      </c>
      <c r="F774" s="81" t="s">
        <v>30</v>
      </c>
      <c r="G774" s="81" t="s">
        <v>84</v>
      </c>
      <c r="H774" s="81"/>
      <c r="I774" s="81"/>
      <c r="J774" s="81"/>
      <c r="K774" s="81"/>
      <c r="L774" s="81"/>
      <c r="M774" s="82" t="s">
        <v>52</v>
      </c>
      <c r="N774" s="82"/>
      <c r="O774" s="82"/>
      <c r="P774" s="82"/>
      <c r="Q774" s="82"/>
      <c r="R774" s="111">
        <v>45894</v>
      </c>
      <c r="S774" s="82" t="s">
        <v>535</v>
      </c>
      <c r="T774" s="81" t="s">
        <v>144</v>
      </c>
      <c r="U774" s="81" t="s">
        <v>144</v>
      </c>
    </row>
    <row r="775" spans="1:21" ht="30" x14ac:dyDescent="0.25">
      <c r="A775" s="81"/>
      <c r="B775" s="81" t="s">
        <v>8</v>
      </c>
      <c r="C775" s="81" t="s">
        <v>144</v>
      </c>
      <c r="D775" s="81" t="s">
        <v>30</v>
      </c>
      <c r="E775" s="81" t="s">
        <v>90</v>
      </c>
      <c r="F775" s="81" t="s">
        <v>30</v>
      </c>
      <c r="G775" s="81" t="s">
        <v>85</v>
      </c>
      <c r="H775" s="81"/>
      <c r="I775" s="81"/>
      <c r="J775" s="81"/>
      <c r="K775" s="81"/>
      <c r="L775" s="81"/>
      <c r="M775" s="82" t="s">
        <v>52</v>
      </c>
      <c r="N775" s="82"/>
      <c r="O775" s="82"/>
      <c r="P775" s="82"/>
      <c r="Q775" s="82"/>
      <c r="R775" s="111">
        <v>45894</v>
      </c>
      <c r="S775" s="82" t="s">
        <v>535</v>
      </c>
      <c r="T775" s="81" t="s">
        <v>144</v>
      </c>
      <c r="U775" s="81" t="s">
        <v>144</v>
      </c>
    </row>
    <row r="776" spans="1:21" x14ac:dyDescent="0.25">
      <c r="A776" s="81"/>
      <c r="B776" s="81"/>
      <c r="C776" s="81" t="s">
        <v>144</v>
      </c>
      <c r="D776" s="81" t="s">
        <v>30</v>
      </c>
      <c r="E776" s="81" t="s">
        <v>2973</v>
      </c>
      <c r="F776" s="81" t="s">
        <v>3274</v>
      </c>
      <c r="G776" s="81" t="s">
        <v>2901</v>
      </c>
      <c r="H776" s="81"/>
      <c r="I776" s="81"/>
      <c r="J776" s="81"/>
      <c r="K776" s="81"/>
      <c r="L776" s="81"/>
      <c r="M776" s="82" t="s">
        <v>52</v>
      </c>
      <c r="N776" s="82"/>
      <c r="O776" s="82"/>
      <c r="P776" s="82"/>
      <c r="Q776" s="82"/>
      <c r="R776" s="111"/>
      <c r="S776" s="82"/>
      <c r="T776" s="81" t="s">
        <v>144</v>
      </c>
      <c r="U776" s="81"/>
    </row>
    <row r="777" spans="1:21" ht="30" x14ac:dyDescent="0.25">
      <c r="A777" s="81"/>
      <c r="B777" s="81"/>
      <c r="C777" s="81" t="s">
        <v>144</v>
      </c>
      <c r="D777" s="81" t="s">
        <v>30</v>
      </c>
      <c r="E777" s="81" t="s">
        <v>2974</v>
      </c>
      <c r="F777" s="81" t="s">
        <v>3274</v>
      </c>
      <c r="G777" s="81" t="s">
        <v>2975</v>
      </c>
      <c r="H777" s="81"/>
      <c r="I777" s="81"/>
      <c r="J777" s="81"/>
      <c r="K777" s="81"/>
      <c r="L777" s="81"/>
      <c r="M777" s="82" t="s">
        <v>52</v>
      </c>
      <c r="N777" s="82"/>
      <c r="O777" s="82"/>
      <c r="P777" s="82"/>
      <c r="Q777" s="82"/>
      <c r="R777" s="111"/>
      <c r="S777" s="82"/>
      <c r="T777" s="81" t="s">
        <v>144</v>
      </c>
      <c r="U777" s="81"/>
    </row>
    <row r="778" spans="1:21" x14ac:dyDescent="0.25">
      <c r="A778" s="81"/>
      <c r="B778" s="81"/>
      <c r="C778" s="81" t="s">
        <v>144</v>
      </c>
      <c r="D778" s="81" t="s">
        <v>30</v>
      </c>
      <c r="E778" s="81" t="s">
        <v>2976</v>
      </c>
      <c r="F778" s="81" t="s">
        <v>3273</v>
      </c>
      <c r="G778" s="81" t="s">
        <v>2977</v>
      </c>
      <c r="H778" s="81"/>
      <c r="I778" s="81"/>
      <c r="J778" s="81"/>
      <c r="K778" s="81"/>
      <c r="L778" s="81"/>
      <c r="M778" s="82" t="s">
        <v>52</v>
      </c>
      <c r="N778" s="82"/>
      <c r="O778" s="82"/>
      <c r="P778" s="82"/>
      <c r="Q778" s="82"/>
      <c r="R778" s="111">
        <v>45903</v>
      </c>
      <c r="S778" s="82" t="s">
        <v>535</v>
      </c>
      <c r="T778" s="81" t="s">
        <v>144</v>
      </c>
      <c r="U778" s="81"/>
    </row>
    <row r="779" spans="1:21" ht="30" x14ac:dyDescent="0.25">
      <c r="A779" s="81"/>
      <c r="B779" s="81"/>
      <c r="C779" s="81" t="s">
        <v>144</v>
      </c>
      <c r="D779" s="81" t="s">
        <v>30</v>
      </c>
      <c r="E779" s="81" t="s">
        <v>2978</v>
      </c>
      <c r="F779" s="81" t="s">
        <v>3274</v>
      </c>
      <c r="G779" s="81" t="s">
        <v>2979</v>
      </c>
      <c r="H779" s="81"/>
      <c r="I779" s="81"/>
      <c r="J779" s="81"/>
      <c r="K779" s="81"/>
      <c r="L779" s="81"/>
      <c r="M779" s="82" t="s">
        <v>52</v>
      </c>
      <c r="N779" s="82"/>
      <c r="O779" s="82"/>
      <c r="P779" s="82"/>
      <c r="Q779" s="82"/>
      <c r="R779" s="111"/>
      <c r="S779" s="82"/>
      <c r="T779" s="81" t="s">
        <v>144</v>
      </c>
      <c r="U779" s="81"/>
    </row>
    <row r="780" spans="1:21" ht="30" x14ac:dyDescent="0.25">
      <c r="A780" s="81"/>
      <c r="B780" s="81"/>
      <c r="C780" s="81" t="s">
        <v>144</v>
      </c>
      <c r="D780" s="81" t="s">
        <v>30</v>
      </c>
      <c r="E780" s="81" t="s">
        <v>2980</v>
      </c>
      <c r="F780" s="81" t="s">
        <v>175</v>
      </c>
      <c r="G780" s="81" t="s">
        <v>2981</v>
      </c>
      <c r="H780" s="81"/>
      <c r="I780" s="81"/>
      <c r="J780" s="81"/>
      <c r="K780" s="81"/>
      <c r="L780" s="81"/>
      <c r="M780" s="82" t="s">
        <v>52</v>
      </c>
      <c r="N780" s="82"/>
      <c r="O780" s="82"/>
      <c r="P780" s="82"/>
      <c r="Q780" s="82"/>
      <c r="R780" s="111"/>
      <c r="S780" s="82"/>
      <c r="T780" s="81" t="s">
        <v>144</v>
      </c>
      <c r="U780" s="81"/>
    </row>
    <row r="781" spans="1:21" ht="30" x14ac:dyDescent="0.25">
      <c r="A781" s="81"/>
      <c r="B781" s="81"/>
      <c r="C781" s="81" t="s">
        <v>144</v>
      </c>
      <c r="D781" s="81" t="s">
        <v>30</v>
      </c>
      <c r="E781" s="81" t="s">
        <v>2982</v>
      </c>
      <c r="F781" s="81" t="s">
        <v>3274</v>
      </c>
      <c r="G781" s="81" t="s">
        <v>2983</v>
      </c>
      <c r="H781" s="81"/>
      <c r="I781" s="81"/>
      <c r="J781" s="81"/>
      <c r="K781" s="81"/>
      <c r="L781" s="81"/>
      <c r="M781" s="82" t="s">
        <v>52</v>
      </c>
      <c r="N781" s="82"/>
      <c r="O781" s="82"/>
      <c r="P781" s="82"/>
      <c r="Q781" s="82"/>
      <c r="R781" s="111"/>
      <c r="S781" s="82"/>
      <c r="T781" s="81" t="s">
        <v>144</v>
      </c>
      <c r="U781" s="81"/>
    </row>
    <row r="782" spans="1:21" x14ac:dyDescent="0.25">
      <c r="A782" s="81"/>
      <c r="B782" s="81"/>
      <c r="C782" s="81" t="s">
        <v>144</v>
      </c>
      <c r="D782" s="81" t="s">
        <v>30</v>
      </c>
      <c r="E782" s="81" t="s">
        <v>2984</v>
      </c>
      <c r="F782" s="81" t="s">
        <v>175</v>
      </c>
      <c r="G782" s="81" t="s">
        <v>2985</v>
      </c>
      <c r="H782" s="81"/>
      <c r="I782" s="81"/>
      <c r="J782" s="81"/>
      <c r="K782" s="81"/>
      <c r="L782" s="81"/>
      <c r="M782" s="82" t="s">
        <v>52</v>
      </c>
      <c r="N782" s="82"/>
      <c r="O782" s="82"/>
      <c r="P782" s="82"/>
      <c r="Q782" s="82"/>
      <c r="R782" s="111"/>
      <c r="S782" s="82"/>
      <c r="T782" s="81" t="s">
        <v>144</v>
      </c>
      <c r="U782" s="81"/>
    </row>
    <row r="783" spans="1:21" ht="30" x14ac:dyDescent="0.25">
      <c r="A783" s="81"/>
      <c r="B783" s="81"/>
      <c r="C783" s="81" t="s">
        <v>144</v>
      </c>
      <c r="D783" s="81" t="s">
        <v>30</v>
      </c>
      <c r="E783" s="81" t="s">
        <v>2986</v>
      </c>
      <c r="F783" s="81" t="s">
        <v>2967</v>
      </c>
      <c r="G783" s="81" t="s">
        <v>2987</v>
      </c>
      <c r="H783" s="81"/>
      <c r="I783" s="81"/>
      <c r="J783" s="81"/>
      <c r="K783" s="81"/>
      <c r="L783" s="81"/>
      <c r="M783" s="82" t="s">
        <v>52</v>
      </c>
      <c r="N783" s="82"/>
      <c r="O783" s="82"/>
      <c r="P783" s="82"/>
      <c r="Q783" s="82"/>
      <c r="R783" s="111"/>
      <c r="S783" s="82"/>
      <c r="T783" s="81" t="s">
        <v>144</v>
      </c>
      <c r="U783" s="81"/>
    </row>
    <row r="784" spans="1:21" x14ac:dyDescent="0.25">
      <c r="A784" s="81"/>
      <c r="B784" s="81"/>
      <c r="C784" s="81" t="s">
        <v>144</v>
      </c>
      <c r="D784" s="81" t="s">
        <v>30</v>
      </c>
      <c r="E784" s="81" t="s">
        <v>2988</v>
      </c>
      <c r="F784" s="81" t="s">
        <v>186</v>
      </c>
      <c r="G784" s="81" t="s">
        <v>2989</v>
      </c>
      <c r="H784" s="81"/>
      <c r="I784" s="81"/>
      <c r="J784" s="81"/>
      <c r="K784" s="81"/>
      <c r="L784" s="81"/>
      <c r="M784" s="82" t="s">
        <v>52</v>
      </c>
      <c r="N784" s="82"/>
      <c r="O784" s="82"/>
      <c r="P784" s="82"/>
      <c r="Q784" s="82"/>
      <c r="R784" s="111"/>
      <c r="S784" s="82"/>
      <c r="T784" s="81" t="s">
        <v>144</v>
      </c>
      <c r="U784" s="81"/>
    </row>
    <row r="785" spans="1:21" ht="75" x14ac:dyDescent="0.25">
      <c r="A785" s="81"/>
      <c r="B785" s="81"/>
      <c r="C785" s="81" t="s">
        <v>144</v>
      </c>
      <c r="D785" s="81" t="s">
        <v>30</v>
      </c>
      <c r="E785" s="81" t="s">
        <v>2990</v>
      </c>
      <c r="F785" s="81" t="s">
        <v>2967</v>
      </c>
      <c r="G785" s="81" t="s">
        <v>2991</v>
      </c>
      <c r="H785" s="81"/>
      <c r="I785" s="81"/>
      <c r="J785" s="81"/>
      <c r="K785" s="81"/>
      <c r="L785" s="81"/>
      <c r="M785" s="82" t="s">
        <v>52</v>
      </c>
      <c r="N785" s="82"/>
      <c r="O785" s="82"/>
      <c r="P785" s="82"/>
      <c r="Q785" s="82" t="s">
        <v>2992</v>
      </c>
      <c r="R785" s="111">
        <v>45917</v>
      </c>
      <c r="S785" s="82" t="s">
        <v>535</v>
      </c>
      <c r="T785" s="81" t="s">
        <v>144</v>
      </c>
      <c r="U785" s="81"/>
    </row>
    <row r="786" spans="1:21" x14ac:dyDescent="0.25">
      <c r="A786" s="81"/>
      <c r="B786" s="81"/>
      <c r="C786" s="81" t="s">
        <v>144</v>
      </c>
      <c r="D786" s="81" t="s">
        <v>30</v>
      </c>
      <c r="E786" s="81" t="s">
        <v>2993</v>
      </c>
      <c r="F786" s="81" t="s">
        <v>186</v>
      </c>
      <c r="G786" s="81" t="s">
        <v>2994</v>
      </c>
      <c r="H786" s="81"/>
      <c r="I786" s="81"/>
      <c r="J786" s="81"/>
      <c r="K786" s="81"/>
      <c r="L786" s="81"/>
      <c r="M786" s="82" t="s">
        <v>52</v>
      </c>
      <c r="N786" s="82"/>
      <c r="O786" s="82"/>
      <c r="P786" s="82"/>
      <c r="Q786" s="82" t="s">
        <v>2995</v>
      </c>
      <c r="R786" s="111">
        <v>45918</v>
      </c>
      <c r="S786" s="82" t="s">
        <v>535</v>
      </c>
      <c r="T786" s="81" t="s">
        <v>144</v>
      </c>
      <c r="U786" s="81"/>
    </row>
    <row r="787" spans="1:21" ht="30" x14ac:dyDescent="0.25">
      <c r="A787" s="81"/>
      <c r="B787" s="81"/>
      <c r="C787" s="81" t="s">
        <v>144</v>
      </c>
      <c r="D787" s="81" t="s">
        <v>30</v>
      </c>
      <c r="E787" s="81" t="s">
        <v>2996</v>
      </c>
      <c r="F787" s="81" t="s">
        <v>186</v>
      </c>
      <c r="G787" s="81" t="s">
        <v>2997</v>
      </c>
      <c r="H787" s="81"/>
      <c r="I787" s="81"/>
      <c r="J787" s="81"/>
      <c r="K787" s="81"/>
      <c r="L787" s="81"/>
      <c r="M787" s="82" t="s">
        <v>52</v>
      </c>
      <c r="N787" s="82"/>
      <c r="O787" s="82"/>
      <c r="P787" s="82"/>
      <c r="Q787" s="82" t="s">
        <v>2998</v>
      </c>
      <c r="R787" s="111">
        <v>45918</v>
      </c>
      <c r="S787" s="82" t="s">
        <v>535</v>
      </c>
      <c r="T787" s="81" t="s">
        <v>144</v>
      </c>
      <c r="U787" s="81"/>
    </row>
    <row r="788" spans="1:21" x14ac:dyDescent="0.25">
      <c r="A788" s="81"/>
      <c r="B788" s="81"/>
      <c r="C788" s="81" t="s">
        <v>144</v>
      </c>
      <c r="D788" s="81" t="s">
        <v>30</v>
      </c>
      <c r="E788" s="81" t="s">
        <v>2999</v>
      </c>
      <c r="F788" s="81" t="s">
        <v>186</v>
      </c>
      <c r="G788" s="81" t="s">
        <v>3000</v>
      </c>
      <c r="H788" s="81"/>
      <c r="I788" s="81"/>
      <c r="J788" s="81"/>
      <c r="K788" s="81"/>
      <c r="L788" s="81"/>
      <c r="M788" s="82" t="s">
        <v>52</v>
      </c>
      <c r="N788" s="82"/>
      <c r="O788" s="82"/>
      <c r="P788" s="82"/>
      <c r="Q788" s="82" t="s">
        <v>3001</v>
      </c>
      <c r="R788" s="111">
        <v>45919</v>
      </c>
      <c r="S788" s="82" t="s">
        <v>535</v>
      </c>
      <c r="T788" s="81" t="s">
        <v>144</v>
      </c>
      <c r="U788" s="81"/>
    </row>
    <row r="789" spans="1:21" x14ac:dyDescent="0.25">
      <c r="A789" s="81"/>
      <c r="B789" s="81"/>
      <c r="C789" s="81" t="s">
        <v>144</v>
      </c>
      <c r="D789" s="81" t="s">
        <v>30</v>
      </c>
      <c r="E789" s="81" t="s">
        <v>3002</v>
      </c>
      <c r="F789" s="81" t="s">
        <v>2967</v>
      </c>
      <c r="G789" s="81" t="s">
        <v>3003</v>
      </c>
      <c r="H789" s="81"/>
      <c r="I789" s="81"/>
      <c r="J789" s="81"/>
      <c r="K789" s="81"/>
      <c r="L789" s="81"/>
      <c r="M789" s="82" t="s">
        <v>52</v>
      </c>
      <c r="N789" s="82"/>
      <c r="O789" s="82"/>
      <c r="P789" s="82"/>
      <c r="Q789" s="82" t="s">
        <v>3004</v>
      </c>
      <c r="R789" s="111">
        <v>45922</v>
      </c>
      <c r="S789" s="82" t="s">
        <v>535</v>
      </c>
      <c r="T789" s="81" t="s">
        <v>144</v>
      </c>
      <c r="U789" s="81"/>
    </row>
    <row r="790" spans="1:21" x14ac:dyDescent="0.25">
      <c r="A790" s="81"/>
      <c r="B790" s="81"/>
      <c r="C790" s="81" t="s">
        <v>144</v>
      </c>
      <c r="D790" s="81" t="s">
        <v>30</v>
      </c>
      <c r="E790" s="81" t="s">
        <v>3005</v>
      </c>
      <c r="F790" s="81" t="s">
        <v>2967</v>
      </c>
      <c r="G790" s="81" t="s">
        <v>3006</v>
      </c>
      <c r="H790" s="81"/>
      <c r="I790" s="81"/>
      <c r="J790" s="81"/>
      <c r="K790" s="81"/>
      <c r="L790" s="81"/>
      <c r="M790" s="82" t="s">
        <v>52</v>
      </c>
      <c r="N790" s="82"/>
      <c r="O790" s="82"/>
      <c r="P790" s="82"/>
      <c r="Q790" s="82" t="s">
        <v>3007</v>
      </c>
      <c r="R790" s="111">
        <v>45922</v>
      </c>
      <c r="S790" s="82" t="s">
        <v>535</v>
      </c>
      <c r="T790" s="81" t="s">
        <v>144</v>
      </c>
      <c r="U790" s="81"/>
    </row>
    <row r="791" spans="1:21" x14ac:dyDescent="0.25">
      <c r="A791" s="81"/>
      <c r="B791" s="81"/>
      <c r="C791" s="81" t="s">
        <v>144</v>
      </c>
      <c r="D791" s="81" t="s">
        <v>30</v>
      </c>
      <c r="E791" s="81" t="s">
        <v>3008</v>
      </c>
      <c r="F791" s="81" t="s">
        <v>179</v>
      </c>
      <c r="G791" s="81" t="s">
        <v>3009</v>
      </c>
      <c r="H791" s="81"/>
      <c r="I791" s="81"/>
      <c r="J791" s="81"/>
      <c r="K791" s="81"/>
      <c r="L791" s="81"/>
      <c r="M791" s="82" t="s">
        <v>52</v>
      </c>
      <c r="N791" s="82"/>
      <c r="O791" s="82"/>
      <c r="P791" s="82"/>
      <c r="Q791" s="82"/>
      <c r="R791" s="111"/>
      <c r="S791" s="82"/>
      <c r="T791" s="81" t="s">
        <v>144</v>
      </c>
      <c r="U791" s="81"/>
    </row>
    <row r="792" spans="1:21" x14ac:dyDescent="0.25">
      <c r="A792" s="81"/>
      <c r="B792" s="81"/>
      <c r="C792" s="81" t="s">
        <v>144</v>
      </c>
      <c r="D792" s="81" t="s">
        <v>30</v>
      </c>
      <c r="E792" s="81" t="s">
        <v>3010</v>
      </c>
      <c r="F792" s="81" t="s">
        <v>2967</v>
      </c>
      <c r="G792" s="81" t="s">
        <v>3011</v>
      </c>
      <c r="H792" s="81"/>
      <c r="I792" s="81"/>
      <c r="J792" s="81"/>
      <c r="K792" s="81"/>
      <c r="L792" s="81"/>
      <c r="M792" s="82" t="s">
        <v>52</v>
      </c>
      <c r="N792" s="82"/>
      <c r="O792" s="82"/>
      <c r="P792" s="82"/>
      <c r="Q792" s="82" t="s">
        <v>3012</v>
      </c>
      <c r="R792" s="111">
        <v>45944</v>
      </c>
      <c r="S792" s="82" t="s">
        <v>23</v>
      </c>
      <c r="T792" s="81" t="s">
        <v>144</v>
      </c>
      <c r="U792" s="81"/>
    </row>
    <row r="793" spans="1:21" ht="45" x14ac:dyDescent="0.25">
      <c r="A793" s="81"/>
      <c r="B793" s="81"/>
      <c r="C793" s="81" t="s">
        <v>144</v>
      </c>
      <c r="D793" s="81" t="s">
        <v>30</v>
      </c>
      <c r="E793" s="81" t="s">
        <v>3013</v>
      </c>
      <c r="F793" s="81" t="s">
        <v>2967</v>
      </c>
      <c r="G793" s="81" t="s">
        <v>3014</v>
      </c>
      <c r="H793" s="81"/>
      <c r="I793" s="81"/>
      <c r="J793" s="81"/>
      <c r="K793" s="81"/>
      <c r="L793" s="81"/>
      <c r="M793" s="82" t="s">
        <v>52</v>
      </c>
      <c r="N793" s="82"/>
      <c r="O793" s="82"/>
      <c r="P793" s="82"/>
      <c r="Q793" s="82" t="s">
        <v>3015</v>
      </c>
      <c r="R793" s="111">
        <v>45945</v>
      </c>
      <c r="S793" s="82" t="s">
        <v>23</v>
      </c>
      <c r="T793" s="81" t="s">
        <v>144</v>
      </c>
      <c r="U793" s="81"/>
    </row>
    <row r="794" spans="1:21" x14ac:dyDescent="0.25">
      <c r="A794" s="81"/>
      <c r="B794" s="81"/>
      <c r="C794" s="81" t="s">
        <v>144</v>
      </c>
      <c r="D794" s="81" t="s">
        <v>30</v>
      </c>
      <c r="E794" s="81" t="s">
        <v>3016</v>
      </c>
      <c r="F794" s="81" t="s">
        <v>184</v>
      </c>
      <c r="G794" s="81" t="s">
        <v>3017</v>
      </c>
      <c r="H794" s="81"/>
      <c r="I794" s="81"/>
      <c r="J794" s="81"/>
      <c r="K794" s="81"/>
      <c r="L794" s="81"/>
      <c r="M794" s="82" t="s">
        <v>52</v>
      </c>
      <c r="N794" s="82"/>
      <c r="O794" s="82"/>
      <c r="P794" s="82"/>
      <c r="Q794" s="82" t="s">
        <v>3018</v>
      </c>
      <c r="R794" s="111">
        <v>45945</v>
      </c>
      <c r="S794" s="82" t="s">
        <v>23</v>
      </c>
      <c r="T794" s="81" t="s">
        <v>144</v>
      </c>
      <c r="U794" s="81"/>
    </row>
    <row r="795" spans="1:21" ht="75" x14ac:dyDescent="0.25">
      <c r="A795" s="81"/>
      <c r="B795" s="81"/>
      <c r="C795" s="81" t="s">
        <v>144</v>
      </c>
      <c r="D795" s="81" t="s">
        <v>30</v>
      </c>
      <c r="E795" s="81" t="s">
        <v>3019</v>
      </c>
      <c r="F795" s="81" t="s">
        <v>2967</v>
      </c>
      <c r="G795" s="81" t="s">
        <v>3020</v>
      </c>
      <c r="H795" s="81"/>
      <c r="I795" s="81"/>
      <c r="J795" s="81"/>
      <c r="K795" s="81"/>
      <c r="L795" s="81"/>
      <c r="M795" s="82" t="s">
        <v>52</v>
      </c>
      <c r="N795" s="82"/>
      <c r="O795" s="82"/>
      <c r="P795" s="82"/>
      <c r="Q795" s="82" t="s">
        <v>3021</v>
      </c>
      <c r="R795" s="111">
        <v>45945</v>
      </c>
      <c r="S795" s="82" t="s">
        <v>23</v>
      </c>
      <c r="T795" s="81" t="s">
        <v>144</v>
      </c>
      <c r="U795" s="81"/>
    </row>
    <row r="796" spans="1:21" ht="30" x14ac:dyDescent="0.25">
      <c r="A796" s="81"/>
      <c r="B796" s="81"/>
      <c r="C796" s="81" t="s">
        <v>144</v>
      </c>
      <c r="D796" s="81" t="s">
        <v>30</v>
      </c>
      <c r="E796" s="81" t="s">
        <v>3022</v>
      </c>
      <c r="F796" s="81" t="s">
        <v>2967</v>
      </c>
      <c r="G796" s="81" t="s">
        <v>3023</v>
      </c>
      <c r="H796" s="81"/>
      <c r="I796" s="81"/>
      <c r="J796" s="81"/>
      <c r="K796" s="81"/>
      <c r="L796" s="81"/>
      <c r="M796" s="82" t="s">
        <v>52</v>
      </c>
      <c r="N796" s="82"/>
      <c r="O796" s="82"/>
      <c r="P796" s="82"/>
      <c r="Q796" s="82" t="s">
        <v>3024</v>
      </c>
      <c r="R796" s="111">
        <v>45946</v>
      </c>
      <c r="S796" s="82" t="s">
        <v>227</v>
      </c>
      <c r="T796" s="81" t="s">
        <v>144</v>
      </c>
      <c r="U796" s="81"/>
    </row>
    <row r="797" spans="1:21" ht="30" x14ac:dyDescent="0.25">
      <c r="A797" s="81"/>
      <c r="B797" s="81"/>
      <c r="C797" s="81" t="s">
        <v>144</v>
      </c>
      <c r="D797" s="81" t="s">
        <v>30</v>
      </c>
      <c r="E797" s="81" t="s">
        <v>3025</v>
      </c>
      <c r="F797" s="81" t="s">
        <v>2967</v>
      </c>
      <c r="G797" s="81" t="s">
        <v>3026</v>
      </c>
      <c r="H797" s="81"/>
      <c r="I797" s="81"/>
      <c r="J797" s="81"/>
      <c r="K797" s="81"/>
      <c r="L797" s="81"/>
      <c r="M797" s="82" t="s">
        <v>52</v>
      </c>
      <c r="N797" s="82"/>
      <c r="O797" s="82"/>
      <c r="P797" s="82"/>
      <c r="Q797" s="82" t="s">
        <v>3024</v>
      </c>
      <c r="R797" s="111">
        <v>45946</v>
      </c>
      <c r="S797" s="82" t="s">
        <v>227</v>
      </c>
      <c r="T797" s="81" t="s">
        <v>144</v>
      </c>
      <c r="U797" s="81"/>
    </row>
    <row r="798" spans="1:21" ht="30" x14ac:dyDescent="0.25">
      <c r="A798" s="81"/>
      <c r="B798" s="81"/>
      <c r="C798" s="81" t="s">
        <v>144</v>
      </c>
      <c r="D798" s="81" t="s">
        <v>143</v>
      </c>
      <c r="E798" s="81" t="s">
        <v>763</v>
      </c>
      <c r="F798" s="81" t="s">
        <v>161</v>
      </c>
      <c r="G798" s="81" t="s">
        <v>764</v>
      </c>
      <c r="H798" s="81"/>
      <c r="I798" s="81"/>
      <c r="J798" s="81"/>
      <c r="K798" s="81"/>
      <c r="L798" s="81"/>
      <c r="M798" s="82" t="s">
        <v>43</v>
      </c>
      <c r="N798" s="82"/>
      <c r="O798" s="82"/>
      <c r="P798" s="82"/>
      <c r="Q798" s="82"/>
      <c r="R798" s="111"/>
      <c r="S798" s="82"/>
      <c r="T798" s="81" t="s">
        <v>144</v>
      </c>
      <c r="U798" s="81"/>
    </row>
    <row r="799" spans="1:21" x14ac:dyDescent="0.25">
      <c r="A799" s="81"/>
      <c r="B799" s="81"/>
      <c r="C799" s="81" t="s">
        <v>144</v>
      </c>
      <c r="D799" s="81" t="s">
        <v>143</v>
      </c>
      <c r="E799" s="81" t="s">
        <v>765</v>
      </c>
      <c r="F799" s="81" t="s">
        <v>148</v>
      </c>
      <c r="G799" s="81" t="s">
        <v>766</v>
      </c>
      <c r="H799" s="81"/>
      <c r="I799" s="81"/>
      <c r="J799" s="81"/>
      <c r="K799" s="81"/>
      <c r="L799" s="81"/>
      <c r="M799" s="82" t="s">
        <v>43</v>
      </c>
      <c r="N799" s="82"/>
      <c r="O799" s="82"/>
      <c r="P799" s="82"/>
      <c r="Q799" s="82"/>
      <c r="R799" s="111"/>
      <c r="S799" s="82"/>
      <c r="T799" s="81" t="s">
        <v>144</v>
      </c>
      <c r="U799" s="81"/>
    </row>
    <row r="800" spans="1:21" ht="30" x14ac:dyDescent="0.25">
      <c r="A800" s="81"/>
      <c r="B800" s="81"/>
      <c r="C800" s="81" t="s">
        <v>144</v>
      </c>
      <c r="D800" s="81" t="s">
        <v>143</v>
      </c>
      <c r="E800" s="81" t="s">
        <v>767</v>
      </c>
      <c r="F800" s="81" t="s">
        <v>166</v>
      </c>
      <c r="G800" s="81" t="s">
        <v>768</v>
      </c>
      <c r="H800" s="81"/>
      <c r="I800" s="81"/>
      <c r="J800" s="81"/>
      <c r="K800" s="81"/>
      <c r="L800" s="81"/>
      <c r="M800" s="82" t="s">
        <v>43</v>
      </c>
      <c r="N800" s="82"/>
      <c r="O800" s="82"/>
      <c r="P800" s="82"/>
      <c r="Q800" s="82"/>
      <c r="R800" s="111"/>
      <c r="S800" s="82"/>
      <c r="T800" s="81" t="s">
        <v>144</v>
      </c>
      <c r="U800" s="81"/>
    </row>
    <row r="801" spans="1:21" ht="30" x14ac:dyDescent="0.25">
      <c r="A801" s="81"/>
      <c r="B801" s="81"/>
      <c r="C801" s="81" t="s">
        <v>144</v>
      </c>
      <c r="D801" s="81" t="s">
        <v>143</v>
      </c>
      <c r="E801" s="81" t="s">
        <v>769</v>
      </c>
      <c r="F801" s="81" t="s">
        <v>166</v>
      </c>
      <c r="G801" s="81" t="s">
        <v>770</v>
      </c>
      <c r="H801" s="81"/>
      <c r="I801" s="81"/>
      <c r="J801" s="81"/>
      <c r="K801" s="81"/>
      <c r="L801" s="81"/>
      <c r="M801" s="82" t="s">
        <v>43</v>
      </c>
      <c r="N801" s="82"/>
      <c r="O801" s="82"/>
      <c r="P801" s="82"/>
      <c r="Q801" s="82"/>
      <c r="R801" s="111"/>
      <c r="S801" s="82"/>
      <c r="T801" s="81" t="s">
        <v>144</v>
      </c>
      <c r="U801" s="81"/>
    </row>
    <row r="802" spans="1:21" x14ac:dyDescent="0.25">
      <c r="A802" s="81"/>
      <c r="B802" s="81"/>
      <c r="C802" s="81" t="s">
        <v>144</v>
      </c>
      <c r="D802" s="81" t="s">
        <v>143</v>
      </c>
      <c r="E802" s="81" t="s">
        <v>194</v>
      </c>
      <c r="F802" s="81" t="s">
        <v>166</v>
      </c>
      <c r="G802" s="81" t="s">
        <v>195</v>
      </c>
      <c r="H802" s="81"/>
      <c r="I802" s="81"/>
      <c r="J802" s="81"/>
      <c r="K802" s="81"/>
      <c r="L802" s="81"/>
      <c r="M802" s="82" t="s">
        <v>43</v>
      </c>
      <c r="N802" s="82"/>
      <c r="O802" s="82"/>
      <c r="P802" s="82"/>
      <c r="Q802" s="82"/>
      <c r="R802" s="111"/>
      <c r="S802" s="82"/>
      <c r="T802" s="81" t="s">
        <v>144</v>
      </c>
      <c r="U802" s="81"/>
    </row>
    <row r="803" spans="1:21" x14ac:dyDescent="0.25">
      <c r="A803" s="81"/>
      <c r="B803" s="81"/>
      <c r="C803" s="81" t="s">
        <v>144</v>
      </c>
      <c r="D803" s="81" t="s">
        <v>143</v>
      </c>
      <c r="E803" s="81" t="s">
        <v>771</v>
      </c>
      <c r="F803" s="81" t="s">
        <v>148</v>
      </c>
      <c r="G803" s="81" t="s">
        <v>772</v>
      </c>
      <c r="H803" s="81"/>
      <c r="I803" s="81"/>
      <c r="J803" s="81"/>
      <c r="K803" s="81"/>
      <c r="L803" s="81"/>
      <c r="M803" s="82" t="s">
        <v>43</v>
      </c>
      <c r="N803" s="82"/>
      <c r="O803" s="82"/>
      <c r="P803" s="82"/>
      <c r="Q803" s="82"/>
      <c r="R803" s="111"/>
      <c r="S803" s="82"/>
      <c r="T803" s="81" t="s">
        <v>144</v>
      </c>
      <c r="U803" s="81"/>
    </row>
    <row r="804" spans="1:21" x14ac:dyDescent="0.25">
      <c r="A804" s="81"/>
      <c r="B804" s="81"/>
      <c r="C804" s="81" t="s">
        <v>144</v>
      </c>
      <c r="D804" s="81" t="s">
        <v>143</v>
      </c>
      <c r="E804" s="81" t="s">
        <v>773</v>
      </c>
      <c r="F804" s="81" t="s">
        <v>166</v>
      </c>
      <c r="G804" s="81" t="s">
        <v>774</v>
      </c>
      <c r="H804" s="81"/>
      <c r="I804" s="81"/>
      <c r="J804" s="81"/>
      <c r="K804" s="81"/>
      <c r="L804" s="81"/>
      <c r="M804" s="82" t="s">
        <v>43</v>
      </c>
      <c r="N804" s="82"/>
      <c r="O804" s="82"/>
      <c r="P804" s="82"/>
      <c r="Q804" s="82"/>
      <c r="R804" s="111"/>
      <c r="S804" s="82"/>
      <c r="T804" s="81" t="s">
        <v>144</v>
      </c>
      <c r="U804" s="81"/>
    </row>
    <row r="805" spans="1:21" ht="30" x14ac:dyDescent="0.25">
      <c r="A805" s="81"/>
      <c r="B805" s="81"/>
      <c r="C805" s="81" t="s">
        <v>144</v>
      </c>
      <c r="D805" s="81" t="s">
        <v>143</v>
      </c>
      <c r="E805" s="81" t="s">
        <v>775</v>
      </c>
      <c r="F805" s="81" t="s">
        <v>166</v>
      </c>
      <c r="G805" s="81" t="s">
        <v>776</v>
      </c>
      <c r="H805" s="81"/>
      <c r="I805" s="81"/>
      <c r="J805" s="81"/>
      <c r="K805" s="81"/>
      <c r="L805" s="81"/>
      <c r="M805" s="82" t="s">
        <v>43</v>
      </c>
      <c r="N805" s="82"/>
      <c r="O805" s="82"/>
      <c r="P805" s="82"/>
      <c r="Q805" s="82"/>
      <c r="R805" s="111"/>
      <c r="S805" s="82"/>
      <c r="T805" s="81" t="s">
        <v>144</v>
      </c>
      <c r="U805" s="81"/>
    </row>
    <row r="806" spans="1:21" ht="30" x14ac:dyDescent="0.25">
      <c r="A806" s="81"/>
      <c r="B806" s="81"/>
      <c r="C806" s="81" t="s">
        <v>144</v>
      </c>
      <c r="D806" s="81" t="s">
        <v>143</v>
      </c>
      <c r="E806" s="81" t="s">
        <v>777</v>
      </c>
      <c r="F806" s="81" t="s">
        <v>262</v>
      </c>
      <c r="G806" s="81" t="s">
        <v>778</v>
      </c>
      <c r="H806" s="81"/>
      <c r="I806" s="81"/>
      <c r="J806" s="81"/>
      <c r="K806" s="81"/>
      <c r="L806" s="81"/>
      <c r="M806" s="82" t="s">
        <v>43</v>
      </c>
      <c r="N806" s="82"/>
      <c r="O806" s="82"/>
      <c r="P806" s="82"/>
      <c r="Q806" s="82"/>
      <c r="R806" s="111"/>
      <c r="S806" s="82"/>
      <c r="T806" s="81" t="s">
        <v>144</v>
      </c>
      <c r="U806" s="81"/>
    </row>
    <row r="807" spans="1:21" ht="30" x14ac:dyDescent="0.25">
      <c r="A807" s="81"/>
      <c r="B807" s="81"/>
      <c r="C807" s="81" t="s">
        <v>144</v>
      </c>
      <c r="D807" s="81" t="s">
        <v>143</v>
      </c>
      <c r="E807" s="81" t="s">
        <v>779</v>
      </c>
      <c r="F807" s="81" t="s">
        <v>166</v>
      </c>
      <c r="G807" s="81" t="s">
        <v>780</v>
      </c>
      <c r="H807" s="81"/>
      <c r="I807" s="81"/>
      <c r="J807" s="81"/>
      <c r="K807" s="81"/>
      <c r="L807" s="81"/>
      <c r="M807" s="82" t="s">
        <v>43</v>
      </c>
      <c r="N807" s="82"/>
      <c r="O807" s="82"/>
      <c r="P807" s="82"/>
      <c r="Q807" s="82"/>
      <c r="R807" s="111"/>
      <c r="S807" s="82"/>
      <c r="T807" s="81" t="s">
        <v>144</v>
      </c>
      <c r="U807" s="81"/>
    </row>
    <row r="808" spans="1:21" ht="30" x14ac:dyDescent="0.25">
      <c r="A808" s="81"/>
      <c r="B808" s="81"/>
      <c r="C808" s="81" t="s">
        <v>144</v>
      </c>
      <c r="D808" s="81" t="s">
        <v>143</v>
      </c>
      <c r="E808" s="81" t="s">
        <v>781</v>
      </c>
      <c r="F808" s="81" t="s">
        <v>166</v>
      </c>
      <c r="G808" s="81" t="s">
        <v>782</v>
      </c>
      <c r="H808" s="81"/>
      <c r="I808" s="81"/>
      <c r="J808" s="81"/>
      <c r="K808" s="81"/>
      <c r="L808" s="81"/>
      <c r="M808" s="82" t="s">
        <v>43</v>
      </c>
      <c r="N808" s="82"/>
      <c r="O808" s="82"/>
      <c r="P808" s="82"/>
      <c r="Q808" s="82"/>
      <c r="R808" s="111"/>
      <c r="S808" s="82"/>
      <c r="T808" s="81" t="s">
        <v>144</v>
      </c>
      <c r="U808" s="81" t="s">
        <v>3304</v>
      </c>
    </row>
    <row r="809" spans="1:21" ht="30" x14ac:dyDescent="0.25">
      <c r="A809" s="81"/>
      <c r="B809" s="81"/>
      <c r="C809" s="81" t="s">
        <v>144</v>
      </c>
      <c r="D809" s="81" t="s">
        <v>143</v>
      </c>
      <c r="E809" s="81" t="s">
        <v>783</v>
      </c>
      <c r="F809" s="81" t="s">
        <v>148</v>
      </c>
      <c r="G809" s="81" t="s">
        <v>784</v>
      </c>
      <c r="H809" s="81"/>
      <c r="I809" s="81"/>
      <c r="J809" s="81"/>
      <c r="K809" s="81"/>
      <c r="L809" s="81"/>
      <c r="M809" s="82" t="s">
        <v>43</v>
      </c>
      <c r="N809" s="82"/>
      <c r="O809" s="82"/>
      <c r="P809" s="82"/>
      <c r="Q809" s="82" t="s">
        <v>785</v>
      </c>
      <c r="R809" s="111">
        <v>45833</v>
      </c>
      <c r="S809" s="82" t="s">
        <v>786</v>
      </c>
      <c r="T809" s="81" t="s">
        <v>144</v>
      </c>
      <c r="U809" s="81" t="s">
        <v>144</v>
      </c>
    </row>
    <row r="810" spans="1:21" ht="45" x14ac:dyDescent="0.25">
      <c r="A810" s="81"/>
      <c r="B810" s="81"/>
      <c r="C810" s="81" t="s">
        <v>144</v>
      </c>
      <c r="D810" s="81" t="s">
        <v>143</v>
      </c>
      <c r="E810" s="81" t="s">
        <v>787</v>
      </c>
      <c r="F810" s="81" t="s">
        <v>148</v>
      </c>
      <c r="G810" s="81" t="s">
        <v>788</v>
      </c>
      <c r="H810" s="81"/>
      <c r="I810" s="81"/>
      <c r="J810" s="81"/>
      <c r="K810" s="81"/>
      <c r="L810" s="81"/>
      <c r="M810" s="82" t="s">
        <v>43</v>
      </c>
      <c r="N810" s="82"/>
      <c r="O810" s="82"/>
      <c r="P810" s="82"/>
      <c r="Q810" s="82" t="s">
        <v>789</v>
      </c>
      <c r="R810" s="111">
        <v>45824</v>
      </c>
      <c r="S810" s="82" t="s">
        <v>20</v>
      </c>
      <c r="T810" s="81" t="s">
        <v>144</v>
      </c>
      <c r="U810" s="81" t="s">
        <v>144</v>
      </c>
    </row>
    <row r="811" spans="1:21" x14ac:dyDescent="0.25">
      <c r="A811" s="81"/>
      <c r="B811" s="81"/>
      <c r="C811" s="81" t="s">
        <v>144</v>
      </c>
      <c r="D811" s="81" t="s">
        <v>143</v>
      </c>
      <c r="E811" s="81" t="s">
        <v>790</v>
      </c>
      <c r="F811" s="81" t="s">
        <v>148</v>
      </c>
      <c r="G811" s="81" t="s">
        <v>791</v>
      </c>
      <c r="H811" s="81"/>
      <c r="I811" s="81"/>
      <c r="J811" s="81"/>
      <c r="K811" s="81"/>
      <c r="L811" s="81"/>
      <c r="M811" s="82" t="s">
        <v>43</v>
      </c>
      <c r="N811" s="82"/>
      <c r="O811" s="82"/>
      <c r="P811" s="82"/>
      <c r="Q811" s="82"/>
      <c r="R811" s="111"/>
      <c r="S811" s="82"/>
      <c r="T811" s="81" t="s">
        <v>144</v>
      </c>
      <c r="U811" s="81" t="s">
        <v>144</v>
      </c>
    </row>
    <row r="812" spans="1:21" x14ac:dyDescent="0.25">
      <c r="A812" s="81"/>
      <c r="B812" s="81" t="s">
        <v>8</v>
      </c>
      <c r="C812" s="81" t="s">
        <v>144</v>
      </c>
      <c r="D812" s="81" t="s">
        <v>143</v>
      </c>
      <c r="E812" s="81" t="s">
        <v>792</v>
      </c>
      <c r="F812" s="81" t="s">
        <v>161</v>
      </c>
      <c r="G812" s="81" t="s">
        <v>793</v>
      </c>
      <c r="H812" s="81"/>
      <c r="I812" s="81"/>
      <c r="J812" s="81"/>
      <c r="K812" s="81"/>
      <c r="L812" s="81"/>
      <c r="M812" s="82" t="s">
        <v>43</v>
      </c>
      <c r="N812" s="82"/>
      <c r="O812" s="82"/>
      <c r="P812" s="82"/>
      <c r="Q812" s="82"/>
      <c r="R812" s="111"/>
      <c r="S812" s="82"/>
      <c r="T812" s="81" t="s">
        <v>144</v>
      </c>
      <c r="U812" s="81" t="s">
        <v>144</v>
      </c>
    </row>
    <row r="813" spans="1:21" x14ac:dyDescent="0.25">
      <c r="A813" s="81"/>
      <c r="B813" s="81" t="s">
        <v>8</v>
      </c>
      <c r="C813" s="81" t="s">
        <v>144</v>
      </c>
      <c r="D813" s="81" t="s">
        <v>143</v>
      </c>
      <c r="E813" s="81" t="s">
        <v>794</v>
      </c>
      <c r="F813" s="81" t="s">
        <v>262</v>
      </c>
      <c r="G813" s="81" t="s">
        <v>795</v>
      </c>
      <c r="H813" s="81"/>
      <c r="I813" s="81"/>
      <c r="J813" s="81"/>
      <c r="K813" s="81"/>
      <c r="L813" s="81"/>
      <c r="M813" s="82" t="s">
        <v>43</v>
      </c>
      <c r="N813" s="82"/>
      <c r="O813" s="82"/>
      <c r="P813" s="82"/>
      <c r="Q813" s="82" t="s">
        <v>725</v>
      </c>
      <c r="R813" s="111">
        <v>45771</v>
      </c>
      <c r="S813" s="82" t="s">
        <v>23</v>
      </c>
      <c r="T813" s="81" t="s">
        <v>144</v>
      </c>
      <c r="U813" s="81" t="s">
        <v>144</v>
      </c>
    </row>
    <row r="814" spans="1:21" ht="30" x14ac:dyDescent="0.25">
      <c r="A814" s="81"/>
      <c r="B814" s="81" t="s">
        <v>8</v>
      </c>
      <c r="C814" s="81" t="s">
        <v>144</v>
      </c>
      <c r="D814" s="81" t="s">
        <v>143</v>
      </c>
      <c r="E814" s="81" t="s">
        <v>796</v>
      </c>
      <c r="F814" s="81" t="s">
        <v>161</v>
      </c>
      <c r="G814" s="81" t="s">
        <v>797</v>
      </c>
      <c r="H814" s="81"/>
      <c r="I814" s="81"/>
      <c r="J814" s="81"/>
      <c r="K814" s="81"/>
      <c r="L814" s="81"/>
      <c r="M814" s="82" t="s">
        <v>43</v>
      </c>
      <c r="N814" s="82"/>
      <c r="O814" s="82"/>
      <c r="P814" s="82"/>
      <c r="Q814" s="82"/>
      <c r="R814" s="111">
        <v>45798</v>
      </c>
      <c r="S814" s="82" t="s">
        <v>623</v>
      </c>
      <c r="T814" s="81" t="s">
        <v>144</v>
      </c>
      <c r="U814" s="81" t="s">
        <v>144</v>
      </c>
    </row>
    <row r="815" spans="1:21" ht="30" x14ac:dyDescent="0.25">
      <c r="A815" s="81"/>
      <c r="B815" s="81"/>
      <c r="C815" s="81" t="s">
        <v>144</v>
      </c>
      <c r="D815" s="81" t="s">
        <v>143</v>
      </c>
      <c r="E815" s="81" t="s">
        <v>798</v>
      </c>
      <c r="F815" s="81" t="s">
        <v>163</v>
      </c>
      <c r="G815" s="81" t="s">
        <v>799</v>
      </c>
      <c r="H815" s="81"/>
      <c r="I815" s="81"/>
      <c r="J815" s="81"/>
      <c r="K815" s="81"/>
      <c r="L815" s="81"/>
      <c r="M815" s="82" t="s">
        <v>43</v>
      </c>
      <c r="N815" s="82"/>
      <c r="O815" s="82"/>
      <c r="P815" s="82"/>
      <c r="Q815" s="82"/>
      <c r="R815" s="111"/>
      <c r="S815" s="82" t="s">
        <v>614</v>
      </c>
      <c r="T815" s="81" t="s">
        <v>144</v>
      </c>
      <c r="U815" s="81" t="s">
        <v>144</v>
      </c>
    </row>
    <row r="816" spans="1:21" x14ac:dyDescent="0.25">
      <c r="A816" s="81"/>
      <c r="B816" s="81" t="s">
        <v>8</v>
      </c>
      <c r="C816" s="81" t="s">
        <v>144</v>
      </c>
      <c r="D816" s="81" t="s">
        <v>143</v>
      </c>
      <c r="E816" s="81" t="s">
        <v>800</v>
      </c>
      <c r="F816" s="81" t="s">
        <v>166</v>
      </c>
      <c r="G816" s="81" t="s">
        <v>801</v>
      </c>
      <c r="H816" s="81"/>
      <c r="I816" s="81"/>
      <c r="J816" s="81"/>
      <c r="K816" s="81"/>
      <c r="L816" s="81"/>
      <c r="M816" s="82" t="s">
        <v>43</v>
      </c>
      <c r="N816" s="82"/>
      <c r="O816" s="82"/>
      <c r="P816" s="82"/>
      <c r="Q816" s="82"/>
      <c r="R816" s="111"/>
      <c r="S816" s="82"/>
      <c r="T816" s="81" t="s">
        <v>144</v>
      </c>
      <c r="U816" s="81" t="s">
        <v>144</v>
      </c>
    </row>
    <row r="817" spans="1:21" x14ac:dyDescent="0.25">
      <c r="A817" s="81"/>
      <c r="B817" s="81" t="s">
        <v>8</v>
      </c>
      <c r="C817" s="81" t="s">
        <v>144</v>
      </c>
      <c r="D817" s="81" t="s">
        <v>143</v>
      </c>
      <c r="E817" s="81" t="s">
        <v>802</v>
      </c>
      <c r="F817" s="81" t="s">
        <v>162</v>
      </c>
      <c r="G817" s="81" t="s">
        <v>803</v>
      </c>
      <c r="H817" s="81"/>
      <c r="I817" s="81"/>
      <c r="J817" s="81"/>
      <c r="K817" s="81"/>
      <c r="L817" s="81"/>
      <c r="M817" s="82" t="s">
        <v>43</v>
      </c>
      <c r="N817" s="82"/>
      <c r="O817" s="82"/>
      <c r="P817" s="82"/>
      <c r="Q817" s="82" t="s">
        <v>804</v>
      </c>
      <c r="R817" s="111"/>
      <c r="S817" s="82"/>
      <c r="T817" s="81" t="s">
        <v>144</v>
      </c>
      <c r="U817" s="81" t="s">
        <v>144</v>
      </c>
    </row>
    <row r="818" spans="1:21" ht="30" x14ac:dyDescent="0.25">
      <c r="A818" s="81"/>
      <c r="B818" s="81" t="s">
        <v>8</v>
      </c>
      <c r="C818" s="81" t="s">
        <v>144</v>
      </c>
      <c r="D818" s="81" t="s">
        <v>143</v>
      </c>
      <c r="E818" s="81" t="s">
        <v>805</v>
      </c>
      <c r="F818" s="81" t="s">
        <v>148</v>
      </c>
      <c r="G818" s="81" t="s">
        <v>806</v>
      </c>
      <c r="H818" s="81"/>
      <c r="I818" s="81"/>
      <c r="J818" s="81"/>
      <c r="K818" s="81"/>
      <c r="L818" s="81"/>
      <c r="M818" s="82" t="s">
        <v>43</v>
      </c>
      <c r="N818" s="82"/>
      <c r="O818" s="82"/>
      <c r="P818" s="82"/>
      <c r="Q818" s="82" t="s">
        <v>807</v>
      </c>
      <c r="R818" s="111">
        <v>45785</v>
      </c>
      <c r="S818" s="82"/>
      <c r="T818" s="81" t="s">
        <v>144</v>
      </c>
      <c r="U818" s="81" t="s">
        <v>144</v>
      </c>
    </row>
    <row r="819" spans="1:21" ht="30" x14ac:dyDescent="0.25">
      <c r="A819" s="81"/>
      <c r="B819" s="81" t="s">
        <v>8</v>
      </c>
      <c r="C819" s="81" t="s">
        <v>144</v>
      </c>
      <c r="D819" s="81" t="s">
        <v>143</v>
      </c>
      <c r="E819" s="81" t="s">
        <v>808</v>
      </c>
      <c r="F819" s="81" t="s">
        <v>148</v>
      </c>
      <c r="G819" s="81" t="s">
        <v>809</v>
      </c>
      <c r="H819" s="81"/>
      <c r="I819" s="81"/>
      <c r="J819" s="81"/>
      <c r="K819" s="81"/>
      <c r="L819" s="81"/>
      <c r="M819" s="82" t="s">
        <v>43</v>
      </c>
      <c r="N819" s="82"/>
      <c r="O819" s="82"/>
      <c r="P819" s="82"/>
      <c r="Q819" s="82"/>
      <c r="R819" s="111">
        <v>45788</v>
      </c>
      <c r="S819" s="82" t="s">
        <v>9</v>
      </c>
      <c r="T819" s="81" t="s">
        <v>144</v>
      </c>
      <c r="U819" s="81" t="s">
        <v>144</v>
      </c>
    </row>
    <row r="820" spans="1:21" ht="30" x14ac:dyDescent="0.25">
      <c r="A820" s="81"/>
      <c r="B820" s="81" t="s">
        <v>8</v>
      </c>
      <c r="C820" s="81" t="s">
        <v>144</v>
      </c>
      <c r="D820" s="81" t="s">
        <v>143</v>
      </c>
      <c r="E820" s="81" t="s">
        <v>810</v>
      </c>
      <c r="F820" s="81" t="s">
        <v>148</v>
      </c>
      <c r="G820" s="81" t="s">
        <v>811</v>
      </c>
      <c r="H820" s="81"/>
      <c r="I820" s="81"/>
      <c r="J820" s="81"/>
      <c r="K820" s="81"/>
      <c r="L820" s="81"/>
      <c r="M820" s="82" t="s">
        <v>43</v>
      </c>
      <c r="N820" s="82"/>
      <c r="O820" s="82"/>
      <c r="P820" s="82"/>
      <c r="Q820" s="82" t="s">
        <v>812</v>
      </c>
      <c r="R820" s="111">
        <v>45792</v>
      </c>
      <c r="S820" s="82" t="s">
        <v>813</v>
      </c>
      <c r="T820" s="81" t="s">
        <v>144</v>
      </c>
      <c r="U820" s="81" t="s">
        <v>144</v>
      </c>
    </row>
    <row r="821" spans="1:21" x14ac:dyDescent="0.25">
      <c r="A821" s="81"/>
      <c r="B821" s="81" t="s">
        <v>8</v>
      </c>
      <c r="C821" s="81" t="s">
        <v>144</v>
      </c>
      <c r="D821" s="81" t="s">
        <v>143</v>
      </c>
      <c r="E821" s="81" t="s">
        <v>814</v>
      </c>
      <c r="F821" s="81" t="s">
        <v>162</v>
      </c>
      <c r="G821" s="81" t="s">
        <v>815</v>
      </c>
      <c r="H821" s="81"/>
      <c r="I821" s="81"/>
      <c r="J821" s="81"/>
      <c r="K821" s="81"/>
      <c r="L821" s="81"/>
      <c r="M821" s="82" t="s">
        <v>43</v>
      </c>
      <c r="N821" s="82"/>
      <c r="O821" s="82"/>
      <c r="P821" s="82"/>
      <c r="Q821" s="82"/>
      <c r="R821" s="111"/>
      <c r="S821" s="82"/>
      <c r="T821" s="81" t="s">
        <v>144</v>
      </c>
      <c r="U821" s="81" t="s">
        <v>144</v>
      </c>
    </row>
    <row r="822" spans="1:21" ht="30" x14ac:dyDescent="0.25">
      <c r="A822" s="81"/>
      <c r="B822" s="81"/>
      <c r="C822" s="81" t="s">
        <v>144</v>
      </c>
      <c r="D822" s="81" t="s">
        <v>143</v>
      </c>
      <c r="E822" s="81" t="s">
        <v>816</v>
      </c>
      <c r="F822" s="81" t="s">
        <v>161</v>
      </c>
      <c r="G822" s="81" t="s">
        <v>817</v>
      </c>
      <c r="H822" s="81"/>
      <c r="I822" s="81"/>
      <c r="J822" s="81"/>
      <c r="K822" s="81"/>
      <c r="L822" s="81"/>
      <c r="M822" s="82" t="s">
        <v>43</v>
      </c>
      <c r="N822" s="82"/>
      <c r="O822" s="82"/>
      <c r="P822" s="82"/>
      <c r="Q822" s="82"/>
      <c r="R822" s="111">
        <v>45804</v>
      </c>
      <c r="S822" s="82" t="s">
        <v>627</v>
      </c>
      <c r="T822" s="81" t="s">
        <v>144</v>
      </c>
      <c r="U822" s="81" t="s">
        <v>144</v>
      </c>
    </row>
    <row r="823" spans="1:21" ht="30" x14ac:dyDescent="0.25">
      <c r="A823" s="81"/>
      <c r="B823" s="81" t="s">
        <v>8</v>
      </c>
      <c r="C823" s="81" t="s">
        <v>144</v>
      </c>
      <c r="D823" s="81" t="s">
        <v>143</v>
      </c>
      <c r="E823" s="81" t="s">
        <v>818</v>
      </c>
      <c r="F823" s="81" t="s">
        <v>163</v>
      </c>
      <c r="G823" s="81" t="s">
        <v>819</v>
      </c>
      <c r="H823" s="81"/>
      <c r="I823" s="81"/>
      <c r="J823" s="81"/>
      <c r="K823" s="81"/>
      <c r="L823" s="81"/>
      <c r="M823" s="82" t="s">
        <v>43</v>
      </c>
      <c r="N823" s="82"/>
      <c r="O823" s="82"/>
      <c r="P823" s="82"/>
      <c r="Q823" s="82"/>
      <c r="R823" s="111">
        <v>45818</v>
      </c>
      <c r="S823" s="82" t="s">
        <v>23</v>
      </c>
      <c r="T823" s="81" t="s">
        <v>144</v>
      </c>
      <c r="U823" s="81" t="s">
        <v>144</v>
      </c>
    </row>
    <row r="824" spans="1:21" ht="30" x14ac:dyDescent="0.25">
      <c r="A824" s="81"/>
      <c r="B824" s="81"/>
      <c r="C824" s="81" t="s">
        <v>144</v>
      </c>
      <c r="D824" s="81" t="s">
        <v>143</v>
      </c>
      <c r="E824" s="81" t="s">
        <v>820</v>
      </c>
      <c r="F824" s="81" t="s">
        <v>161</v>
      </c>
      <c r="G824" s="81" t="s">
        <v>821</v>
      </c>
      <c r="H824" s="81"/>
      <c r="I824" s="81"/>
      <c r="J824" s="81"/>
      <c r="K824" s="81"/>
      <c r="L824" s="81"/>
      <c r="M824" s="82" t="s">
        <v>43</v>
      </c>
      <c r="N824" s="82"/>
      <c r="O824" s="82"/>
      <c r="P824" s="82"/>
      <c r="Q824" s="82"/>
      <c r="R824" s="111"/>
      <c r="S824" s="82"/>
      <c r="T824" s="81" t="s">
        <v>144</v>
      </c>
      <c r="U824" s="81" t="s">
        <v>144</v>
      </c>
    </row>
    <row r="825" spans="1:21" ht="45" x14ac:dyDescent="0.25">
      <c r="A825" s="81"/>
      <c r="B825" s="81"/>
      <c r="C825" s="81" t="s">
        <v>144</v>
      </c>
      <c r="D825" s="81" t="s">
        <v>143</v>
      </c>
      <c r="E825" s="81" t="s">
        <v>822</v>
      </c>
      <c r="F825" s="81" t="s">
        <v>148</v>
      </c>
      <c r="G825" s="81" t="s">
        <v>823</v>
      </c>
      <c r="H825" s="81"/>
      <c r="I825" s="81"/>
      <c r="J825" s="81"/>
      <c r="K825" s="81"/>
      <c r="L825" s="81"/>
      <c r="M825" s="82" t="s">
        <v>43</v>
      </c>
      <c r="N825" s="82"/>
      <c r="O825" s="82"/>
      <c r="P825" s="82"/>
      <c r="Q825" s="82" t="s">
        <v>824</v>
      </c>
      <c r="R825" s="111">
        <v>45831</v>
      </c>
      <c r="S825" s="82" t="s">
        <v>825</v>
      </c>
      <c r="T825" s="81" t="s">
        <v>144</v>
      </c>
      <c r="U825" s="81" t="s">
        <v>144</v>
      </c>
    </row>
    <row r="826" spans="1:21" ht="30" x14ac:dyDescent="0.25">
      <c r="A826" s="81"/>
      <c r="B826" s="81"/>
      <c r="C826" s="81" t="s">
        <v>144</v>
      </c>
      <c r="D826" s="81" t="s">
        <v>143</v>
      </c>
      <c r="E826" s="81" t="s">
        <v>826</v>
      </c>
      <c r="F826" s="81" t="s">
        <v>148</v>
      </c>
      <c r="G826" s="81" t="s">
        <v>827</v>
      </c>
      <c r="H826" s="81"/>
      <c r="I826" s="81"/>
      <c r="J826" s="81"/>
      <c r="K826" s="81"/>
      <c r="L826" s="81"/>
      <c r="M826" s="82" t="s">
        <v>43</v>
      </c>
      <c r="N826" s="82"/>
      <c r="O826" s="82"/>
      <c r="P826" s="82"/>
      <c r="Q826" s="82"/>
      <c r="R826" s="111"/>
      <c r="S826" s="82"/>
      <c r="T826" s="81" t="s">
        <v>144</v>
      </c>
      <c r="U826" s="81" t="s">
        <v>144</v>
      </c>
    </row>
    <row r="827" spans="1:21" x14ac:dyDescent="0.25">
      <c r="A827" s="81"/>
      <c r="B827" s="81"/>
      <c r="C827" s="81" t="s">
        <v>144</v>
      </c>
      <c r="D827" s="81" t="s">
        <v>143</v>
      </c>
      <c r="E827" s="81" t="s">
        <v>828</v>
      </c>
      <c r="F827" s="81" t="s">
        <v>166</v>
      </c>
      <c r="G827" s="81" t="s">
        <v>829</v>
      </c>
      <c r="H827" s="81"/>
      <c r="I827" s="81"/>
      <c r="J827" s="81"/>
      <c r="K827" s="81"/>
      <c r="L827" s="81"/>
      <c r="M827" s="82" t="s">
        <v>43</v>
      </c>
      <c r="N827" s="82"/>
      <c r="O827" s="82"/>
      <c r="P827" s="82"/>
      <c r="Q827" s="82"/>
      <c r="R827" s="111"/>
      <c r="S827" s="82"/>
      <c r="T827" s="81" t="s">
        <v>144</v>
      </c>
      <c r="U827" s="81" t="s">
        <v>144</v>
      </c>
    </row>
    <row r="828" spans="1:21" ht="30" x14ac:dyDescent="0.25">
      <c r="A828" s="81"/>
      <c r="B828" s="81"/>
      <c r="C828" s="81" t="s">
        <v>144</v>
      </c>
      <c r="D828" s="81" t="s">
        <v>143</v>
      </c>
      <c r="E828" s="81" t="s">
        <v>830</v>
      </c>
      <c r="F828" s="81" t="s">
        <v>162</v>
      </c>
      <c r="G828" s="81" t="s">
        <v>831</v>
      </c>
      <c r="H828" s="81"/>
      <c r="I828" s="81"/>
      <c r="J828" s="81"/>
      <c r="K828" s="81"/>
      <c r="L828" s="81"/>
      <c r="M828" s="82" t="s">
        <v>43</v>
      </c>
      <c r="N828" s="82"/>
      <c r="O828" s="82"/>
      <c r="P828" s="82"/>
      <c r="Q828" s="82" t="s">
        <v>832</v>
      </c>
      <c r="R828" s="111">
        <v>45841</v>
      </c>
      <c r="S828" s="82" t="s">
        <v>238</v>
      </c>
      <c r="T828" s="81" t="s">
        <v>144</v>
      </c>
      <c r="U828" s="81" t="s">
        <v>144</v>
      </c>
    </row>
    <row r="829" spans="1:21" ht="30" x14ac:dyDescent="0.25">
      <c r="A829" s="81"/>
      <c r="B829" s="81"/>
      <c r="C829" s="81" t="s">
        <v>144</v>
      </c>
      <c r="D829" s="81" t="s">
        <v>143</v>
      </c>
      <c r="E829" s="81" t="s">
        <v>833</v>
      </c>
      <c r="F829" s="81" t="s">
        <v>148</v>
      </c>
      <c r="G829" s="81" t="s">
        <v>737</v>
      </c>
      <c r="H829" s="81"/>
      <c r="I829" s="81"/>
      <c r="J829" s="81"/>
      <c r="K829" s="81"/>
      <c r="L829" s="81"/>
      <c r="M829" s="82" t="s">
        <v>43</v>
      </c>
      <c r="N829" s="82"/>
      <c r="O829" s="82"/>
      <c r="P829" s="82"/>
      <c r="Q829" s="82"/>
      <c r="R829" s="111"/>
      <c r="S829" s="82"/>
      <c r="T829" s="81" t="s">
        <v>144</v>
      </c>
      <c r="U829" s="81" t="s">
        <v>144</v>
      </c>
    </row>
    <row r="830" spans="1:21" ht="30" x14ac:dyDescent="0.25">
      <c r="A830" s="81"/>
      <c r="B830" s="81"/>
      <c r="C830" s="81" t="s">
        <v>144</v>
      </c>
      <c r="D830" s="81" t="s">
        <v>143</v>
      </c>
      <c r="E830" s="81" t="s">
        <v>834</v>
      </c>
      <c r="F830" s="81" t="s">
        <v>166</v>
      </c>
      <c r="G830" s="81" t="s">
        <v>835</v>
      </c>
      <c r="H830" s="81"/>
      <c r="I830" s="81"/>
      <c r="J830" s="81"/>
      <c r="K830" s="81"/>
      <c r="L830" s="81"/>
      <c r="M830" s="82" t="s">
        <v>43</v>
      </c>
      <c r="N830" s="82"/>
      <c r="O830" s="82"/>
      <c r="P830" s="82"/>
      <c r="Q830" s="82"/>
      <c r="R830" s="111"/>
      <c r="S830" s="82"/>
      <c r="T830" s="81" t="s">
        <v>144</v>
      </c>
      <c r="U830" s="81"/>
    </row>
    <row r="831" spans="1:21" ht="30" x14ac:dyDescent="0.25">
      <c r="A831" s="81"/>
      <c r="B831" s="81"/>
      <c r="C831" s="81" t="s">
        <v>144</v>
      </c>
      <c r="D831" s="81" t="s">
        <v>143</v>
      </c>
      <c r="E831" s="81" t="s">
        <v>836</v>
      </c>
      <c r="F831" s="81" t="s">
        <v>166</v>
      </c>
      <c r="G831" s="81" t="s">
        <v>837</v>
      </c>
      <c r="H831" s="81"/>
      <c r="I831" s="81"/>
      <c r="J831" s="81"/>
      <c r="K831" s="81"/>
      <c r="L831" s="81"/>
      <c r="M831" s="82" t="s">
        <v>43</v>
      </c>
      <c r="N831" s="82"/>
      <c r="O831" s="82"/>
      <c r="P831" s="82"/>
      <c r="Q831" s="82"/>
      <c r="R831" s="111"/>
      <c r="S831" s="82"/>
      <c r="T831" s="81" t="s">
        <v>144</v>
      </c>
      <c r="U831" s="81"/>
    </row>
    <row r="832" spans="1:21" ht="30" x14ac:dyDescent="0.25">
      <c r="A832" s="81"/>
      <c r="B832" s="81"/>
      <c r="C832" s="81" t="s">
        <v>144</v>
      </c>
      <c r="D832" s="81" t="s">
        <v>143</v>
      </c>
      <c r="E832" s="81" t="s">
        <v>838</v>
      </c>
      <c r="F832" s="81" t="s">
        <v>262</v>
      </c>
      <c r="G832" s="81" t="s">
        <v>839</v>
      </c>
      <c r="H832" s="81"/>
      <c r="I832" s="81"/>
      <c r="J832" s="81"/>
      <c r="K832" s="81"/>
      <c r="L832" s="81"/>
      <c r="M832" s="82" t="s">
        <v>43</v>
      </c>
      <c r="N832" s="82"/>
      <c r="O832" s="82"/>
      <c r="P832" s="82"/>
      <c r="Q832" s="82"/>
      <c r="R832" s="111"/>
      <c r="S832" s="82"/>
      <c r="T832" s="81" t="s">
        <v>144</v>
      </c>
      <c r="U832" s="81"/>
    </row>
    <row r="833" spans="1:21" ht="30" x14ac:dyDescent="0.25">
      <c r="A833" s="81"/>
      <c r="B833" s="81"/>
      <c r="C833" s="81" t="s">
        <v>144</v>
      </c>
      <c r="D833" s="81" t="s">
        <v>143</v>
      </c>
      <c r="E833" s="81" t="s">
        <v>840</v>
      </c>
      <c r="F833" s="81" t="s">
        <v>262</v>
      </c>
      <c r="G833" s="81" t="s">
        <v>841</v>
      </c>
      <c r="H833" s="81"/>
      <c r="I833" s="81"/>
      <c r="J833" s="81"/>
      <c r="K833" s="81"/>
      <c r="L833" s="81"/>
      <c r="M833" s="82" t="s">
        <v>43</v>
      </c>
      <c r="N833" s="82"/>
      <c r="O833" s="82"/>
      <c r="P833" s="82"/>
      <c r="Q833" s="82"/>
      <c r="R833" s="111"/>
      <c r="S833" s="82"/>
      <c r="T833" s="81" t="s">
        <v>144</v>
      </c>
      <c r="U833" s="81"/>
    </row>
    <row r="834" spans="1:21" x14ac:dyDescent="0.25">
      <c r="A834" s="81"/>
      <c r="B834" s="81"/>
      <c r="C834" s="81" t="s">
        <v>144</v>
      </c>
      <c r="D834" s="81" t="s">
        <v>143</v>
      </c>
      <c r="E834" s="81" t="s">
        <v>842</v>
      </c>
      <c r="F834" s="81" t="s">
        <v>148</v>
      </c>
      <c r="G834" s="81" t="s">
        <v>843</v>
      </c>
      <c r="H834" s="81"/>
      <c r="I834" s="81"/>
      <c r="J834" s="81"/>
      <c r="K834" s="81"/>
      <c r="L834" s="81"/>
      <c r="M834" s="82" t="s">
        <v>43</v>
      </c>
      <c r="N834" s="82"/>
      <c r="O834" s="82"/>
      <c r="P834" s="82"/>
      <c r="Q834" s="82"/>
      <c r="R834" s="111"/>
      <c r="S834" s="82"/>
      <c r="T834" s="81" t="s">
        <v>144</v>
      </c>
      <c r="U834" s="81"/>
    </row>
    <row r="835" spans="1:21" x14ac:dyDescent="0.25">
      <c r="A835" s="81"/>
      <c r="B835" s="81"/>
      <c r="C835" s="81" t="s">
        <v>144</v>
      </c>
      <c r="D835" s="81" t="s">
        <v>143</v>
      </c>
      <c r="E835" s="81" t="s">
        <v>844</v>
      </c>
      <c r="F835" s="81" t="s">
        <v>148</v>
      </c>
      <c r="G835" s="81" t="s">
        <v>845</v>
      </c>
      <c r="H835" s="81"/>
      <c r="I835" s="81"/>
      <c r="J835" s="81"/>
      <c r="K835" s="81"/>
      <c r="L835" s="81"/>
      <c r="M835" s="82" t="s">
        <v>43</v>
      </c>
      <c r="N835" s="82"/>
      <c r="O835" s="82"/>
      <c r="P835" s="82"/>
      <c r="Q835" s="82"/>
      <c r="R835" s="111"/>
      <c r="S835" s="82"/>
      <c r="T835" s="81" t="s">
        <v>144</v>
      </c>
      <c r="U835" s="81"/>
    </row>
    <row r="836" spans="1:21" ht="30" x14ac:dyDescent="0.25">
      <c r="A836" s="81"/>
      <c r="B836" s="81"/>
      <c r="C836" s="81" t="s">
        <v>144</v>
      </c>
      <c r="D836" s="81" t="s">
        <v>143</v>
      </c>
      <c r="E836" s="81" t="s">
        <v>846</v>
      </c>
      <c r="F836" s="81" t="s">
        <v>166</v>
      </c>
      <c r="G836" s="81" t="s">
        <v>847</v>
      </c>
      <c r="H836" s="81"/>
      <c r="I836" s="81"/>
      <c r="J836" s="81"/>
      <c r="K836" s="81"/>
      <c r="L836" s="81"/>
      <c r="M836" s="82" t="s">
        <v>43</v>
      </c>
      <c r="N836" s="82"/>
      <c r="O836" s="82"/>
      <c r="P836" s="82"/>
      <c r="Q836" s="82" t="s">
        <v>848</v>
      </c>
      <c r="R836" s="111">
        <v>45861</v>
      </c>
      <c r="S836" s="82" t="s">
        <v>23</v>
      </c>
      <c r="T836" s="81" t="s">
        <v>144</v>
      </c>
      <c r="U836" s="81"/>
    </row>
    <row r="837" spans="1:21" ht="30" x14ac:dyDescent="0.25">
      <c r="A837" s="81"/>
      <c r="B837" s="81"/>
      <c r="C837" s="81" t="s">
        <v>144</v>
      </c>
      <c r="D837" s="81" t="s">
        <v>143</v>
      </c>
      <c r="E837" s="81" t="s">
        <v>849</v>
      </c>
      <c r="F837" s="81" t="s">
        <v>262</v>
      </c>
      <c r="G837" s="81" t="s">
        <v>850</v>
      </c>
      <c r="H837" s="81"/>
      <c r="I837" s="81"/>
      <c r="J837" s="81"/>
      <c r="K837" s="81"/>
      <c r="L837" s="81"/>
      <c r="M837" s="82" t="s">
        <v>43</v>
      </c>
      <c r="N837" s="82"/>
      <c r="O837" s="82"/>
      <c r="P837" s="82"/>
      <c r="Q837" s="82"/>
      <c r="R837" s="111"/>
      <c r="S837" s="82"/>
      <c r="T837" s="81" t="s">
        <v>144</v>
      </c>
      <c r="U837" s="81"/>
    </row>
    <row r="838" spans="1:21" ht="30" x14ac:dyDescent="0.25">
      <c r="A838" s="81"/>
      <c r="B838" s="81"/>
      <c r="C838" s="81" t="s">
        <v>144</v>
      </c>
      <c r="D838" s="81" t="s">
        <v>143</v>
      </c>
      <c r="E838" s="81" t="s">
        <v>851</v>
      </c>
      <c r="F838" s="81" t="s">
        <v>262</v>
      </c>
      <c r="G838" s="81" t="s">
        <v>852</v>
      </c>
      <c r="H838" s="81"/>
      <c r="I838" s="81"/>
      <c r="J838" s="81"/>
      <c r="K838" s="81"/>
      <c r="L838" s="81"/>
      <c r="M838" s="82" t="s">
        <v>43</v>
      </c>
      <c r="N838" s="82"/>
      <c r="O838" s="82"/>
      <c r="P838" s="82"/>
      <c r="Q838" s="82"/>
      <c r="R838" s="111"/>
      <c r="S838" s="82"/>
      <c r="T838" s="81" t="s">
        <v>144</v>
      </c>
      <c r="U838" s="81"/>
    </row>
    <row r="839" spans="1:21" ht="45" x14ac:dyDescent="0.25">
      <c r="A839" s="81"/>
      <c r="B839" s="81"/>
      <c r="C839" s="81" t="s">
        <v>144</v>
      </c>
      <c r="D839" s="81" t="s">
        <v>143</v>
      </c>
      <c r="E839" s="81" t="s">
        <v>853</v>
      </c>
      <c r="F839" s="81" t="s">
        <v>161</v>
      </c>
      <c r="G839" s="81" t="s">
        <v>854</v>
      </c>
      <c r="H839" s="81"/>
      <c r="I839" s="81"/>
      <c r="J839" s="81"/>
      <c r="K839" s="81"/>
      <c r="L839" s="81"/>
      <c r="M839" s="82" t="s">
        <v>43</v>
      </c>
      <c r="N839" s="82"/>
      <c r="O839" s="82"/>
      <c r="P839" s="82"/>
      <c r="Q839" s="82" t="s">
        <v>855</v>
      </c>
      <c r="R839" s="111">
        <v>45868</v>
      </c>
      <c r="S839" s="82" t="s">
        <v>238</v>
      </c>
      <c r="T839" s="81" t="s">
        <v>144</v>
      </c>
      <c r="U839" s="81"/>
    </row>
    <row r="840" spans="1:21" x14ac:dyDescent="0.25">
      <c r="A840" s="81"/>
      <c r="B840" s="81"/>
      <c r="C840" s="81" t="s">
        <v>144</v>
      </c>
      <c r="D840" s="81" t="s">
        <v>143</v>
      </c>
      <c r="E840" s="81" t="s">
        <v>856</v>
      </c>
      <c r="F840" s="81" t="s">
        <v>166</v>
      </c>
      <c r="G840" s="81" t="s">
        <v>857</v>
      </c>
      <c r="H840" s="81"/>
      <c r="I840" s="81"/>
      <c r="J840" s="81"/>
      <c r="K840" s="81"/>
      <c r="L840" s="81"/>
      <c r="M840" s="82" t="s">
        <v>43</v>
      </c>
      <c r="N840" s="82"/>
      <c r="O840" s="82"/>
      <c r="P840" s="82"/>
      <c r="Q840" s="82"/>
      <c r="R840" s="111"/>
      <c r="S840" s="82"/>
      <c r="T840" s="81" t="s">
        <v>144</v>
      </c>
      <c r="U840" s="81"/>
    </row>
    <row r="841" spans="1:21" x14ac:dyDescent="0.25">
      <c r="A841" s="81"/>
      <c r="B841" s="81"/>
      <c r="C841" s="81" t="s">
        <v>144</v>
      </c>
      <c r="D841" s="81" t="s">
        <v>143</v>
      </c>
      <c r="E841" s="81" t="s">
        <v>858</v>
      </c>
      <c r="F841" s="81" t="s">
        <v>148</v>
      </c>
      <c r="G841" s="81" t="s">
        <v>859</v>
      </c>
      <c r="H841" s="81"/>
      <c r="I841" s="81"/>
      <c r="J841" s="81"/>
      <c r="K841" s="81"/>
      <c r="L841" s="81"/>
      <c r="M841" s="82" t="s">
        <v>43</v>
      </c>
      <c r="N841" s="82"/>
      <c r="O841" s="82"/>
      <c r="P841" s="82"/>
      <c r="Q841" s="82"/>
      <c r="R841" s="111"/>
      <c r="S841" s="82"/>
      <c r="T841" s="81" t="s">
        <v>144</v>
      </c>
      <c r="U841" s="81"/>
    </row>
    <row r="842" spans="1:21" ht="30" x14ac:dyDescent="0.25">
      <c r="A842" s="81"/>
      <c r="B842" s="81"/>
      <c r="C842" s="81" t="s">
        <v>144</v>
      </c>
      <c r="D842" s="81" t="s">
        <v>143</v>
      </c>
      <c r="E842" s="81" t="s">
        <v>860</v>
      </c>
      <c r="F842" s="81" t="s">
        <v>148</v>
      </c>
      <c r="G842" s="81" t="s">
        <v>861</v>
      </c>
      <c r="H842" s="81"/>
      <c r="I842" s="81"/>
      <c r="J842" s="81"/>
      <c r="K842" s="81"/>
      <c r="L842" s="81"/>
      <c r="M842" s="82" t="s">
        <v>43</v>
      </c>
      <c r="N842" s="82"/>
      <c r="O842" s="82"/>
      <c r="P842" s="82"/>
      <c r="Q842" s="82"/>
      <c r="R842" s="111"/>
      <c r="S842" s="82"/>
      <c r="T842" s="81" t="s">
        <v>144</v>
      </c>
      <c r="U842" s="81"/>
    </row>
    <row r="843" spans="1:21" ht="30" x14ac:dyDescent="0.25">
      <c r="A843" s="81"/>
      <c r="B843" s="81"/>
      <c r="C843" s="81" t="s">
        <v>144</v>
      </c>
      <c r="D843" s="81" t="s">
        <v>143</v>
      </c>
      <c r="E843" s="81" t="s">
        <v>862</v>
      </c>
      <c r="F843" s="81" t="s">
        <v>163</v>
      </c>
      <c r="G843" s="81" t="s">
        <v>863</v>
      </c>
      <c r="H843" s="81"/>
      <c r="I843" s="81"/>
      <c r="J843" s="81"/>
      <c r="K843" s="81"/>
      <c r="L843" s="81"/>
      <c r="M843" s="82" t="s">
        <v>43</v>
      </c>
      <c r="N843" s="82"/>
      <c r="O843" s="82"/>
      <c r="P843" s="82"/>
      <c r="Q843" s="82"/>
      <c r="R843" s="111"/>
      <c r="S843" s="82"/>
      <c r="T843" s="81" t="s">
        <v>144</v>
      </c>
      <c r="U843" s="81"/>
    </row>
    <row r="844" spans="1:21" ht="30" x14ac:dyDescent="0.25">
      <c r="A844" s="81"/>
      <c r="B844" s="81"/>
      <c r="C844" s="81" t="s">
        <v>144</v>
      </c>
      <c r="D844" s="81" t="s">
        <v>143</v>
      </c>
      <c r="E844" s="81" t="s">
        <v>864</v>
      </c>
      <c r="F844" s="81" t="s">
        <v>148</v>
      </c>
      <c r="G844" s="81" t="s">
        <v>865</v>
      </c>
      <c r="H844" s="81"/>
      <c r="I844" s="81"/>
      <c r="J844" s="81"/>
      <c r="K844" s="81"/>
      <c r="L844" s="81"/>
      <c r="M844" s="82" t="s">
        <v>43</v>
      </c>
      <c r="N844" s="82"/>
      <c r="O844" s="82"/>
      <c r="P844" s="82"/>
      <c r="Q844" s="82" t="s">
        <v>866</v>
      </c>
      <c r="R844" s="111">
        <v>45862</v>
      </c>
      <c r="S844" s="82" t="s">
        <v>813</v>
      </c>
      <c r="T844" s="81" t="s">
        <v>144</v>
      </c>
      <c r="U844" s="81"/>
    </row>
    <row r="845" spans="1:21" x14ac:dyDescent="0.25">
      <c r="A845" s="81"/>
      <c r="B845" s="81"/>
      <c r="C845" s="81" t="s">
        <v>144</v>
      </c>
      <c r="D845" s="81" t="s">
        <v>143</v>
      </c>
      <c r="E845" s="81" t="s">
        <v>867</v>
      </c>
      <c r="F845" s="81" t="s">
        <v>148</v>
      </c>
      <c r="G845" s="81" t="s">
        <v>868</v>
      </c>
      <c r="H845" s="81"/>
      <c r="I845" s="81"/>
      <c r="J845" s="81"/>
      <c r="K845" s="81"/>
      <c r="L845" s="81"/>
      <c r="M845" s="82" t="s">
        <v>43</v>
      </c>
      <c r="N845" s="82"/>
      <c r="O845" s="82"/>
      <c r="P845" s="82"/>
      <c r="Q845" s="82"/>
      <c r="R845" s="111"/>
      <c r="S845" s="82"/>
      <c r="T845" s="81" t="s">
        <v>144</v>
      </c>
      <c r="U845" s="81"/>
    </row>
    <row r="846" spans="1:21" x14ac:dyDescent="0.25">
      <c r="A846" s="81"/>
      <c r="B846" s="81"/>
      <c r="C846" s="81" t="s">
        <v>144</v>
      </c>
      <c r="D846" s="81" t="s">
        <v>143</v>
      </c>
      <c r="E846" s="81" t="s">
        <v>869</v>
      </c>
      <c r="F846" s="81" t="s">
        <v>162</v>
      </c>
      <c r="G846" s="81" t="s">
        <v>870</v>
      </c>
      <c r="H846" s="81"/>
      <c r="I846" s="81"/>
      <c r="J846" s="81"/>
      <c r="K846" s="81"/>
      <c r="L846" s="81"/>
      <c r="M846" s="82" t="s">
        <v>43</v>
      </c>
      <c r="N846" s="82"/>
      <c r="O846" s="82"/>
      <c r="P846" s="82"/>
      <c r="Q846" s="82"/>
      <c r="R846" s="111"/>
      <c r="S846" s="82"/>
      <c r="T846" s="81" t="s">
        <v>144</v>
      </c>
      <c r="U846" s="81"/>
    </row>
    <row r="847" spans="1:21" ht="30" x14ac:dyDescent="0.25">
      <c r="A847" s="81"/>
      <c r="B847" s="81"/>
      <c r="C847" s="81" t="s">
        <v>144</v>
      </c>
      <c r="D847" s="81" t="s">
        <v>143</v>
      </c>
      <c r="E847" s="81" t="s">
        <v>871</v>
      </c>
      <c r="F847" s="81" t="s">
        <v>166</v>
      </c>
      <c r="G847" s="81" t="s">
        <v>872</v>
      </c>
      <c r="H847" s="81"/>
      <c r="I847" s="81"/>
      <c r="J847" s="81"/>
      <c r="K847" s="81"/>
      <c r="L847" s="81"/>
      <c r="M847" s="82" t="s">
        <v>43</v>
      </c>
      <c r="N847" s="82"/>
      <c r="O847" s="82"/>
      <c r="P847" s="82"/>
      <c r="Q847" s="82" t="s">
        <v>873</v>
      </c>
      <c r="R847" s="111">
        <v>45917</v>
      </c>
      <c r="S847" s="82" t="s">
        <v>20</v>
      </c>
      <c r="T847" s="81" t="s">
        <v>144</v>
      </c>
      <c r="U847" s="81"/>
    </row>
    <row r="848" spans="1:21" ht="30" x14ac:dyDescent="0.25">
      <c r="A848" s="81"/>
      <c r="B848" s="81"/>
      <c r="C848" s="81" t="s">
        <v>144</v>
      </c>
      <c r="D848" s="81" t="s">
        <v>143</v>
      </c>
      <c r="E848" s="81" t="s">
        <v>874</v>
      </c>
      <c r="F848" s="81" t="s">
        <v>148</v>
      </c>
      <c r="G848" s="81" t="s">
        <v>875</v>
      </c>
      <c r="H848" s="81"/>
      <c r="I848" s="81"/>
      <c r="J848" s="81"/>
      <c r="K848" s="81"/>
      <c r="L848" s="81"/>
      <c r="M848" s="82" t="s">
        <v>43</v>
      </c>
      <c r="N848" s="82"/>
      <c r="O848" s="82"/>
      <c r="P848" s="82"/>
      <c r="Q848" s="82"/>
      <c r="R848" s="111"/>
      <c r="S848" s="82"/>
      <c r="T848" s="81" t="s">
        <v>144</v>
      </c>
      <c r="U848" s="81"/>
    </row>
    <row r="849" spans="1:21" ht="30" x14ac:dyDescent="0.25">
      <c r="A849" s="81"/>
      <c r="B849" s="81"/>
      <c r="C849" s="81" t="s">
        <v>144</v>
      </c>
      <c r="D849" s="81" t="s">
        <v>143</v>
      </c>
      <c r="E849" s="81" t="s">
        <v>876</v>
      </c>
      <c r="F849" s="81" t="s">
        <v>148</v>
      </c>
      <c r="G849" s="81" t="s">
        <v>875</v>
      </c>
      <c r="H849" s="81"/>
      <c r="I849" s="81"/>
      <c r="J849" s="81"/>
      <c r="K849" s="81"/>
      <c r="L849" s="81"/>
      <c r="M849" s="82" t="s">
        <v>43</v>
      </c>
      <c r="N849" s="82"/>
      <c r="O849" s="82"/>
      <c r="P849" s="82"/>
      <c r="Q849" s="82"/>
      <c r="R849" s="111"/>
      <c r="S849" s="82"/>
      <c r="T849" s="81" t="s">
        <v>144</v>
      </c>
      <c r="U849" s="81"/>
    </row>
    <row r="850" spans="1:21" ht="30" x14ac:dyDescent="0.25">
      <c r="A850" s="81"/>
      <c r="B850" s="81"/>
      <c r="C850" s="81" t="s">
        <v>144</v>
      </c>
      <c r="D850" s="81" t="s">
        <v>143</v>
      </c>
      <c r="E850" s="81" t="s">
        <v>877</v>
      </c>
      <c r="F850" s="81" t="s">
        <v>166</v>
      </c>
      <c r="G850" s="81" t="s">
        <v>878</v>
      </c>
      <c r="H850" s="81"/>
      <c r="I850" s="81"/>
      <c r="J850" s="81"/>
      <c r="K850" s="81"/>
      <c r="L850" s="81"/>
      <c r="M850" s="82" t="s">
        <v>43</v>
      </c>
      <c r="N850" s="82"/>
      <c r="O850" s="82"/>
      <c r="P850" s="82"/>
      <c r="Q850" s="82" t="s">
        <v>879</v>
      </c>
      <c r="R850" s="111">
        <v>45929</v>
      </c>
      <c r="S850" s="82" t="s">
        <v>20</v>
      </c>
      <c r="T850" s="81" t="s">
        <v>144</v>
      </c>
      <c r="U850" s="81"/>
    </row>
    <row r="851" spans="1:21" ht="45" x14ac:dyDescent="0.25">
      <c r="A851" s="81"/>
      <c r="B851" s="81"/>
      <c r="C851" s="81" t="s">
        <v>144</v>
      </c>
      <c r="D851" s="81" t="s">
        <v>143</v>
      </c>
      <c r="E851" s="81" t="s">
        <v>880</v>
      </c>
      <c r="F851" s="81" t="s">
        <v>166</v>
      </c>
      <c r="G851" s="81" t="s">
        <v>881</v>
      </c>
      <c r="H851" s="81"/>
      <c r="I851" s="81"/>
      <c r="J851" s="81"/>
      <c r="K851" s="81"/>
      <c r="L851" s="81"/>
      <c r="M851" s="82" t="s">
        <v>43</v>
      </c>
      <c r="N851" s="82"/>
      <c r="O851" s="82"/>
      <c r="P851" s="82"/>
      <c r="Q851" s="82"/>
      <c r="R851" s="111"/>
      <c r="S851" s="82"/>
      <c r="T851" s="81" t="s">
        <v>144</v>
      </c>
      <c r="U851" s="81"/>
    </row>
    <row r="852" spans="1:21" ht="30" x14ac:dyDescent="0.25">
      <c r="A852" s="81"/>
      <c r="B852" s="81"/>
      <c r="C852" s="81" t="s">
        <v>144</v>
      </c>
      <c r="D852" s="81" t="s">
        <v>143</v>
      </c>
      <c r="E852" s="81" t="s">
        <v>882</v>
      </c>
      <c r="F852" s="81" t="s">
        <v>166</v>
      </c>
      <c r="G852" s="81" t="s">
        <v>883</v>
      </c>
      <c r="H852" s="81"/>
      <c r="I852" s="81"/>
      <c r="J852" s="81"/>
      <c r="K852" s="81"/>
      <c r="L852" s="81"/>
      <c r="M852" s="82" t="s">
        <v>43</v>
      </c>
      <c r="N852" s="82"/>
      <c r="O852" s="82"/>
      <c r="P852" s="82"/>
      <c r="Q852" s="82" t="s">
        <v>884</v>
      </c>
      <c r="R852" s="111">
        <v>45929</v>
      </c>
      <c r="S852" s="82" t="s">
        <v>20</v>
      </c>
      <c r="T852" s="81" t="s">
        <v>144</v>
      </c>
      <c r="U852" s="81"/>
    </row>
    <row r="853" spans="1:21" ht="30" x14ac:dyDescent="0.25">
      <c r="A853" s="81"/>
      <c r="B853" s="81"/>
      <c r="C853" s="81" t="s">
        <v>144</v>
      </c>
      <c r="D853" s="81" t="s">
        <v>143</v>
      </c>
      <c r="E853" s="81" t="s">
        <v>885</v>
      </c>
      <c r="F853" s="81" t="s">
        <v>163</v>
      </c>
      <c r="G853" s="81" t="s">
        <v>886</v>
      </c>
      <c r="H853" s="81"/>
      <c r="I853" s="81"/>
      <c r="J853" s="81"/>
      <c r="K853" s="81"/>
      <c r="L853" s="81"/>
      <c r="M853" s="82" t="s">
        <v>43</v>
      </c>
      <c r="N853" s="82"/>
      <c r="O853" s="82" t="s">
        <v>8</v>
      </c>
      <c r="P853" s="82"/>
      <c r="Q853" s="82" t="s">
        <v>887</v>
      </c>
      <c r="R853" s="111"/>
      <c r="S853" s="82"/>
      <c r="T853" s="81" t="s">
        <v>144</v>
      </c>
      <c r="U853" s="81"/>
    </row>
    <row r="854" spans="1:21" ht="30" x14ac:dyDescent="0.25">
      <c r="A854" s="81"/>
      <c r="B854" s="81"/>
      <c r="C854" s="81" t="s">
        <v>144</v>
      </c>
      <c r="D854" s="81" t="s">
        <v>143</v>
      </c>
      <c r="E854" s="81" t="s">
        <v>888</v>
      </c>
      <c r="F854" s="81" t="s">
        <v>161</v>
      </c>
      <c r="G854" s="81" t="s">
        <v>889</v>
      </c>
      <c r="H854" s="81"/>
      <c r="I854" s="81"/>
      <c r="J854" s="81"/>
      <c r="K854" s="81"/>
      <c r="L854" s="81"/>
      <c r="M854" s="82" t="s">
        <v>43</v>
      </c>
      <c r="N854" s="82"/>
      <c r="O854" s="82"/>
      <c r="P854" s="82"/>
      <c r="Q854" s="82" t="s">
        <v>890</v>
      </c>
      <c r="R854" s="111">
        <v>45929</v>
      </c>
      <c r="S854" s="82" t="s">
        <v>20</v>
      </c>
      <c r="T854" s="81" t="s">
        <v>144</v>
      </c>
      <c r="U854" s="81"/>
    </row>
    <row r="855" spans="1:21" ht="30" x14ac:dyDescent="0.25">
      <c r="A855" s="81"/>
      <c r="B855" s="81"/>
      <c r="C855" s="81" t="s">
        <v>144</v>
      </c>
      <c r="D855" s="81" t="s">
        <v>143</v>
      </c>
      <c r="E855" s="81" t="s">
        <v>891</v>
      </c>
      <c r="F855" s="81" t="s">
        <v>166</v>
      </c>
      <c r="G855" s="81" t="s">
        <v>892</v>
      </c>
      <c r="H855" s="81"/>
      <c r="I855" s="81"/>
      <c r="J855" s="81"/>
      <c r="K855" s="81"/>
      <c r="L855" s="81"/>
      <c r="M855" s="82" t="s">
        <v>43</v>
      </c>
      <c r="N855" s="82"/>
      <c r="O855" s="82"/>
      <c r="P855" s="82"/>
      <c r="Q855" s="82" t="s">
        <v>893</v>
      </c>
      <c r="R855" s="111">
        <v>45944</v>
      </c>
      <c r="S855" s="82" t="s">
        <v>20</v>
      </c>
      <c r="T855" s="81" t="s">
        <v>144</v>
      </c>
      <c r="U855" s="81"/>
    </row>
    <row r="856" spans="1:21" ht="30" x14ac:dyDescent="0.25">
      <c r="A856" s="81"/>
      <c r="B856" s="81"/>
      <c r="C856" s="81" t="s">
        <v>144</v>
      </c>
      <c r="D856" s="81" t="s">
        <v>143</v>
      </c>
      <c r="E856" s="81" t="s">
        <v>894</v>
      </c>
      <c r="F856" s="81" t="s">
        <v>148</v>
      </c>
      <c r="G856" s="81" t="s">
        <v>895</v>
      </c>
      <c r="H856" s="81"/>
      <c r="I856" s="81"/>
      <c r="J856" s="81"/>
      <c r="K856" s="81"/>
      <c r="L856" s="81"/>
      <c r="M856" s="82" t="s">
        <v>43</v>
      </c>
      <c r="N856" s="82"/>
      <c r="O856" s="82"/>
      <c r="P856" s="82"/>
      <c r="Q856" s="82" t="s">
        <v>896</v>
      </c>
      <c r="R856" s="111">
        <v>45944</v>
      </c>
      <c r="S856" s="82" t="s">
        <v>897</v>
      </c>
      <c r="T856" s="81" t="s">
        <v>144</v>
      </c>
      <c r="U856" s="81"/>
    </row>
    <row r="857" spans="1:21" ht="30" x14ac:dyDescent="0.25">
      <c r="A857" s="81"/>
      <c r="B857" s="81"/>
      <c r="C857" s="81" t="s">
        <v>144</v>
      </c>
      <c r="D857" s="81" t="s">
        <v>143</v>
      </c>
      <c r="E857" s="81" t="s">
        <v>898</v>
      </c>
      <c r="F857" s="81" t="s">
        <v>161</v>
      </c>
      <c r="G857" s="81" t="s">
        <v>899</v>
      </c>
      <c r="H857" s="81"/>
      <c r="I857" s="81"/>
      <c r="J857" s="81"/>
      <c r="K857" s="81"/>
      <c r="L857" s="81"/>
      <c r="M857" s="82" t="s">
        <v>43</v>
      </c>
      <c r="N857" s="82"/>
      <c r="O857" s="82"/>
      <c r="P857" s="82"/>
      <c r="Q857" s="82"/>
      <c r="R857" s="111"/>
      <c r="S857" s="82"/>
      <c r="T857" s="81" t="s">
        <v>144</v>
      </c>
      <c r="U857" s="81"/>
    </row>
    <row r="858" spans="1:21" ht="30" x14ac:dyDescent="0.25">
      <c r="A858" s="81"/>
      <c r="B858" s="81"/>
      <c r="C858" s="81" t="s">
        <v>144</v>
      </c>
      <c r="D858" s="81" t="s">
        <v>143</v>
      </c>
      <c r="E858" s="81" t="s">
        <v>900</v>
      </c>
      <c r="F858" s="81" t="s">
        <v>161</v>
      </c>
      <c r="G858" s="81" t="s">
        <v>901</v>
      </c>
      <c r="H858" s="81"/>
      <c r="I858" s="81"/>
      <c r="J858" s="81"/>
      <c r="K858" s="81"/>
      <c r="L858" s="81"/>
      <c r="M858" s="82" t="s">
        <v>43</v>
      </c>
      <c r="N858" s="82"/>
      <c r="O858" s="82"/>
      <c r="P858" s="82"/>
      <c r="Q858" s="82"/>
      <c r="R858" s="111"/>
      <c r="S858" s="82"/>
      <c r="T858" s="81" t="s">
        <v>144</v>
      </c>
      <c r="U858" s="81"/>
    </row>
    <row r="859" spans="1:21" ht="30" x14ac:dyDescent="0.25">
      <c r="A859" s="81"/>
      <c r="B859" s="81"/>
      <c r="C859" s="81" t="s">
        <v>144</v>
      </c>
      <c r="D859" s="81" t="s">
        <v>143</v>
      </c>
      <c r="E859" s="81" t="s">
        <v>902</v>
      </c>
      <c r="F859" s="81" t="s">
        <v>161</v>
      </c>
      <c r="G859" s="81" t="s">
        <v>903</v>
      </c>
      <c r="H859" s="81"/>
      <c r="I859" s="81"/>
      <c r="J859" s="81"/>
      <c r="K859" s="81"/>
      <c r="L859" s="81"/>
      <c r="M859" s="82" t="s">
        <v>43</v>
      </c>
      <c r="N859" s="82"/>
      <c r="O859" s="82"/>
      <c r="P859" s="82"/>
      <c r="Q859" s="82"/>
      <c r="R859" s="111"/>
      <c r="S859" s="82"/>
      <c r="T859" s="81" t="s">
        <v>144</v>
      </c>
      <c r="U859" s="81"/>
    </row>
    <row r="860" spans="1:21" ht="60" x14ac:dyDescent="0.25">
      <c r="A860" s="81"/>
      <c r="B860" s="81"/>
      <c r="C860" s="81" t="s">
        <v>8</v>
      </c>
      <c r="D860" s="81" t="s">
        <v>143</v>
      </c>
      <c r="E860" s="81" t="s">
        <v>908</v>
      </c>
      <c r="F860" s="81" t="s">
        <v>148</v>
      </c>
      <c r="G860" s="81" t="s">
        <v>909</v>
      </c>
      <c r="H860" s="81" t="s">
        <v>8</v>
      </c>
      <c r="I860" s="81" t="s">
        <v>8</v>
      </c>
      <c r="J860" s="81"/>
      <c r="K860" s="81"/>
      <c r="L860" s="81"/>
      <c r="M860" s="82" t="s">
        <v>43</v>
      </c>
      <c r="N860" s="82"/>
      <c r="O860" s="82"/>
      <c r="P860" s="82"/>
      <c r="Q860" s="82" t="s">
        <v>910</v>
      </c>
      <c r="R860" s="111">
        <v>45945</v>
      </c>
      <c r="S860" s="82" t="s">
        <v>45</v>
      </c>
      <c r="T860" s="81" t="s">
        <v>144</v>
      </c>
      <c r="U860" s="81"/>
    </row>
    <row r="861" spans="1:21" ht="30" x14ac:dyDescent="0.25">
      <c r="A861" s="81"/>
      <c r="B861" s="81"/>
      <c r="C861" s="81" t="s">
        <v>8</v>
      </c>
      <c r="D861" s="81" t="s">
        <v>143</v>
      </c>
      <c r="E861" s="81" t="s">
        <v>3519</v>
      </c>
      <c r="F861" s="81" t="s">
        <v>166</v>
      </c>
      <c r="G861" s="81" t="s">
        <v>3520</v>
      </c>
      <c r="H861" s="81" t="s">
        <v>8</v>
      </c>
      <c r="I861" s="81" t="s">
        <v>8</v>
      </c>
      <c r="J861" s="81"/>
      <c r="K861" s="81"/>
      <c r="L861" s="81"/>
      <c r="M861" s="82" t="s">
        <v>43</v>
      </c>
      <c r="N861" s="82"/>
      <c r="O861" s="82"/>
      <c r="P861" s="82"/>
      <c r="Q861" s="82"/>
      <c r="R861" s="111"/>
      <c r="S861" s="82"/>
      <c r="T861" s="81" t="s">
        <v>144</v>
      </c>
      <c r="U861" s="81"/>
    </row>
    <row r="862" spans="1:21" x14ac:dyDescent="0.25">
      <c r="A862" s="81"/>
      <c r="B862" s="81"/>
      <c r="C862" s="81" t="s">
        <v>144</v>
      </c>
      <c r="D862" s="81" t="s">
        <v>147</v>
      </c>
      <c r="E862" s="81" t="s">
        <v>3564</v>
      </c>
      <c r="F862" s="81" t="s">
        <v>164</v>
      </c>
      <c r="G862" s="81" t="s">
        <v>3565</v>
      </c>
      <c r="H862" s="81"/>
      <c r="I862" s="81"/>
      <c r="J862" s="81"/>
      <c r="K862" s="81"/>
      <c r="L862" s="81"/>
      <c r="M862" s="82" t="s">
        <v>43</v>
      </c>
      <c r="N862" s="82"/>
      <c r="O862" s="82"/>
      <c r="P862" s="82"/>
      <c r="Q862" s="82"/>
      <c r="R862" s="111"/>
      <c r="S862" s="82"/>
      <c r="T862" s="81" t="s">
        <v>144</v>
      </c>
      <c r="U862" s="81"/>
    </row>
    <row r="863" spans="1:21" ht="30" x14ac:dyDescent="0.25">
      <c r="A863" s="81"/>
      <c r="B863" s="81"/>
      <c r="C863" s="81" t="s">
        <v>8</v>
      </c>
      <c r="D863" s="81" t="s">
        <v>147</v>
      </c>
      <c r="E863" s="81" t="s">
        <v>3288</v>
      </c>
      <c r="F863" s="81" t="s">
        <v>149</v>
      </c>
      <c r="G863" s="81" t="s">
        <v>3289</v>
      </c>
      <c r="H863" s="81" t="s">
        <v>8</v>
      </c>
      <c r="I863" s="81" t="s">
        <v>8</v>
      </c>
      <c r="J863" s="81" t="s">
        <v>8</v>
      </c>
      <c r="K863" s="81" t="s">
        <v>8</v>
      </c>
      <c r="L863" s="81"/>
      <c r="M863" s="82" t="s">
        <v>43</v>
      </c>
      <c r="N863" s="82"/>
      <c r="O863" s="82"/>
      <c r="P863" s="82"/>
      <c r="Q863" s="82"/>
      <c r="R863" s="111"/>
      <c r="S863" s="82"/>
      <c r="T863" s="81" t="s">
        <v>144</v>
      </c>
      <c r="U863" s="81"/>
    </row>
    <row r="864" spans="1:21" x14ac:dyDescent="0.25">
      <c r="A864" s="81"/>
      <c r="B864" s="81"/>
      <c r="C864" s="81" t="s">
        <v>144</v>
      </c>
      <c r="D864" s="81" t="s">
        <v>147</v>
      </c>
      <c r="E864" s="81" t="s">
        <v>1338</v>
      </c>
      <c r="F864" s="81" t="s">
        <v>165</v>
      </c>
      <c r="G864" s="81" t="s">
        <v>1339</v>
      </c>
      <c r="H864" s="81"/>
      <c r="I864" s="81"/>
      <c r="J864" s="81"/>
      <c r="K864" s="81"/>
      <c r="L864" s="81"/>
      <c r="M864" s="82" t="s">
        <v>43</v>
      </c>
      <c r="N864" s="82"/>
      <c r="O864" s="82"/>
      <c r="P864" s="82"/>
      <c r="Q864" s="82"/>
      <c r="R864" s="111"/>
      <c r="S864" s="82"/>
      <c r="T864" s="81" t="s">
        <v>144</v>
      </c>
      <c r="U864" s="81"/>
    </row>
    <row r="865" spans="1:21" x14ac:dyDescent="0.25">
      <c r="A865" s="81"/>
      <c r="B865" s="81"/>
      <c r="C865" s="81" t="s">
        <v>144</v>
      </c>
      <c r="D865" s="81" t="s">
        <v>147</v>
      </c>
      <c r="E865" s="81" t="s">
        <v>1340</v>
      </c>
      <c r="F865" s="81" t="s">
        <v>165</v>
      </c>
      <c r="G865" s="81" t="s">
        <v>1341</v>
      </c>
      <c r="H865" s="81"/>
      <c r="I865" s="81"/>
      <c r="J865" s="81"/>
      <c r="K865" s="81"/>
      <c r="L865" s="81"/>
      <c r="M865" s="82" t="s">
        <v>43</v>
      </c>
      <c r="N865" s="82"/>
      <c r="O865" s="82"/>
      <c r="P865" s="82"/>
      <c r="Q865" s="82"/>
      <c r="R865" s="111"/>
      <c r="S865" s="82"/>
      <c r="T865" s="81" t="s">
        <v>144</v>
      </c>
      <c r="U865" s="81"/>
    </row>
    <row r="866" spans="1:21" x14ac:dyDescent="0.25">
      <c r="A866" s="81"/>
      <c r="B866" s="81"/>
      <c r="C866" s="81" t="s">
        <v>144</v>
      </c>
      <c r="D866" s="81" t="s">
        <v>147</v>
      </c>
      <c r="E866" s="81" t="s">
        <v>1342</v>
      </c>
      <c r="F866" s="81" t="s">
        <v>165</v>
      </c>
      <c r="G866" s="81" t="s">
        <v>1343</v>
      </c>
      <c r="H866" s="81"/>
      <c r="I866" s="81"/>
      <c r="J866" s="81"/>
      <c r="K866" s="81"/>
      <c r="L866" s="81"/>
      <c r="M866" s="82" t="s">
        <v>43</v>
      </c>
      <c r="N866" s="82"/>
      <c r="O866" s="82"/>
      <c r="P866" s="82"/>
      <c r="Q866" s="82"/>
      <c r="R866" s="111">
        <v>45891</v>
      </c>
      <c r="S866" s="82"/>
      <c r="T866" s="81" t="s">
        <v>144</v>
      </c>
      <c r="U866" s="81"/>
    </row>
    <row r="867" spans="1:21" ht="30" x14ac:dyDescent="0.25">
      <c r="A867" s="81"/>
      <c r="B867" s="81"/>
      <c r="C867" s="81" t="s">
        <v>144</v>
      </c>
      <c r="D867" s="81" t="s">
        <v>147</v>
      </c>
      <c r="E867" s="81" t="s">
        <v>1344</v>
      </c>
      <c r="F867" s="81" t="s">
        <v>164</v>
      </c>
      <c r="G867" s="81" t="s">
        <v>1345</v>
      </c>
      <c r="H867" s="81"/>
      <c r="I867" s="81"/>
      <c r="J867" s="81"/>
      <c r="K867" s="81"/>
      <c r="L867" s="81"/>
      <c r="M867" s="82" t="s">
        <v>43</v>
      </c>
      <c r="N867" s="82"/>
      <c r="O867" s="82"/>
      <c r="P867" s="82"/>
      <c r="Q867" s="82"/>
      <c r="R867" s="111"/>
      <c r="S867" s="82"/>
      <c r="T867" s="81" t="s">
        <v>144</v>
      </c>
      <c r="U867" s="81"/>
    </row>
    <row r="868" spans="1:21" ht="30" x14ac:dyDescent="0.25">
      <c r="A868" s="81"/>
      <c r="B868" s="81"/>
      <c r="C868" s="81" t="s">
        <v>144</v>
      </c>
      <c r="D868" s="81" t="s">
        <v>147</v>
      </c>
      <c r="E868" s="81" t="s">
        <v>1346</v>
      </c>
      <c r="F868" s="81" t="s">
        <v>164</v>
      </c>
      <c r="G868" s="81" t="s">
        <v>1347</v>
      </c>
      <c r="H868" s="81"/>
      <c r="I868" s="81"/>
      <c r="J868" s="81"/>
      <c r="K868" s="81"/>
      <c r="L868" s="81"/>
      <c r="M868" s="82" t="s">
        <v>43</v>
      </c>
      <c r="N868" s="82"/>
      <c r="O868" s="82"/>
      <c r="P868" s="82"/>
      <c r="Q868" s="82" t="s">
        <v>1348</v>
      </c>
      <c r="R868" s="111">
        <v>45866</v>
      </c>
      <c r="S868" s="82" t="s">
        <v>11</v>
      </c>
      <c r="T868" s="81" t="s">
        <v>144</v>
      </c>
      <c r="U868" s="81"/>
    </row>
    <row r="869" spans="1:21" ht="30" x14ac:dyDescent="0.25">
      <c r="A869" s="81"/>
      <c r="B869" s="81"/>
      <c r="C869" s="81" t="s">
        <v>144</v>
      </c>
      <c r="D869" s="81" t="s">
        <v>147</v>
      </c>
      <c r="E869" s="81" t="s">
        <v>1349</v>
      </c>
      <c r="F869" s="81" t="s">
        <v>165</v>
      </c>
      <c r="G869" s="81" t="s">
        <v>1350</v>
      </c>
      <c r="H869" s="81"/>
      <c r="I869" s="81"/>
      <c r="J869" s="81"/>
      <c r="K869" s="81"/>
      <c r="L869" s="81"/>
      <c r="M869" s="82" t="s">
        <v>43</v>
      </c>
      <c r="N869" s="82"/>
      <c r="O869" s="82"/>
      <c r="P869" s="82"/>
      <c r="Q869" s="82"/>
      <c r="R869" s="111"/>
      <c r="S869" s="82"/>
      <c r="T869" s="81" t="s">
        <v>144</v>
      </c>
      <c r="U869" s="81"/>
    </row>
    <row r="870" spans="1:21" ht="30" x14ac:dyDescent="0.25">
      <c r="A870" s="81"/>
      <c r="B870" s="81"/>
      <c r="C870" s="81" t="s">
        <v>144</v>
      </c>
      <c r="D870" s="81" t="s">
        <v>147</v>
      </c>
      <c r="E870" s="81" t="s">
        <v>1351</v>
      </c>
      <c r="F870" s="81" t="s">
        <v>165</v>
      </c>
      <c r="G870" s="81" t="s">
        <v>1352</v>
      </c>
      <c r="H870" s="81"/>
      <c r="I870" s="81"/>
      <c r="J870" s="81"/>
      <c r="K870" s="81"/>
      <c r="L870" s="81"/>
      <c r="M870" s="82" t="s">
        <v>43</v>
      </c>
      <c r="N870" s="82"/>
      <c r="O870" s="82"/>
      <c r="P870" s="82"/>
      <c r="Q870" s="82"/>
      <c r="R870" s="111"/>
      <c r="S870" s="82"/>
      <c r="T870" s="81" t="s">
        <v>144</v>
      </c>
      <c r="U870" s="81"/>
    </row>
    <row r="871" spans="1:21" x14ac:dyDescent="0.25">
      <c r="A871" s="81"/>
      <c r="B871" s="81"/>
      <c r="C871" s="81" t="s">
        <v>144</v>
      </c>
      <c r="D871" s="81" t="s">
        <v>147</v>
      </c>
      <c r="E871" s="81" t="s">
        <v>1353</v>
      </c>
      <c r="F871" s="81" t="s">
        <v>165</v>
      </c>
      <c r="G871" s="81" t="s">
        <v>1354</v>
      </c>
      <c r="H871" s="81"/>
      <c r="I871" s="81"/>
      <c r="J871" s="81"/>
      <c r="K871" s="81"/>
      <c r="L871" s="81"/>
      <c r="M871" s="82" t="s">
        <v>43</v>
      </c>
      <c r="N871" s="82"/>
      <c r="O871" s="82"/>
      <c r="P871" s="82"/>
      <c r="Q871" s="82" t="s">
        <v>1355</v>
      </c>
      <c r="R871" s="111">
        <v>45754</v>
      </c>
      <c r="S871" s="82" t="s">
        <v>20</v>
      </c>
      <c r="T871" s="81" t="s">
        <v>144</v>
      </c>
      <c r="U871" s="81"/>
    </row>
    <row r="872" spans="1:21" x14ac:dyDescent="0.25">
      <c r="A872" s="81"/>
      <c r="B872" s="81"/>
      <c r="C872" s="81" t="s">
        <v>144</v>
      </c>
      <c r="D872" s="81" t="s">
        <v>147</v>
      </c>
      <c r="E872" s="81" t="s">
        <v>1356</v>
      </c>
      <c r="F872" s="81" t="s">
        <v>149</v>
      </c>
      <c r="G872" s="81" t="s">
        <v>1357</v>
      </c>
      <c r="H872" s="81"/>
      <c r="I872" s="81"/>
      <c r="J872" s="81"/>
      <c r="K872" s="81"/>
      <c r="L872" s="81"/>
      <c r="M872" s="82" t="s">
        <v>43</v>
      </c>
      <c r="N872" s="82"/>
      <c r="O872" s="82"/>
      <c r="P872" s="82"/>
      <c r="Q872" s="82"/>
      <c r="R872" s="111">
        <v>45820</v>
      </c>
      <c r="S872" s="82" t="s">
        <v>227</v>
      </c>
      <c r="T872" s="81" t="s">
        <v>144</v>
      </c>
      <c r="U872" s="81" t="s">
        <v>144</v>
      </c>
    </row>
    <row r="873" spans="1:21" ht="30" x14ac:dyDescent="0.25">
      <c r="A873" s="81"/>
      <c r="B873" s="81" t="s">
        <v>8</v>
      </c>
      <c r="C873" s="81" t="s">
        <v>144</v>
      </c>
      <c r="D873" s="81" t="s">
        <v>147</v>
      </c>
      <c r="E873" s="81" t="s">
        <v>1358</v>
      </c>
      <c r="F873" s="81" t="s">
        <v>165</v>
      </c>
      <c r="G873" s="81" t="s">
        <v>1359</v>
      </c>
      <c r="H873" s="81"/>
      <c r="I873" s="81"/>
      <c r="J873" s="81"/>
      <c r="K873" s="81"/>
      <c r="L873" s="81"/>
      <c r="M873" s="82" t="s">
        <v>43</v>
      </c>
      <c r="N873" s="82"/>
      <c r="O873" s="82"/>
      <c r="P873" s="82"/>
      <c r="Q873" s="82"/>
      <c r="R873" s="111"/>
      <c r="S873" s="82"/>
      <c r="T873" s="81" t="s">
        <v>144</v>
      </c>
      <c r="U873" s="81" t="s">
        <v>144</v>
      </c>
    </row>
    <row r="874" spans="1:21" ht="45" x14ac:dyDescent="0.25">
      <c r="A874" s="81"/>
      <c r="B874" s="81" t="s">
        <v>8</v>
      </c>
      <c r="C874" s="81" t="s">
        <v>144</v>
      </c>
      <c r="D874" s="81" t="s">
        <v>147</v>
      </c>
      <c r="E874" s="81" t="s">
        <v>1360</v>
      </c>
      <c r="F874" s="81" t="s">
        <v>149</v>
      </c>
      <c r="G874" s="81" t="s">
        <v>1361</v>
      </c>
      <c r="H874" s="81"/>
      <c r="I874" s="81"/>
      <c r="J874" s="81"/>
      <c r="K874" s="81"/>
      <c r="L874" s="81"/>
      <c r="M874" s="82" t="s">
        <v>43</v>
      </c>
      <c r="N874" s="82"/>
      <c r="O874" s="82"/>
      <c r="P874" s="82"/>
      <c r="Q874" s="82"/>
      <c r="R874" s="111"/>
      <c r="S874" s="82"/>
      <c r="T874" s="81" t="s">
        <v>144</v>
      </c>
      <c r="U874" s="81" t="s">
        <v>144</v>
      </c>
    </row>
    <row r="875" spans="1:21" ht="45" x14ac:dyDescent="0.25">
      <c r="A875" s="81"/>
      <c r="B875" s="81" t="s">
        <v>8</v>
      </c>
      <c r="C875" s="81" t="s">
        <v>144</v>
      </c>
      <c r="D875" s="81" t="s">
        <v>147</v>
      </c>
      <c r="E875" s="81" t="s">
        <v>1362</v>
      </c>
      <c r="F875" s="81" t="s">
        <v>149</v>
      </c>
      <c r="G875" s="81" t="s">
        <v>1363</v>
      </c>
      <c r="H875" s="81"/>
      <c r="I875" s="81"/>
      <c r="J875" s="81"/>
      <c r="K875" s="81"/>
      <c r="L875" s="81"/>
      <c r="M875" s="82" t="s">
        <v>43</v>
      </c>
      <c r="N875" s="82"/>
      <c r="O875" s="82"/>
      <c r="P875" s="82"/>
      <c r="Q875" s="82"/>
      <c r="R875" s="111"/>
      <c r="S875" s="82"/>
      <c r="T875" s="81" t="s">
        <v>144</v>
      </c>
      <c r="U875" s="81" t="s">
        <v>144</v>
      </c>
    </row>
    <row r="876" spans="1:21" x14ac:dyDescent="0.25">
      <c r="A876" s="81"/>
      <c r="B876" s="81" t="s">
        <v>8</v>
      </c>
      <c r="C876" s="81" t="s">
        <v>144</v>
      </c>
      <c r="D876" s="81" t="s">
        <v>147</v>
      </c>
      <c r="E876" s="81" t="s">
        <v>1364</v>
      </c>
      <c r="F876" s="81" t="s">
        <v>149</v>
      </c>
      <c r="G876" s="81" t="s">
        <v>1365</v>
      </c>
      <c r="H876" s="81"/>
      <c r="I876" s="81"/>
      <c r="J876" s="81"/>
      <c r="K876" s="81"/>
      <c r="L876" s="81"/>
      <c r="M876" s="82" t="s">
        <v>43</v>
      </c>
      <c r="N876" s="82"/>
      <c r="O876" s="82"/>
      <c r="P876" s="82"/>
      <c r="Q876" s="82"/>
      <c r="R876" s="111"/>
      <c r="S876" s="82"/>
      <c r="T876" s="81" t="s">
        <v>144</v>
      </c>
      <c r="U876" s="81" t="s">
        <v>144</v>
      </c>
    </row>
    <row r="877" spans="1:21" x14ac:dyDescent="0.25">
      <c r="A877" s="81"/>
      <c r="B877" s="81" t="s">
        <v>8</v>
      </c>
      <c r="C877" s="81" t="s">
        <v>144</v>
      </c>
      <c r="D877" s="81" t="s">
        <v>147</v>
      </c>
      <c r="E877" s="81" t="s">
        <v>1366</v>
      </c>
      <c r="F877" s="81" t="s">
        <v>165</v>
      </c>
      <c r="G877" s="81" t="s">
        <v>1367</v>
      </c>
      <c r="H877" s="81"/>
      <c r="I877" s="81"/>
      <c r="J877" s="81"/>
      <c r="K877" s="81"/>
      <c r="L877" s="81"/>
      <c r="M877" s="82" t="s">
        <v>43</v>
      </c>
      <c r="N877" s="82"/>
      <c r="O877" s="82"/>
      <c r="P877" s="82"/>
      <c r="Q877" s="82" t="s">
        <v>1368</v>
      </c>
      <c r="R877" s="111"/>
      <c r="S877" s="82"/>
      <c r="T877" s="81" t="s">
        <v>144</v>
      </c>
      <c r="U877" s="81" t="s">
        <v>144</v>
      </c>
    </row>
    <row r="878" spans="1:21" ht="45" x14ac:dyDescent="0.25">
      <c r="A878" s="81"/>
      <c r="B878" s="81"/>
      <c r="C878" s="81" t="s">
        <v>144</v>
      </c>
      <c r="D878" s="81" t="s">
        <v>147</v>
      </c>
      <c r="E878" s="81" t="s">
        <v>1369</v>
      </c>
      <c r="F878" s="81" t="s">
        <v>149</v>
      </c>
      <c r="G878" s="81" t="s">
        <v>1370</v>
      </c>
      <c r="H878" s="81"/>
      <c r="I878" s="81"/>
      <c r="J878" s="81"/>
      <c r="K878" s="81"/>
      <c r="L878" s="81"/>
      <c r="M878" s="82" t="s">
        <v>43</v>
      </c>
      <c r="N878" s="82"/>
      <c r="O878" s="82"/>
      <c r="P878" s="82"/>
      <c r="Q878" s="82"/>
      <c r="R878" s="111"/>
      <c r="S878" s="82"/>
      <c r="T878" s="81" t="s">
        <v>144</v>
      </c>
      <c r="U878" s="81" t="s">
        <v>144</v>
      </c>
    </row>
    <row r="879" spans="1:21" ht="30" x14ac:dyDescent="0.25">
      <c r="A879" s="81"/>
      <c r="B879" s="81"/>
      <c r="C879" s="81" t="s">
        <v>144</v>
      </c>
      <c r="D879" s="81" t="s">
        <v>147</v>
      </c>
      <c r="E879" s="81" t="s">
        <v>1371</v>
      </c>
      <c r="F879" s="81" t="s">
        <v>164</v>
      </c>
      <c r="G879" s="81" t="s">
        <v>1220</v>
      </c>
      <c r="H879" s="81"/>
      <c r="I879" s="81"/>
      <c r="J879" s="81"/>
      <c r="K879" s="81"/>
      <c r="L879" s="81"/>
      <c r="M879" s="82" t="s">
        <v>43</v>
      </c>
      <c r="N879" s="82"/>
      <c r="O879" s="82"/>
      <c r="P879" s="82"/>
      <c r="Q879" s="82"/>
      <c r="R879" s="111"/>
      <c r="S879" s="82"/>
      <c r="T879" s="81" t="s">
        <v>144</v>
      </c>
      <c r="U879" s="81" t="s">
        <v>144</v>
      </c>
    </row>
    <row r="880" spans="1:21" ht="30" x14ac:dyDescent="0.25">
      <c r="A880" s="81"/>
      <c r="B880" s="81"/>
      <c r="C880" s="81" t="s">
        <v>144</v>
      </c>
      <c r="D880" s="81" t="s">
        <v>147</v>
      </c>
      <c r="E880" s="81" t="s">
        <v>1372</v>
      </c>
      <c r="F880" s="81" t="s">
        <v>149</v>
      </c>
      <c r="G880" s="81" t="s">
        <v>1373</v>
      </c>
      <c r="H880" s="81"/>
      <c r="I880" s="81"/>
      <c r="J880" s="81"/>
      <c r="K880" s="81"/>
      <c r="L880" s="81"/>
      <c r="M880" s="82" t="s">
        <v>43</v>
      </c>
      <c r="N880" s="82"/>
      <c r="O880" s="82"/>
      <c r="P880" s="82"/>
      <c r="Q880" s="82" t="s">
        <v>1374</v>
      </c>
      <c r="R880" s="111">
        <v>45813</v>
      </c>
      <c r="S880" s="82" t="s">
        <v>1375</v>
      </c>
      <c r="T880" s="81" t="s">
        <v>144</v>
      </c>
      <c r="U880" s="81" t="s">
        <v>144</v>
      </c>
    </row>
    <row r="881" spans="1:21" ht="30" x14ac:dyDescent="0.25">
      <c r="A881" s="81"/>
      <c r="B881" s="81" t="s">
        <v>8</v>
      </c>
      <c r="C881" s="81" t="s">
        <v>144</v>
      </c>
      <c r="D881" s="81" t="s">
        <v>147</v>
      </c>
      <c r="E881" s="81" t="s">
        <v>1376</v>
      </c>
      <c r="F881" s="81" t="s">
        <v>149</v>
      </c>
      <c r="G881" s="81" t="s">
        <v>1377</v>
      </c>
      <c r="H881" s="81"/>
      <c r="I881" s="81"/>
      <c r="J881" s="81"/>
      <c r="K881" s="81"/>
      <c r="L881" s="81"/>
      <c r="M881" s="82" t="s">
        <v>43</v>
      </c>
      <c r="N881" s="82"/>
      <c r="O881" s="82"/>
      <c r="P881" s="82"/>
      <c r="Q881" s="82" t="s">
        <v>1378</v>
      </c>
      <c r="R881" s="111">
        <v>45818</v>
      </c>
      <c r="S881" s="82" t="s">
        <v>45</v>
      </c>
      <c r="T881" s="81" t="s">
        <v>144</v>
      </c>
      <c r="U881" s="81" t="s">
        <v>144</v>
      </c>
    </row>
    <row r="882" spans="1:21" x14ac:dyDescent="0.25">
      <c r="A882" s="81"/>
      <c r="B882" s="81" t="s">
        <v>8</v>
      </c>
      <c r="C882" s="81" t="s">
        <v>144</v>
      </c>
      <c r="D882" s="81" t="s">
        <v>147</v>
      </c>
      <c r="E882" s="81" t="s">
        <v>1379</v>
      </c>
      <c r="F882" s="81" t="s">
        <v>149</v>
      </c>
      <c r="G882" s="81" t="s">
        <v>1380</v>
      </c>
      <c r="H882" s="81"/>
      <c r="I882" s="81"/>
      <c r="J882" s="81"/>
      <c r="K882" s="81"/>
      <c r="L882" s="81"/>
      <c r="M882" s="82" t="s">
        <v>43</v>
      </c>
      <c r="N882" s="82"/>
      <c r="O882" s="82"/>
      <c r="P882" s="82"/>
      <c r="Q882" s="82"/>
      <c r="R882" s="111">
        <v>45818</v>
      </c>
      <c r="S882" s="82" t="s">
        <v>23</v>
      </c>
      <c r="T882" s="81" t="s">
        <v>144</v>
      </c>
      <c r="U882" s="81" t="s">
        <v>144</v>
      </c>
    </row>
    <row r="883" spans="1:21" ht="30" x14ac:dyDescent="0.25">
      <c r="A883" s="81"/>
      <c r="B883" s="81" t="s">
        <v>8</v>
      </c>
      <c r="C883" s="81" t="s">
        <v>144</v>
      </c>
      <c r="D883" s="81" t="s">
        <v>143</v>
      </c>
      <c r="E883" s="81" t="s">
        <v>1381</v>
      </c>
      <c r="F883" s="81" t="s">
        <v>165</v>
      </c>
      <c r="G883" s="81" t="s">
        <v>1382</v>
      </c>
      <c r="H883" s="81"/>
      <c r="I883" s="81"/>
      <c r="J883" s="81"/>
      <c r="K883" s="81"/>
      <c r="L883" s="81"/>
      <c r="M883" s="82" t="s">
        <v>43</v>
      </c>
      <c r="N883" s="82"/>
      <c r="O883" s="82"/>
      <c r="P883" s="82"/>
      <c r="Q883" s="82"/>
      <c r="R883" s="111"/>
      <c r="S883" s="82"/>
      <c r="T883" s="81" t="s">
        <v>144</v>
      </c>
      <c r="U883" s="81" t="s">
        <v>144</v>
      </c>
    </row>
    <row r="884" spans="1:21" ht="30" x14ac:dyDescent="0.25">
      <c r="A884" s="81"/>
      <c r="B884" s="81"/>
      <c r="C884" s="81" t="s">
        <v>144</v>
      </c>
      <c r="D884" s="81" t="s">
        <v>147</v>
      </c>
      <c r="E884" s="81" t="s">
        <v>1383</v>
      </c>
      <c r="F884" s="81" t="s">
        <v>164</v>
      </c>
      <c r="G884" s="81" t="s">
        <v>1384</v>
      </c>
      <c r="H884" s="81"/>
      <c r="I884" s="81"/>
      <c r="J884" s="81"/>
      <c r="K884" s="81"/>
      <c r="L884" s="81"/>
      <c r="M884" s="82" t="s">
        <v>43</v>
      </c>
      <c r="N884" s="82"/>
      <c r="O884" s="82"/>
      <c r="P884" s="82"/>
      <c r="Q884" s="82"/>
      <c r="R884" s="111">
        <v>45834</v>
      </c>
      <c r="S884" s="82" t="s">
        <v>1235</v>
      </c>
      <c r="T884" s="81" t="s">
        <v>144</v>
      </c>
      <c r="U884" s="81" t="s">
        <v>144</v>
      </c>
    </row>
    <row r="885" spans="1:21" ht="30" x14ac:dyDescent="0.25">
      <c r="A885" s="81"/>
      <c r="B885" s="81"/>
      <c r="C885" s="81" t="s">
        <v>144</v>
      </c>
      <c r="D885" s="81" t="s">
        <v>147</v>
      </c>
      <c r="E885" s="81" t="s">
        <v>1385</v>
      </c>
      <c r="F885" s="81" t="s">
        <v>164</v>
      </c>
      <c r="G885" s="81" t="s">
        <v>1386</v>
      </c>
      <c r="H885" s="81"/>
      <c r="I885" s="81"/>
      <c r="J885" s="81"/>
      <c r="K885" s="81"/>
      <c r="L885" s="81"/>
      <c r="M885" s="82" t="s">
        <v>43</v>
      </c>
      <c r="N885" s="82"/>
      <c r="O885" s="82"/>
      <c r="P885" s="82"/>
      <c r="Q885" s="82"/>
      <c r="R885" s="111"/>
      <c r="S885" s="82"/>
      <c r="T885" s="81" t="s">
        <v>144</v>
      </c>
      <c r="U885" s="81" t="s">
        <v>144</v>
      </c>
    </row>
    <row r="886" spans="1:21" ht="30" x14ac:dyDescent="0.25">
      <c r="A886" s="81"/>
      <c r="B886" s="81"/>
      <c r="C886" s="81" t="s">
        <v>144</v>
      </c>
      <c r="D886" s="81" t="s">
        <v>147</v>
      </c>
      <c r="E886" s="81" t="s">
        <v>1387</v>
      </c>
      <c r="F886" s="81" t="s">
        <v>165</v>
      </c>
      <c r="G886" s="81" t="s">
        <v>1388</v>
      </c>
      <c r="H886" s="81"/>
      <c r="I886" s="81"/>
      <c r="J886" s="81"/>
      <c r="K886" s="81"/>
      <c r="L886" s="81"/>
      <c r="M886" s="82" t="s">
        <v>43</v>
      </c>
      <c r="N886" s="82"/>
      <c r="O886" s="82"/>
      <c r="P886" s="82"/>
      <c r="Q886" s="82" t="s">
        <v>1389</v>
      </c>
      <c r="R886" s="111"/>
      <c r="S886" s="82" t="s">
        <v>3260</v>
      </c>
      <c r="T886" s="81" t="s">
        <v>144</v>
      </c>
      <c r="U886" s="81"/>
    </row>
    <row r="887" spans="1:21" ht="30" x14ac:dyDescent="0.25">
      <c r="A887" s="81"/>
      <c r="B887" s="81"/>
      <c r="C887" s="81" t="s">
        <v>144</v>
      </c>
      <c r="D887" s="81" t="s">
        <v>147</v>
      </c>
      <c r="E887" s="81" t="s">
        <v>1390</v>
      </c>
      <c r="F887" s="81" t="s">
        <v>149</v>
      </c>
      <c r="G887" s="81" t="s">
        <v>1391</v>
      </c>
      <c r="H887" s="81"/>
      <c r="I887" s="81"/>
      <c r="J887" s="81"/>
      <c r="K887" s="81"/>
      <c r="L887" s="81"/>
      <c r="M887" s="82" t="s">
        <v>43</v>
      </c>
      <c r="N887" s="82"/>
      <c r="O887" s="82"/>
      <c r="P887" s="82"/>
      <c r="Q887" s="82"/>
      <c r="R887" s="111"/>
      <c r="S887" s="82"/>
      <c r="T887" s="81" t="s">
        <v>144</v>
      </c>
      <c r="U887" s="81"/>
    </row>
    <row r="888" spans="1:21" ht="30" x14ac:dyDescent="0.25">
      <c r="A888" s="81"/>
      <c r="B888" s="81"/>
      <c r="C888" s="81" t="s">
        <v>144</v>
      </c>
      <c r="D888" s="81" t="s">
        <v>147</v>
      </c>
      <c r="E888" s="81" t="s">
        <v>1392</v>
      </c>
      <c r="F888" s="81" t="s">
        <v>164</v>
      </c>
      <c r="G888" s="81" t="s">
        <v>1393</v>
      </c>
      <c r="H888" s="81"/>
      <c r="I888" s="81"/>
      <c r="J888" s="81"/>
      <c r="K888" s="81"/>
      <c r="L888" s="81"/>
      <c r="M888" s="82" t="s">
        <v>43</v>
      </c>
      <c r="N888" s="82"/>
      <c r="O888" s="82"/>
      <c r="P888" s="82"/>
      <c r="Q888" s="82"/>
      <c r="R888" s="111"/>
      <c r="S888" s="82"/>
      <c r="T888" s="81" t="s">
        <v>144</v>
      </c>
      <c r="U888" s="81"/>
    </row>
    <row r="889" spans="1:21" x14ac:dyDescent="0.25">
      <c r="A889" s="81"/>
      <c r="B889" s="81"/>
      <c r="C889" s="81" t="s">
        <v>144</v>
      </c>
      <c r="D889" s="81" t="s">
        <v>147</v>
      </c>
      <c r="E889" s="81" t="s">
        <v>1394</v>
      </c>
      <c r="F889" s="81" t="s">
        <v>164</v>
      </c>
      <c r="G889" s="81" t="s">
        <v>1395</v>
      </c>
      <c r="H889" s="81"/>
      <c r="I889" s="81"/>
      <c r="J889" s="81"/>
      <c r="K889" s="81"/>
      <c r="L889" s="81"/>
      <c r="M889" s="82" t="s">
        <v>43</v>
      </c>
      <c r="N889" s="82"/>
      <c r="O889" s="82"/>
      <c r="P889" s="82"/>
      <c r="Q889" s="82"/>
      <c r="R889" s="111"/>
      <c r="S889" s="82"/>
      <c r="T889" s="81" t="s">
        <v>144</v>
      </c>
      <c r="U889" s="81"/>
    </row>
    <row r="890" spans="1:21" x14ac:dyDescent="0.25">
      <c r="A890" s="81"/>
      <c r="B890" s="81"/>
      <c r="C890" s="81" t="s">
        <v>144</v>
      </c>
      <c r="D890" s="81" t="s">
        <v>147</v>
      </c>
      <c r="E890" s="81" t="s">
        <v>1396</v>
      </c>
      <c r="F890" s="81" t="s">
        <v>164</v>
      </c>
      <c r="G890" s="81" t="s">
        <v>1397</v>
      </c>
      <c r="H890" s="81"/>
      <c r="I890" s="81"/>
      <c r="J890" s="81"/>
      <c r="K890" s="81"/>
      <c r="L890" s="81"/>
      <c r="M890" s="82" t="s">
        <v>43</v>
      </c>
      <c r="N890" s="82"/>
      <c r="O890" s="82"/>
      <c r="P890" s="82"/>
      <c r="Q890" s="82"/>
      <c r="R890" s="111"/>
      <c r="S890" s="82"/>
      <c r="T890" s="81" t="s">
        <v>144</v>
      </c>
      <c r="U890" s="81" t="s">
        <v>144</v>
      </c>
    </row>
    <row r="891" spans="1:21" x14ac:dyDescent="0.25">
      <c r="A891" s="81"/>
      <c r="B891" s="81"/>
      <c r="C891" s="81" t="s">
        <v>144</v>
      </c>
      <c r="D891" s="81" t="s">
        <v>147</v>
      </c>
      <c r="E891" s="81" t="s">
        <v>1398</v>
      </c>
      <c r="F891" s="81" t="s">
        <v>164</v>
      </c>
      <c r="G891" s="81" t="s">
        <v>1399</v>
      </c>
      <c r="H891" s="81"/>
      <c r="I891" s="81"/>
      <c r="J891" s="81"/>
      <c r="K891" s="81"/>
      <c r="L891" s="81"/>
      <c r="M891" s="82" t="s">
        <v>43</v>
      </c>
      <c r="N891" s="82"/>
      <c r="O891" s="82"/>
      <c r="P891" s="82"/>
      <c r="Q891" s="82"/>
      <c r="R891" s="111"/>
      <c r="S891" s="82"/>
      <c r="T891" s="81" t="s">
        <v>144</v>
      </c>
      <c r="U891" s="81"/>
    </row>
    <row r="892" spans="1:21" x14ac:dyDescent="0.25">
      <c r="A892" s="81"/>
      <c r="B892" s="81"/>
      <c r="C892" s="81" t="s">
        <v>144</v>
      </c>
      <c r="D892" s="81" t="s">
        <v>147</v>
      </c>
      <c r="E892" s="81" t="s">
        <v>1400</v>
      </c>
      <c r="F892" s="81" t="s">
        <v>164</v>
      </c>
      <c r="G892" s="81" t="s">
        <v>1401</v>
      </c>
      <c r="H892" s="81"/>
      <c r="I892" s="81"/>
      <c r="J892" s="81"/>
      <c r="K892" s="81"/>
      <c r="L892" s="81"/>
      <c r="M892" s="82" t="s">
        <v>43</v>
      </c>
      <c r="N892" s="82"/>
      <c r="O892" s="82"/>
      <c r="P892" s="82"/>
      <c r="Q892" s="82" t="s">
        <v>1402</v>
      </c>
      <c r="R892" s="111">
        <v>45876</v>
      </c>
      <c r="S892" s="82" t="s">
        <v>1403</v>
      </c>
      <c r="T892" s="81" t="s">
        <v>144</v>
      </c>
      <c r="U892" s="81"/>
    </row>
    <row r="893" spans="1:21" x14ac:dyDescent="0.25">
      <c r="A893" s="81"/>
      <c r="B893" s="81"/>
      <c r="C893" s="81" t="s">
        <v>144</v>
      </c>
      <c r="D893" s="81" t="s">
        <v>147</v>
      </c>
      <c r="E893" s="81" t="s">
        <v>1404</v>
      </c>
      <c r="F893" s="81" t="s">
        <v>149</v>
      </c>
      <c r="G893" s="81" t="s">
        <v>1405</v>
      </c>
      <c r="H893" s="81"/>
      <c r="I893" s="81"/>
      <c r="J893" s="81"/>
      <c r="K893" s="81"/>
      <c r="L893" s="81"/>
      <c r="M893" s="82" t="s">
        <v>43</v>
      </c>
      <c r="N893" s="82"/>
      <c r="O893" s="82"/>
      <c r="P893" s="82"/>
      <c r="Q893" s="82"/>
      <c r="R893" s="111">
        <v>45891</v>
      </c>
      <c r="S893" s="82"/>
      <c r="T893" s="81" t="s">
        <v>144</v>
      </c>
      <c r="U893" s="81"/>
    </row>
    <row r="894" spans="1:21" ht="30" x14ac:dyDescent="0.25">
      <c r="A894" s="81"/>
      <c r="B894" s="81"/>
      <c r="C894" s="81" t="s">
        <v>144</v>
      </c>
      <c r="D894" s="81" t="s">
        <v>147</v>
      </c>
      <c r="E894" s="81" t="s">
        <v>1406</v>
      </c>
      <c r="F894" s="81" t="s">
        <v>149</v>
      </c>
      <c r="G894" s="81" t="s">
        <v>1407</v>
      </c>
      <c r="H894" s="81"/>
      <c r="I894" s="81"/>
      <c r="J894" s="81"/>
      <c r="K894" s="81"/>
      <c r="L894" s="81"/>
      <c r="M894" s="82" t="s">
        <v>43</v>
      </c>
      <c r="N894" s="82"/>
      <c r="O894" s="82"/>
      <c r="P894" s="82"/>
      <c r="Q894" s="82"/>
      <c r="R894" s="111"/>
      <c r="S894" s="82"/>
      <c r="T894" s="81" t="s">
        <v>144</v>
      </c>
      <c r="U894" s="81"/>
    </row>
    <row r="895" spans="1:21" ht="30" x14ac:dyDescent="0.25">
      <c r="A895" s="81"/>
      <c r="B895" s="81"/>
      <c r="C895" s="81" t="s">
        <v>144</v>
      </c>
      <c r="D895" s="81" t="s">
        <v>147</v>
      </c>
      <c r="E895" s="81" t="s">
        <v>1408</v>
      </c>
      <c r="F895" s="81" t="s">
        <v>165</v>
      </c>
      <c r="G895" s="81" t="s">
        <v>1409</v>
      </c>
      <c r="H895" s="81"/>
      <c r="I895" s="81"/>
      <c r="J895" s="81"/>
      <c r="K895" s="81"/>
      <c r="L895" s="81"/>
      <c r="M895" s="82" t="s">
        <v>43</v>
      </c>
      <c r="N895" s="82"/>
      <c r="O895" s="82"/>
      <c r="P895" s="82"/>
      <c r="Q895" s="82"/>
      <c r="R895" s="111"/>
      <c r="S895" s="82"/>
      <c r="T895" s="81" t="s">
        <v>144</v>
      </c>
      <c r="U895" s="81"/>
    </row>
    <row r="896" spans="1:21" ht="30" x14ac:dyDescent="0.25">
      <c r="A896" s="81"/>
      <c r="B896" s="81"/>
      <c r="C896" s="81" t="s">
        <v>144</v>
      </c>
      <c r="D896" s="81" t="s">
        <v>147</v>
      </c>
      <c r="E896" s="81" t="s">
        <v>1410</v>
      </c>
      <c r="F896" s="81" t="s">
        <v>165</v>
      </c>
      <c r="G896" s="81" t="s">
        <v>1411</v>
      </c>
      <c r="H896" s="81"/>
      <c r="I896" s="81"/>
      <c r="J896" s="81"/>
      <c r="K896" s="81"/>
      <c r="L896" s="81"/>
      <c r="M896" s="82" t="s">
        <v>43</v>
      </c>
      <c r="N896" s="82"/>
      <c r="O896" s="82"/>
      <c r="P896" s="82"/>
      <c r="Q896" s="82" t="s">
        <v>1412</v>
      </c>
      <c r="R896" s="111">
        <v>45938</v>
      </c>
      <c r="S896" s="82" t="s">
        <v>1413</v>
      </c>
      <c r="T896" s="81" t="s">
        <v>144</v>
      </c>
      <c r="U896" s="81"/>
    </row>
    <row r="897" spans="1:21" x14ac:dyDescent="0.25">
      <c r="A897" s="81"/>
      <c r="B897" s="81"/>
      <c r="C897" s="81" t="s">
        <v>144</v>
      </c>
      <c r="D897" s="81" t="s">
        <v>147</v>
      </c>
      <c r="E897" s="81" t="s">
        <v>1414</v>
      </c>
      <c r="F897" s="81" t="s">
        <v>149</v>
      </c>
      <c r="G897" s="81" t="s">
        <v>1415</v>
      </c>
      <c r="H897" s="81"/>
      <c r="I897" s="81"/>
      <c r="J897" s="81"/>
      <c r="K897" s="81"/>
      <c r="L897" s="81"/>
      <c r="M897" s="82" t="s">
        <v>43</v>
      </c>
      <c r="N897" s="82"/>
      <c r="O897" s="82"/>
      <c r="P897" s="82"/>
      <c r="Q897" s="82"/>
      <c r="R897" s="111"/>
      <c r="S897" s="82"/>
      <c r="T897" s="81" t="s">
        <v>144</v>
      </c>
      <c r="U897" s="81"/>
    </row>
    <row r="898" spans="1:21" x14ac:dyDescent="0.25">
      <c r="A898" s="81"/>
      <c r="B898" s="81"/>
      <c r="C898" s="81" t="s">
        <v>144</v>
      </c>
      <c r="D898" s="81" t="s">
        <v>147</v>
      </c>
      <c r="E898" s="81" t="s">
        <v>1416</v>
      </c>
      <c r="F898" s="81" t="s">
        <v>165</v>
      </c>
      <c r="G898" s="81" t="s">
        <v>1417</v>
      </c>
      <c r="H898" s="81"/>
      <c r="I898" s="81"/>
      <c r="J898" s="81"/>
      <c r="K898" s="81"/>
      <c r="L898" s="81"/>
      <c r="M898" s="82" t="s">
        <v>43</v>
      </c>
      <c r="N898" s="82"/>
      <c r="O898" s="82"/>
      <c r="P898" s="82"/>
      <c r="Q898" s="82"/>
      <c r="R898" s="111"/>
      <c r="S898" s="82"/>
      <c r="T898" s="81" t="s">
        <v>144</v>
      </c>
      <c r="U898" s="81"/>
    </row>
    <row r="899" spans="1:21" ht="45" x14ac:dyDescent="0.25">
      <c r="A899" s="81"/>
      <c r="B899" s="81"/>
      <c r="C899" s="81" t="s">
        <v>144</v>
      </c>
      <c r="D899" s="81" t="s">
        <v>147</v>
      </c>
      <c r="E899" s="81" t="s">
        <v>1418</v>
      </c>
      <c r="F899" s="81" t="s">
        <v>149</v>
      </c>
      <c r="G899" s="81" t="s">
        <v>1419</v>
      </c>
      <c r="H899" s="81"/>
      <c r="I899" s="81"/>
      <c r="J899" s="81"/>
      <c r="K899" s="81"/>
      <c r="L899" s="81"/>
      <c r="M899" s="82" t="s">
        <v>43</v>
      </c>
      <c r="N899" s="82"/>
      <c r="O899" s="82"/>
      <c r="P899" s="82"/>
      <c r="Q899" s="82" t="s">
        <v>1420</v>
      </c>
      <c r="R899" s="111">
        <v>45946</v>
      </c>
      <c r="S899" s="82" t="s">
        <v>20</v>
      </c>
      <c r="T899" s="81" t="s">
        <v>144</v>
      </c>
      <c r="U899" s="81"/>
    </row>
    <row r="900" spans="1:21" x14ac:dyDescent="0.25">
      <c r="A900" s="81"/>
      <c r="B900" s="81"/>
      <c r="C900" s="81" t="s">
        <v>144</v>
      </c>
      <c r="D900" s="81" t="s">
        <v>147</v>
      </c>
      <c r="E900" s="81" t="s">
        <v>1421</v>
      </c>
      <c r="F900" s="81" t="s">
        <v>165</v>
      </c>
      <c r="G900" s="81" t="s">
        <v>1422</v>
      </c>
      <c r="H900" s="81"/>
      <c r="I900" s="81"/>
      <c r="J900" s="81"/>
      <c r="K900" s="81"/>
      <c r="L900" s="81"/>
      <c r="M900" s="82" t="s">
        <v>43</v>
      </c>
      <c r="N900" s="82"/>
      <c r="O900" s="82"/>
      <c r="P900" s="82"/>
      <c r="Q900" s="82"/>
      <c r="R900" s="111"/>
      <c r="S900" s="82"/>
      <c r="T900" s="81" t="s">
        <v>144</v>
      </c>
      <c r="U900" s="81"/>
    </row>
    <row r="901" spans="1:21" ht="30" x14ac:dyDescent="0.25">
      <c r="A901" s="81"/>
      <c r="B901" s="81"/>
      <c r="C901" s="81" t="s">
        <v>144</v>
      </c>
      <c r="D901" s="81" t="s">
        <v>147</v>
      </c>
      <c r="E901" s="81" t="s">
        <v>1423</v>
      </c>
      <c r="F901" s="81" t="s">
        <v>149</v>
      </c>
      <c r="G901" s="81" t="s">
        <v>1424</v>
      </c>
      <c r="H901" s="81"/>
      <c r="I901" s="81"/>
      <c r="J901" s="81"/>
      <c r="K901" s="81"/>
      <c r="L901" s="81"/>
      <c r="M901" s="82" t="s">
        <v>43</v>
      </c>
      <c r="N901" s="82"/>
      <c r="O901" s="82"/>
      <c r="P901" s="82"/>
      <c r="Q901" s="82"/>
      <c r="R901" s="111"/>
      <c r="S901" s="82"/>
      <c r="T901" s="81" t="s">
        <v>144</v>
      </c>
      <c r="U901" s="81"/>
    </row>
    <row r="902" spans="1:21" x14ac:dyDescent="0.25">
      <c r="A902" s="81"/>
      <c r="B902" s="81"/>
      <c r="C902" s="81" t="s">
        <v>144</v>
      </c>
      <c r="D902" s="81" t="s">
        <v>147</v>
      </c>
      <c r="E902" s="81" t="s">
        <v>1425</v>
      </c>
      <c r="F902" s="81" t="s">
        <v>149</v>
      </c>
      <c r="G902" s="81" t="s">
        <v>1426</v>
      </c>
      <c r="H902" s="81"/>
      <c r="I902" s="81"/>
      <c r="J902" s="81"/>
      <c r="K902" s="81"/>
      <c r="L902" s="81"/>
      <c r="M902" s="82" t="s">
        <v>43</v>
      </c>
      <c r="N902" s="82"/>
      <c r="O902" s="82"/>
      <c r="P902" s="82"/>
      <c r="Q902" s="82"/>
      <c r="R902" s="111"/>
      <c r="S902" s="82"/>
      <c r="T902" s="81" t="s">
        <v>144</v>
      </c>
      <c r="U902" s="81"/>
    </row>
    <row r="903" spans="1:21" ht="30" x14ac:dyDescent="0.25">
      <c r="A903" s="81"/>
      <c r="B903" s="81"/>
      <c r="C903" s="81" t="s">
        <v>144</v>
      </c>
      <c r="D903" s="81" t="s">
        <v>147</v>
      </c>
      <c r="E903" s="81" t="s">
        <v>1336</v>
      </c>
      <c r="F903" s="81" t="s">
        <v>164</v>
      </c>
      <c r="G903" s="81" t="s">
        <v>1337</v>
      </c>
      <c r="H903" s="81"/>
      <c r="I903" s="81"/>
      <c r="J903" s="81"/>
      <c r="K903" s="81"/>
      <c r="L903" s="81"/>
      <c r="M903" s="82" t="s">
        <v>43</v>
      </c>
      <c r="N903" s="82"/>
      <c r="O903" s="82"/>
      <c r="P903" s="82"/>
      <c r="Q903" s="82"/>
      <c r="R903" s="111"/>
      <c r="S903" s="82"/>
      <c r="T903" s="81" t="s">
        <v>144</v>
      </c>
      <c r="U903" s="81"/>
    </row>
    <row r="904" spans="1:21" ht="30" x14ac:dyDescent="0.25">
      <c r="A904" s="81"/>
      <c r="B904" s="81"/>
      <c r="C904" s="81" t="s">
        <v>144</v>
      </c>
      <c r="D904" s="81" t="s">
        <v>147</v>
      </c>
      <c r="E904" s="81" t="s">
        <v>3524</v>
      </c>
      <c r="F904" s="81" t="s">
        <v>149</v>
      </c>
      <c r="G904" s="81" t="s">
        <v>3525</v>
      </c>
      <c r="H904" s="81"/>
      <c r="I904" s="81"/>
      <c r="J904" s="81"/>
      <c r="K904" s="81"/>
      <c r="L904" s="81"/>
      <c r="M904" s="82" t="s">
        <v>43</v>
      </c>
      <c r="N904" s="82"/>
      <c r="O904" s="82"/>
      <c r="P904" s="82"/>
      <c r="Q904" s="82"/>
      <c r="R904" s="111"/>
      <c r="S904" s="82"/>
      <c r="T904" s="81" t="s">
        <v>144</v>
      </c>
      <c r="U904" s="81"/>
    </row>
    <row r="905" spans="1:21" x14ac:dyDescent="0.25">
      <c r="A905" s="81"/>
      <c r="B905" s="81"/>
      <c r="C905" s="81" t="s">
        <v>8</v>
      </c>
      <c r="D905" s="81" t="s">
        <v>10</v>
      </c>
      <c r="E905" s="81" t="s">
        <v>2480</v>
      </c>
      <c r="F905" s="81" t="s">
        <v>150</v>
      </c>
      <c r="G905" s="81" t="s">
        <v>3548</v>
      </c>
      <c r="H905" s="81"/>
      <c r="I905" s="81"/>
      <c r="J905" s="81"/>
      <c r="K905" s="81"/>
      <c r="L905" s="81" t="s">
        <v>8</v>
      </c>
      <c r="M905" s="82" t="s">
        <v>43</v>
      </c>
      <c r="N905" s="82"/>
      <c r="O905" s="82"/>
      <c r="P905" s="82"/>
      <c r="Q905" s="82"/>
      <c r="R905" s="111"/>
      <c r="S905" s="82"/>
      <c r="T905" s="81" t="s">
        <v>144</v>
      </c>
      <c r="U905" s="81" t="s">
        <v>3550</v>
      </c>
    </row>
    <row r="906" spans="1:21" x14ac:dyDescent="0.25">
      <c r="A906" s="81"/>
      <c r="B906" s="81"/>
      <c r="C906" s="81" t="s">
        <v>144</v>
      </c>
      <c r="D906" s="81" t="s">
        <v>10</v>
      </c>
      <c r="E906" s="81" t="s">
        <v>2323</v>
      </c>
      <c r="F906" s="81" t="s">
        <v>150</v>
      </c>
      <c r="G906" s="81" t="s">
        <v>2324</v>
      </c>
      <c r="H906" s="81"/>
      <c r="I906" s="81"/>
      <c r="J906" s="81"/>
      <c r="K906" s="81"/>
      <c r="L906" s="81"/>
      <c r="M906" s="82" t="s">
        <v>43</v>
      </c>
      <c r="N906" s="82"/>
      <c r="O906" s="82"/>
      <c r="P906" s="82"/>
      <c r="Q906" s="82"/>
      <c r="R906" s="111"/>
      <c r="S906" s="82"/>
      <c r="T906" s="81" t="s">
        <v>144</v>
      </c>
      <c r="U906" s="81" t="s">
        <v>3379</v>
      </c>
    </row>
    <row r="907" spans="1:21" x14ac:dyDescent="0.25">
      <c r="A907" s="81"/>
      <c r="B907" s="81"/>
      <c r="C907" s="81" t="s">
        <v>144</v>
      </c>
      <c r="D907" s="81" t="s">
        <v>10</v>
      </c>
      <c r="E907" s="81" t="s">
        <v>2325</v>
      </c>
      <c r="F907" s="81" t="s">
        <v>150</v>
      </c>
      <c r="G907" s="81" t="s">
        <v>3506</v>
      </c>
      <c r="H907" s="81"/>
      <c r="I907" s="81"/>
      <c r="J907" s="81"/>
      <c r="K907" s="81"/>
      <c r="L907" s="81"/>
      <c r="M907" s="82" t="s">
        <v>43</v>
      </c>
      <c r="N907" s="82"/>
      <c r="O907" s="82"/>
      <c r="P907" s="82"/>
      <c r="Q907" s="82"/>
      <c r="R907" s="111"/>
      <c r="S907" s="82"/>
      <c r="T907" s="81" t="s">
        <v>144</v>
      </c>
      <c r="U907" s="81" t="s">
        <v>3480</v>
      </c>
    </row>
    <row r="908" spans="1:21" x14ac:dyDescent="0.25">
      <c r="A908" s="81"/>
      <c r="B908" s="81"/>
      <c r="C908" s="81" t="s">
        <v>144</v>
      </c>
      <c r="D908" s="81" t="s">
        <v>10</v>
      </c>
      <c r="E908" s="81" t="s">
        <v>2328</v>
      </c>
      <c r="F908" s="81" t="s">
        <v>168</v>
      </c>
      <c r="G908" s="81" t="s">
        <v>2329</v>
      </c>
      <c r="H908" s="81"/>
      <c r="I908" s="81"/>
      <c r="J908" s="81"/>
      <c r="K908" s="81"/>
      <c r="L908" s="81"/>
      <c r="M908" s="82" t="s">
        <v>43</v>
      </c>
      <c r="N908" s="82"/>
      <c r="O908" s="82"/>
      <c r="P908" s="82"/>
      <c r="Q908" s="82"/>
      <c r="R908" s="111"/>
      <c r="S908" s="82"/>
      <c r="T908" s="81" t="s">
        <v>144</v>
      </c>
      <c r="U908" s="81" t="s">
        <v>3492</v>
      </c>
    </row>
    <row r="909" spans="1:21" ht="30" x14ac:dyDescent="0.25">
      <c r="A909" s="81"/>
      <c r="B909" s="81"/>
      <c r="C909" s="81" t="s">
        <v>144</v>
      </c>
      <c r="D909" s="81" t="s">
        <v>10</v>
      </c>
      <c r="E909" s="81" t="s">
        <v>2330</v>
      </c>
      <c r="F909" s="81" t="s">
        <v>3264</v>
      </c>
      <c r="G909" s="81" t="s">
        <v>2331</v>
      </c>
      <c r="H909" s="81"/>
      <c r="I909" s="81"/>
      <c r="J909" s="81"/>
      <c r="K909" s="81"/>
      <c r="L909" s="81"/>
      <c r="M909" s="82" t="s">
        <v>43</v>
      </c>
      <c r="N909" s="82"/>
      <c r="O909" s="82"/>
      <c r="P909" s="82"/>
      <c r="Q909" s="82"/>
      <c r="R909" s="111"/>
      <c r="S909" s="82"/>
      <c r="T909" s="81" t="s">
        <v>144</v>
      </c>
      <c r="U909" s="81" t="s">
        <v>144</v>
      </c>
    </row>
    <row r="910" spans="1:21" x14ac:dyDescent="0.25">
      <c r="A910" s="81"/>
      <c r="B910" s="81"/>
      <c r="C910" s="81" t="s">
        <v>144</v>
      </c>
      <c r="D910" s="81" t="s">
        <v>10</v>
      </c>
      <c r="E910" s="81" t="s">
        <v>2332</v>
      </c>
      <c r="F910" s="81" t="s">
        <v>150</v>
      </c>
      <c r="G910" s="81" t="s">
        <v>2333</v>
      </c>
      <c r="H910" s="81"/>
      <c r="I910" s="81"/>
      <c r="J910" s="81"/>
      <c r="K910" s="81"/>
      <c r="L910" s="81"/>
      <c r="M910" s="82" t="s">
        <v>43</v>
      </c>
      <c r="N910" s="82"/>
      <c r="O910" s="82"/>
      <c r="P910" s="82"/>
      <c r="Q910" s="82"/>
      <c r="R910" s="111"/>
      <c r="S910" s="82"/>
      <c r="T910" s="81" t="s">
        <v>144</v>
      </c>
      <c r="U910" s="81" t="s">
        <v>3407</v>
      </c>
    </row>
    <row r="911" spans="1:21" ht="30" x14ac:dyDescent="0.25">
      <c r="A911" s="81"/>
      <c r="B911" s="81"/>
      <c r="C911" s="81" t="s">
        <v>144</v>
      </c>
      <c r="D911" s="81" t="s">
        <v>10</v>
      </c>
      <c r="E911" s="81" t="s">
        <v>2336</v>
      </c>
      <c r="F911" s="81" t="s">
        <v>3264</v>
      </c>
      <c r="G911" s="81" t="s">
        <v>2337</v>
      </c>
      <c r="H911" s="81"/>
      <c r="I911" s="81"/>
      <c r="J911" s="81"/>
      <c r="K911" s="81"/>
      <c r="L911" s="81"/>
      <c r="M911" s="82" t="s">
        <v>43</v>
      </c>
      <c r="N911" s="82"/>
      <c r="O911" s="82"/>
      <c r="P911" s="82"/>
      <c r="Q911" s="82"/>
      <c r="R911" s="111"/>
      <c r="S911" s="82"/>
      <c r="T911" s="81" t="s">
        <v>144</v>
      </c>
      <c r="U911" s="81" t="s">
        <v>144</v>
      </c>
    </row>
    <row r="912" spans="1:21" ht="30" x14ac:dyDescent="0.25">
      <c r="A912" s="81"/>
      <c r="B912" s="81">
        <v>3</v>
      </c>
      <c r="C912" s="81" t="s">
        <v>144</v>
      </c>
      <c r="D912" s="81" t="s">
        <v>10</v>
      </c>
      <c r="E912" s="81" t="s">
        <v>2338</v>
      </c>
      <c r="F912" s="81" t="s">
        <v>203</v>
      </c>
      <c r="G912" s="81" t="s">
        <v>2339</v>
      </c>
      <c r="H912" s="81"/>
      <c r="I912" s="81"/>
      <c r="J912" s="81"/>
      <c r="K912" s="81"/>
      <c r="L912" s="81"/>
      <c r="M912" s="82" t="s">
        <v>43</v>
      </c>
      <c r="N912" s="82"/>
      <c r="O912" s="82"/>
      <c r="P912" s="82"/>
      <c r="Q912" s="82"/>
      <c r="R912" s="111"/>
      <c r="S912" s="82"/>
      <c r="T912" s="81" t="s">
        <v>144</v>
      </c>
      <c r="U912" s="81" t="s">
        <v>3409</v>
      </c>
    </row>
    <row r="913" spans="1:21" x14ac:dyDescent="0.25">
      <c r="A913" s="81"/>
      <c r="B913" s="81">
        <v>1</v>
      </c>
      <c r="C913" s="81" t="s">
        <v>144</v>
      </c>
      <c r="D913" s="81" t="s">
        <v>10</v>
      </c>
      <c r="E913" s="81" t="s">
        <v>2340</v>
      </c>
      <c r="F913" s="81" t="s">
        <v>199</v>
      </c>
      <c r="G913" s="81" t="s">
        <v>2341</v>
      </c>
      <c r="H913" s="81"/>
      <c r="I913" s="81"/>
      <c r="J913" s="81"/>
      <c r="K913" s="81"/>
      <c r="L913" s="81"/>
      <c r="M913" s="82" t="s">
        <v>43</v>
      </c>
      <c r="N913" s="82"/>
      <c r="O913" s="82"/>
      <c r="P913" s="82"/>
      <c r="Q913" s="82"/>
      <c r="R913" s="111"/>
      <c r="S913" s="82"/>
      <c r="T913" s="81" t="s">
        <v>144</v>
      </c>
      <c r="U913" s="81" t="s">
        <v>144</v>
      </c>
    </row>
    <row r="914" spans="1:21" ht="30" x14ac:dyDescent="0.25">
      <c r="A914" s="81"/>
      <c r="B914" s="81">
        <v>1</v>
      </c>
      <c r="C914" s="81" t="s">
        <v>144</v>
      </c>
      <c r="D914" s="81" t="s">
        <v>10</v>
      </c>
      <c r="E914" s="81" t="s">
        <v>2342</v>
      </c>
      <c r="F914" s="81" t="s">
        <v>168</v>
      </c>
      <c r="G914" s="81" t="s">
        <v>2343</v>
      </c>
      <c r="H914" s="81"/>
      <c r="I914" s="81"/>
      <c r="J914" s="81"/>
      <c r="K914" s="81"/>
      <c r="L914" s="81"/>
      <c r="M914" s="82" t="s">
        <v>43</v>
      </c>
      <c r="N914" s="82"/>
      <c r="O914" s="82"/>
      <c r="P914" s="82"/>
      <c r="Q914" s="82"/>
      <c r="R914" s="111"/>
      <c r="S914" s="82"/>
      <c r="T914" s="81" t="s">
        <v>144</v>
      </c>
      <c r="U914" s="81" t="s">
        <v>144</v>
      </c>
    </row>
    <row r="915" spans="1:21" x14ac:dyDescent="0.25">
      <c r="A915" s="81"/>
      <c r="B915" s="81">
        <v>2</v>
      </c>
      <c r="C915" s="81" t="s">
        <v>144</v>
      </c>
      <c r="D915" s="81" t="s">
        <v>10</v>
      </c>
      <c r="E915" s="81" t="s">
        <v>2344</v>
      </c>
      <c r="F915" s="81" t="s">
        <v>159</v>
      </c>
      <c r="G915" s="81" t="s">
        <v>2345</v>
      </c>
      <c r="H915" s="81"/>
      <c r="I915" s="81"/>
      <c r="J915" s="81"/>
      <c r="K915" s="81"/>
      <c r="L915" s="81"/>
      <c r="M915" s="82" t="s">
        <v>43</v>
      </c>
      <c r="N915" s="82"/>
      <c r="O915" s="82"/>
      <c r="P915" s="82"/>
      <c r="Q915" s="82"/>
      <c r="R915" s="111"/>
      <c r="S915" s="82"/>
      <c r="T915" s="81" t="s">
        <v>144</v>
      </c>
      <c r="U915" s="81" t="s">
        <v>3410</v>
      </c>
    </row>
    <row r="916" spans="1:21" x14ac:dyDescent="0.25">
      <c r="A916" s="81"/>
      <c r="B916" s="81">
        <v>2</v>
      </c>
      <c r="C916" s="81" t="s">
        <v>144</v>
      </c>
      <c r="D916" s="81" t="s">
        <v>10</v>
      </c>
      <c r="E916" s="81" t="s">
        <v>2346</v>
      </c>
      <c r="F916" s="81" t="s">
        <v>157</v>
      </c>
      <c r="G916" s="81" t="s">
        <v>2347</v>
      </c>
      <c r="H916" s="81"/>
      <c r="I916" s="81"/>
      <c r="J916" s="81"/>
      <c r="K916" s="81"/>
      <c r="L916" s="81"/>
      <c r="M916" s="82" t="s">
        <v>43</v>
      </c>
      <c r="N916" s="82"/>
      <c r="O916" s="82"/>
      <c r="P916" s="82"/>
      <c r="Q916" s="82"/>
      <c r="R916" s="111"/>
      <c r="S916" s="82"/>
      <c r="T916" s="81" t="s">
        <v>144</v>
      </c>
      <c r="U916" s="81" t="s">
        <v>3411</v>
      </c>
    </row>
    <row r="917" spans="1:21" x14ac:dyDescent="0.25">
      <c r="A917" s="81"/>
      <c r="B917" s="81">
        <v>2</v>
      </c>
      <c r="C917" s="81" t="s">
        <v>144</v>
      </c>
      <c r="D917" s="81" t="s">
        <v>10</v>
      </c>
      <c r="E917" s="81" t="s">
        <v>2348</v>
      </c>
      <c r="F917" s="81" t="s">
        <v>201</v>
      </c>
      <c r="G917" s="81" t="s">
        <v>2349</v>
      </c>
      <c r="H917" s="81"/>
      <c r="I917" s="81"/>
      <c r="J917" s="81"/>
      <c r="K917" s="81"/>
      <c r="L917" s="81"/>
      <c r="M917" s="82" t="s">
        <v>43</v>
      </c>
      <c r="N917" s="82"/>
      <c r="O917" s="82"/>
      <c r="P917" s="82"/>
      <c r="Q917" s="82"/>
      <c r="R917" s="111"/>
      <c r="S917" s="82"/>
      <c r="T917" s="81" t="s">
        <v>144</v>
      </c>
      <c r="U917" s="81" t="s">
        <v>3412</v>
      </c>
    </row>
    <row r="918" spans="1:21" ht="30" x14ac:dyDescent="0.25">
      <c r="A918" s="81"/>
      <c r="B918" s="81" t="s">
        <v>8</v>
      </c>
      <c r="C918" s="81" t="s">
        <v>144</v>
      </c>
      <c r="D918" s="81" t="s">
        <v>10</v>
      </c>
      <c r="E918" s="81" t="s">
        <v>2350</v>
      </c>
      <c r="F918" s="81" t="s">
        <v>198</v>
      </c>
      <c r="G918" s="81" t="s">
        <v>2351</v>
      </c>
      <c r="H918" s="81"/>
      <c r="I918" s="81"/>
      <c r="J918" s="81"/>
      <c r="K918" s="81"/>
      <c r="L918" s="81"/>
      <c r="M918" s="82" t="s">
        <v>43</v>
      </c>
      <c r="N918" s="82"/>
      <c r="O918" s="82"/>
      <c r="P918" s="82"/>
      <c r="Q918" s="82" t="s">
        <v>2352</v>
      </c>
      <c r="R918" s="111">
        <v>45783</v>
      </c>
      <c r="S918" s="82" t="s">
        <v>45</v>
      </c>
      <c r="T918" s="81" t="s">
        <v>144</v>
      </c>
      <c r="U918" s="81" t="s">
        <v>144</v>
      </c>
    </row>
    <row r="919" spans="1:21" ht="30" x14ac:dyDescent="0.25">
      <c r="A919" s="81"/>
      <c r="B919" s="81">
        <v>3</v>
      </c>
      <c r="C919" s="81" t="s">
        <v>144</v>
      </c>
      <c r="D919" s="81" t="s">
        <v>10</v>
      </c>
      <c r="E919" s="81" t="s">
        <v>2353</v>
      </c>
      <c r="F919" s="81" t="s">
        <v>150</v>
      </c>
      <c r="G919" s="81" t="s">
        <v>2354</v>
      </c>
      <c r="H919" s="81"/>
      <c r="I919" s="81"/>
      <c r="J919" s="81"/>
      <c r="K919" s="81"/>
      <c r="L919" s="81"/>
      <c r="M919" s="82" t="s">
        <v>43</v>
      </c>
      <c r="N919" s="82"/>
      <c r="O919" s="82"/>
      <c r="P919" s="82"/>
      <c r="Q919" s="82"/>
      <c r="R919" s="111"/>
      <c r="S919" s="82"/>
      <c r="T919" s="81" t="s">
        <v>144</v>
      </c>
      <c r="U919" s="81" t="s">
        <v>3413</v>
      </c>
    </row>
    <row r="920" spans="1:21" x14ac:dyDescent="0.25">
      <c r="A920" s="81"/>
      <c r="B920" s="81">
        <v>1</v>
      </c>
      <c r="C920" s="81" t="s">
        <v>144</v>
      </c>
      <c r="D920" s="81" t="s">
        <v>10</v>
      </c>
      <c r="E920" s="81" t="s">
        <v>2355</v>
      </c>
      <c r="F920" s="81" t="s">
        <v>203</v>
      </c>
      <c r="G920" s="81" t="s">
        <v>2356</v>
      </c>
      <c r="H920" s="81"/>
      <c r="I920" s="81"/>
      <c r="J920" s="81"/>
      <c r="K920" s="81"/>
      <c r="L920" s="81"/>
      <c r="M920" s="82" t="s">
        <v>43</v>
      </c>
      <c r="N920" s="82"/>
      <c r="O920" s="82"/>
      <c r="P920" s="82"/>
      <c r="Q920" s="82" t="s">
        <v>2357</v>
      </c>
      <c r="R920" s="111"/>
      <c r="S920" s="82"/>
      <c r="T920" s="81" t="s">
        <v>144</v>
      </c>
      <c r="U920" s="81" t="s">
        <v>144</v>
      </c>
    </row>
    <row r="921" spans="1:21" x14ac:dyDescent="0.25">
      <c r="A921" s="81"/>
      <c r="B921" s="81">
        <v>3</v>
      </c>
      <c r="C921" s="81" t="s">
        <v>144</v>
      </c>
      <c r="D921" s="81" t="s">
        <v>10</v>
      </c>
      <c r="E921" s="81" t="s">
        <v>2358</v>
      </c>
      <c r="F921" s="81" t="s">
        <v>199</v>
      </c>
      <c r="G921" s="81" t="s">
        <v>2359</v>
      </c>
      <c r="H921" s="81"/>
      <c r="I921" s="81"/>
      <c r="J921" s="81"/>
      <c r="K921" s="81"/>
      <c r="L921" s="81"/>
      <c r="M921" s="82" t="s">
        <v>43</v>
      </c>
      <c r="N921" s="82"/>
      <c r="O921" s="82"/>
      <c r="P921" s="82"/>
      <c r="Q921" s="82" t="s">
        <v>2360</v>
      </c>
      <c r="R921" s="111">
        <v>45825</v>
      </c>
      <c r="S921" s="82" t="s">
        <v>238</v>
      </c>
      <c r="T921" s="81" t="s">
        <v>144</v>
      </c>
      <c r="U921" s="81" t="s">
        <v>144</v>
      </c>
    </row>
    <row r="922" spans="1:21" ht="30" x14ac:dyDescent="0.25">
      <c r="A922" s="81"/>
      <c r="B922" s="81"/>
      <c r="C922" s="81" t="s">
        <v>144</v>
      </c>
      <c r="D922" s="81" t="s">
        <v>10</v>
      </c>
      <c r="E922" s="81" t="s">
        <v>2361</v>
      </c>
      <c r="F922" s="81" t="s">
        <v>159</v>
      </c>
      <c r="G922" s="81" t="s">
        <v>2362</v>
      </c>
      <c r="H922" s="81"/>
      <c r="I922" s="81"/>
      <c r="J922" s="81"/>
      <c r="K922" s="81"/>
      <c r="L922" s="81"/>
      <c r="M922" s="82" t="s">
        <v>43</v>
      </c>
      <c r="N922" s="82"/>
      <c r="O922" s="82"/>
      <c r="P922" s="82"/>
      <c r="Q922" s="82"/>
      <c r="R922" s="111"/>
      <c r="S922" s="82"/>
      <c r="T922" s="81" t="s">
        <v>144</v>
      </c>
      <c r="U922" s="81" t="s">
        <v>144</v>
      </c>
    </row>
    <row r="923" spans="1:21" ht="30" x14ac:dyDescent="0.25">
      <c r="A923" s="81" t="s">
        <v>8</v>
      </c>
      <c r="B923" s="81"/>
      <c r="C923" s="81" t="s">
        <v>144</v>
      </c>
      <c r="D923" s="81" t="s">
        <v>10</v>
      </c>
      <c r="E923" s="81" t="s">
        <v>2363</v>
      </c>
      <c r="F923" s="81" t="s">
        <v>3264</v>
      </c>
      <c r="G923" s="81" t="s">
        <v>2364</v>
      </c>
      <c r="H923" s="81"/>
      <c r="I923" s="81"/>
      <c r="J923" s="81"/>
      <c r="K923" s="81"/>
      <c r="L923" s="81"/>
      <c r="M923" s="82" t="s">
        <v>43</v>
      </c>
      <c r="N923" s="82"/>
      <c r="O923" s="82"/>
      <c r="P923" s="82"/>
      <c r="Q923" s="82" t="s">
        <v>2365</v>
      </c>
      <c r="R923" s="111"/>
      <c r="S923" s="82"/>
      <c r="T923" s="81" t="s">
        <v>144</v>
      </c>
      <c r="U923" s="81" t="s">
        <v>144</v>
      </c>
    </row>
    <row r="924" spans="1:21" ht="45" x14ac:dyDescent="0.25">
      <c r="A924" s="81" t="s">
        <v>8</v>
      </c>
      <c r="B924" s="81"/>
      <c r="C924" s="81" t="s">
        <v>144</v>
      </c>
      <c r="D924" s="81" t="s">
        <v>10</v>
      </c>
      <c r="E924" s="81" t="s">
        <v>2368</v>
      </c>
      <c r="F924" s="81" t="s">
        <v>3264</v>
      </c>
      <c r="G924" s="81" t="s">
        <v>2369</v>
      </c>
      <c r="H924" s="81"/>
      <c r="I924" s="81"/>
      <c r="J924" s="81"/>
      <c r="K924" s="81"/>
      <c r="L924" s="81"/>
      <c r="M924" s="82" t="s">
        <v>43</v>
      </c>
      <c r="N924" s="82"/>
      <c r="O924" s="82"/>
      <c r="P924" s="82"/>
      <c r="Q924" s="82" t="s">
        <v>2365</v>
      </c>
      <c r="R924" s="111"/>
      <c r="S924" s="82"/>
      <c r="T924" s="81" t="s">
        <v>144</v>
      </c>
      <c r="U924" s="81" t="s">
        <v>144</v>
      </c>
    </row>
    <row r="925" spans="1:21" x14ac:dyDescent="0.25">
      <c r="A925" s="81"/>
      <c r="B925" s="81"/>
      <c r="C925" s="81" t="s">
        <v>144</v>
      </c>
      <c r="D925" s="81" t="s">
        <v>10</v>
      </c>
      <c r="E925" s="81" t="s">
        <v>2370</v>
      </c>
      <c r="F925" s="81" t="s">
        <v>159</v>
      </c>
      <c r="G925" s="81" t="s">
        <v>2371</v>
      </c>
      <c r="H925" s="81"/>
      <c r="I925" s="81"/>
      <c r="J925" s="81"/>
      <c r="K925" s="81"/>
      <c r="L925" s="81"/>
      <c r="M925" s="82" t="s">
        <v>43</v>
      </c>
      <c r="N925" s="82"/>
      <c r="O925" s="82"/>
      <c r="P925" s="82"/>
      <c r="Q925" s="82" t="s">
        <v>2372</v>
      </c>
      <c r="R925" s="111">
        <v>45847</v>
      </c>
      <c r="S925" s="82" t="s">
        <v>238</v>
      </c>
      <c r="T925" s="81" t="s">
        <v>144</v>
      </c>
      <c r="U925" s="81" t="s">
        <v>144</v>
      </c>
    </row>
    <row r="926" spans="1:21" ht="30" x14ac:dyDescent="0.25">
      <c r="A926" s="81"/>
      <c r="B926" s="81" t="s">
        <v>8</v>
      </c>
      <c r="C926" s="81" t="s">
        <v>144</v>
      </c>
      <c r="D926" s="81" t="s">
        <v>10</v>
      </c>
      <c r="E926" s="81" t="s">
        <v>100</v>
      </c>
      <c r="F926" s="81" t="s">
        <v>160</v>
      </c>
      <c r="G926" s="81" t="s">
        <v>2373</v>
      </c>
      <c r="H926" s="81"/>
      <c r="I926" s="81"/>
      <c r="J926" s="81"/>
      <c r="K926" s="81"/>
      <c r="L926" s="81"/>
      <c r="M926" s="82" t="s">
        <v>43</v>
      </c>
      <c r="N926" s="82" t="s">
        <v>8</v>
      </c>
      <c r="O926" s="82"/>
      <c r="P926" s="82"/>
      <c r="Q926" s="82" t="s">
        <v>3477</v>
      </c>
      <c r="R926" s="111">
        <v>45817</v>
      </c>
      <c r="S926" s="82" t="s">
        <v>107</v>
      </c>
      <c r="T926" s="81" t="s">
        <v>144</v>
      </c>
      <c r="U926" s="81" t="s">
        <v>3414</v>
      </c>
    </row>
    <row r="927" spans="1:21" ht="30" x14ac:dyDescent="0.25">
      <c r="A927" s="81" t="s">
        <v>8</v>
      </c>
      <c r="B927" s="81"/>
      <c r="C927" s="81" t="s">
        <v>144</v>
      </c>
      <c r="D927" s="81" t="s">
        <v>10</v>
      </c>
      <c r="E927" s="81" t="s">
        <v>2374</v>
      </c>
      <c r="F927" s="81" t="s">
        <v>3264</v>
      </c>
      <c r="G927" s="81" t="s">
        <v>2375</v>
      </c>
      <c r="H927" s="81"/>
      <c r="I927" s="81"/>
      <c r="J927" s="81"/>
      <c r="K927" s="81"/>
      <c r="L927" s="81"/>
      <c r="M927" s="82" t="s">
        <v>43</v>
      </c>
      <c r="N927" s="82"/>
      <c r="O927" s="82"/>
      <c r="P927" s="82"/>
      <c r="Q927" s="82" t="s">
        <v>2376</v>
      </c>
      <c r="R927" s="111">
        <v>45856</v>
      </c>
      <c r="S927" s="82" t="s">
        <v>2377</v>
      </c>
      <c r="T927" s="81" t="s">
        <v>144</v>
      </c>
      <c r="U927" s="81" t="s">
        <v>144</v>
      </c>
    </row>
    <row r="928" spans="1:21" ht="30" x14ac:dyDescent="0.25">
      <c r="A928" s="81"/>
      <c r="B928" s="81"/>
      <c r="C928" s="81" t="s">
        <v>144</v>
      </c>
      <c r="D928" s="81" t="s">
        <v>10</v>
      </c>
      <c r="E928" s="81" t="s">
        <v>2378</v>
      </c>
      <c r="F928" s="81" t="s">
        <v>3264</v>
      </c>
      <c r="G928" s="81" t="s">
        <v>2379</v>
      </c>
      <c r="H928" s="81"/>
      <c r="I928" s="81"/>
      <c r="J928" s="81"/>
      <c r="K928" s="81"/>
      <c r="L928" s="81"/>
      <c r="M928" s="82" t="s">
        <v>43</v>
      </c>
      <c r="N928" s="82"/>
      <c r="O928" s="82"/>
      <c r="P928" s="82"/>
      <c r="Q928" s="82"/>
      <c r="R928" s="111"/>
      <c r="S928" s="82"/>
      <c r="T928" s="81" t="s">
        <v>144</v>
      </c>
      <c r="U928" s="81" t="s">
        <v>3415</v>
      </c>
    </row>
    <row r="929" spans="1:21" ht="30" x14ac:dyDescent="0.25">
      <c r="A929" s="81"/>
      <c r="B929" s="81"/>
      <c r="C929" s="81" t="s">
        <v>144</v>
      </c>
      <c r="D929" s="81" t="s">
        <v>10</v>
      </c>
      <c r="E929" s="81" t="s">
        <v>2380</v>
      </c>
      <c r="F929" s="81" t="s">
        <v>3264</v>
      </c>
      <c r="G929" s="81" t="s">
        <v>2381</v>
      </c>
      <c r="H929" s="81"/>
      <c r="I929" s="81"/>
      <c r="J929" s="81"/>
      <c r="K929" s="81"/>
      <c r="L929" s="81"/>
      <c r="M929" s="82" t="s">
        <v>43</v>
      </c>
      <c r="N929" s="82"/>
      <c r="O929" s="82"/>
      <c r="P929" s="82"/>
      <c r="Q929" s="82"/>
      <c r="R929" s="111"/>
      <c r="S929" s="82"/>
      <c r="T929" s="81" t="s">
        <v>144</v>
      </c>
      <c r="U929" s="81" t="s">
        <v>144</v>
      </c>
    </row>
    <row r="930" spans="1:21" ht="45" x14ac:dyDescent="0.25">
      <c r="A930" s="81"/>
      <c r="B930" s="81"/>
      <c r="C930" s="81" t="s">
        <v>144</v>
      </c>
      <c r="D930" s="81" t="s">
        <v>10</v>
      </c>
      <c r="E930" s="81" t="s">
        <v>127</v>
      </c>
      <c r="F930" s="81" t="s">
        <v>3264</v>
      </c>
      <c r="G930" s="81" t="s">
        <v>2382</v>
      </c>
      <c r="H930" s="81"/>
      <c r="I930" s="81"/>
      <c r="J930" s="81"/>
      <c r="K930" s="81"/>
      <c r="L930" s="81"/>
      <c r="M930" s="82" t="s">
        <v>43</v>
      </c>
      <c r="N930" s="82"/>
      <c r="O930" s="82"/>
      <c r="P930" s="82"/>
      <c r="Q930" s="82" t="s">
        <v>140</v>
      </c>
      <c r="R930" s="111"/>
      <c r="S930" s="82"/>
      <c r="T930" s="81" t="s">
        <v>144</v>
      </c>
      <c r="U930" s="81" t="s">
        <v>3416</v>
      </c>
    </row>
    <row r="931" spans="1:21" x14ac:dyDescent="0.25">
      <c r="A931" s="81"/>
      <c r="B931" s="81"/>
      <c r="C931" s="81" t="s">
        <v>144</v>
      </c>
      <c r="D931" s="81" t="s">
        <v>10</v>
      </c>
      <c r="E931" s="81" t="s">
        <v>2383</v>
      </c>
      <c r="F931" s="81" t="s">
        <v>167</v>
      </c>
      <c r="G931" s="81" t="s">
        <v>2384</v>
      </c>
      <c r="H931" s="81"/>
      <c r="I931" s="81"/>
      <c r="J931" s="81"/>
      <c r="K931" s="81"/>
      <c r="L931" s="81"/>
      <c r="M931" s="82" t="s">
        <v>43</v>
      </c>
      <c r="N931" s="82"/>
      <c r="O931" s="82"/>
      <c r="P931" s="82"/>
      <c r="Q931" s="82" t="s">
        <v>2385</v>
      </c>
      <c r="R931" s="111">
        <v>45880</v>
      </c>
      <c r="S931" s="82" t="s">
        <v>1403</v>
      </c>
      <c r="T931" s="81" t="s">
        <v>144</v>
      </c>
      <c r="U931" s="81" t="s">
        <v>3417</v>
      </c>
    </row>
    <row r="932" spans="1:21" x14ac:dyDescent="0.25">
      <c r="A932" s="81"/>
      <c r="B932" s="81"/>
      <c r="C932" s="81" t="s">
        <v>144</v>
      </c>
      <c r="D932" s="81" t="s">
        <v>10</v>
      </c>
      <c r="E932" s="81" t="s">
        <v>2386</v>
      </c>
      <c r="F932" s="81" t="s">
        <v>150</v>
      </c>
      <c r="G932" s="81" t="s">
        <v>2387</v>
      </c>
      <c r="H932" s="81"/>
      <c r="I932" s="81"/>
      <c r="J932" s="81"/>
      <c r="K932" s="81"/>
      <c r="L932" s="81"/>
      <c r="M932" s="82" t="s">
        <v>43</v>
      </c>
      <c r="N932" s="82"/>
      <c r="O932" s="82"/>
      <c r="P932" s="82"/>
      <c r="Q932" s="82"/>
      <c r="R932" s="111"/>
      <c r="S932" s="82"/>
      <c r="T932" s="81" t="s">
        <v>144</v>
      </c>
      <c r="U932" s="81" t="s">
        <v>144</v>
      </c>
    </row>
    <row r="933" spans="1:21" x14ac:dyDescent="0.25">
      <c r="A933" s="81"/>
      <c r="B933" s="81"/>
      <c r="C933" s="81" t="s">
        <v>144</v>
      </c>
      <c r="D933" s="81" t="s">
        <v>10</v>
      </c>
      <c r="E933" s="81" t="s">
        <v>2388</v>
      </c>
      <c r="F933" s="81" t="s">
        <v>3264</v>
      </c>
      <c r="G933" s="81" t="s">
        <v>2389</v>
      </c>
      <c r="H933" s="81"/>
      <c r="I933" s="81"/>
      <c r="J933" s="81"/>
      <c r="K933" s="81"/>
      <c r="L933" s="81"/>
      <c r="M933" s="82" t="s">
        <v>43</v>
      </c>
      <c r="N933" s="82"/>
      <c r="O933" s="82"/>
      <c r="P933" s="82"/>
      <c r="Q933" s="82"/>
      <c r="R933" s="111"/>
      <c r="S933" s="82"/>
      <c r="T933" s="81" t="s">
        <v>144</v>
      </c>
      <c r="U933" s="81" t="s">
        <v>144</v>
      </c>
    </row>
    <row r="934" spans="1:21" ht="30" x14ac:dyDescent="0.25">
      <c r="A934" s="81"/>
      <c r="B934" s="81"/>
      <c r="C934" s="81" t="s">
        <v>144</v>
      </c>
      <c r="D934" s="81" t="s">
        <v>10</v>
      </c>
      <c r="E934" s="81" t="s">
        <v>2390</v>
      </c>
      <c r="F934" s="81" t="s">
        <v>3264</v>
      </c>
      <c r="G934" s="81" t="s">
        <v>2391</v>
      </c>
      <c r="H934" s="81"/>
      <c r="I934" s="81"/>
      <c r="J934" s="81"/>
      <c r="K934" s="81"/>
      <c r="L934" s="81"/>
      <c r="M934" s="82" t="s">
        <v>43</v>
      </c>
      <c r="N934" s="82"/>
      <c r="O934" s="82"/>
      <c r="P934" s="82"/>
      <c r="Q934" s="82"/>
      <c r="R934" s="111"/>
      <c r="S934" s="82"/>
      <c r="T934" s="81" t="s">
        <v>144</v>
      </c>
      <c r="U934" s="81" t="s">
        <v>144</v>
      </c>
    </row>
    <row r="935" spans="1:21" ht="30" x14ac:dyDescent="0.25">
      <c r="A935" s="81"/>
      <c r="B935" s="81"/>
      <c r="C935" s="81" t="s">
        <v>144</v>
      </c>
      <c r="D935" s="81" t="s">
        <v>10</v>
      </c>
      <c r="E935" s="81" t="s">
        <v>2392</v>
      </c>
      <c r="F935" s="81" t="s">
        <v>168</v>
      </c>
      <c r="G935" s="81" t="s">
        <v>2393</v>
      </c>
      <c r="H935" s="81"/>
      <c r="I935" s="81"/>
      <c r="J935" s="81"/>
      <c r="K935" s="81"/>
      <c r="L935" s="81"/>
      <c r="M935" s="82" t="s">
        <v>43</v>
      </c>
      <c r="N935" s="82"/>
      <c r="O935" s="82"/>
      <c r="P935" s="82"/>
      <c r="Q935" s="82"/>
      <c r="R935" s="111">
        <v>45889</v>
      </c>
      <c r="S935" s="82" t="s">
        <v>238</v>
      </c>
      <c r="T935" s="81" t="s">
        <v>144</v>
      </c>
      <c r="U935" s="81" t="s">
        <v>3418</v>
      </c>
    </row>
    <row r="936" spans="1:21" x14ac:dyDescent="0.25">
      <c r="A936" s="81"/>
      <c r="B936" s="81"/>
      <c r="C936" s="81" t="s">
        <v>144</v>
      </c>
      <c r="D936" s="81" t="s">
        <v>10</v>
      </c>
      <c r="E936" s="81" t="s">
        <v>2394</v>
      </c>
      <c r="F936" s="81" t="s">
        <v>168</v>
      </c>
      <c r="G936" s="81" t="s">
        <v>2395</v>
      </c>
      <c r="H936" s="81"/>
      <c r="I936" s="81"/>
      <c r="J936" s="81"/>
      <c r="K936" s="81"/>
      <c r="L936" s="81"/>
      <c r="M936" s="82" t="s">
        <v>43</v>
      </c>
      <c r="N936" s="82"/>
      <c r="O936" s="82"/>
      <c r="P936" s="82"/>
      <c r="Q936" s="82"/>
      <c r="R936" s="111">
        <v>45889</v>
      </c>
      <c r="S936" s="82" t="s">
        <v>674</v>
      </c>
      <c r="T936" s="81" t="s">
        <v>144</v>
      </c>
      <c r="U936" s="81" t="s">
        <v>144</v>
      </c>
    </row>
    <row r="937" spans="1:21" ht="30" x14ac:dyDescent="0.25">
      <c r="A937" s="81"/>
      <c r="B937" s="81"/>
      <c r="C937" s="81" t="s">
        <v>144</v>
      </c>
      <c r="D937" s="81" t="s">
        <v>10</v>
      </c>
      <c r="E937" s="81" t="s">
        <v>2396</v>
      </c>
      <c r="F937" s="81" t="s">
        <v>3264</v>
      </c>
      <c r="G937" s="81" t="s">
        <v>2397</v>
      </c>
      <c r="H937" s="81"/>
      <c r="I937" s="81"/>
      <c r="J937" s="81"/>
      <c r="K937" s="81"/>
      <c r="L937" s="81"/>
      <c r="M937" s="82" t="s">
        <v>43</v>
      </c>
      <c r="N937" s="82"/>
      <c r="O937" s="82"/>
      <c r="P937" s="82"/>
      <c r="Q937" s="82" t="s">
        <v>2398</v>
      </c>
      <c r="R937" s="111">
        <v>45887</v>
      </c>
      <c r="S937" s="82" t="s">
        <v>9</v>
      </c>
      <c r="T937" s="81" t="s">
        <v>144</v>
      </c>
      <c r="U937" s="81" t="s">
        <v>144</v>
      </c>
    </row>
    <row r="938" spans="1:21" x14ac:dyDescent="0.25">
      <c r="A938" s="81"/>
      <c r="B938" s="81"/>
      <c r="C938" s="81" t="s">
        <v>144</v>
      </c>
      <c r="D938" s="81" t="s">
        <v>10</v>
      </c>
      <c r="E938" s="81" t="s">
        <v>2399</v>
      </c>
      <c r="F938" s="81" t="s">
        <v>150</v>
      </c>
      <c r="G938" s="81" t="s">
        <v>2400</v>
      </c>
      <c r="H938" s="81"/>
      <c r="I938" s="81"/>
      <c r="J938" s="81"/>
      <c r="K938" s="81"/>
      <c r="L938" s="81"/>
      <c r="M938" s="82" t="s">
        <v>43</v>
      </c>
      <c r="N938" s="82"/>
      <c r="O938" s="82"/>
      <c r="P938" s="82"/>
      <c r="Q938" s="82"/>
      <c r="R938" s="111"/>
      <c r="S938" s="82"/>
      <c r="T938" s="81" t="s">
        <v>144</v>
      </c>
      <c r="U938" s="81" t="s">
        <v>3419</v>
      </c>
    </row>
    <row r="939" spans="1:21" x14ac:dyDescent="0.25">
      <c r="A939" s="81"/>
      <c r="B939" s="81"/>
      <c r="C939" s="81" t="s">
        <v>144</v>
      </c>
      <c r="D939" s="81" t="s">
        <v>10</v>
      </c>
      <c r="E939" s="81" t="s">
        <v>2401</v>
      </c>
      <c r="F939" s="81" t="s">
        <v>167</v>
      </c>
      <c r="G939" s="81" t="s">
        <v>2402</v>
      </c>
      <c r="H939" s="81"/>
      <c r="I939" s="81"/>
      <c r="J939" s="81"/>
      <c r="K939" s="81"/>
      <c r="L939" s="81"/>
      <c r="M939" s="82" t="s">
        <v>43</v>
      </c>
      <c r="N939" s="82"/>
      <c r="O939" s="82"/>
      <c r="P939" s="82"/>
      <c r="Q939" s="82"/>
      <c r="R939" s="111"/>
      <c r="S939" s="82"/>
      <c r="T939" s="81" t="s">
        <v>144</v>
      </c>
      <c r="U939" s="81" t="s">
        <v>3420</v>
      </c>
    </row>
    <row r="940" spans="1:21" x14ac:dyDescent="0.25">
      <c r="A940" s="81"/>
      <c r="B940" s="81"/>
      <c r="C940" s="81" t="s">
        <v>144</v>
      </c>
      <c r="D940" s="81" t="s">
        <v>10</v>
      </c>
      <c r="E940" s="81" t="s">
        <v>2403</v>
      </c>
      <c r="F940" s="81" t="s">
        <v>106</v>
      </c>
      <c r="G940" s="81" t="s">
        <v>2404</v>
      </c>
      <c r="H940" s="81"/>
      <c r="I940" s="81"/>
      <c r="J940" s="81"/>
      <c r="K940" s="81"/>
      <c r="L940" s="81"/>
      <c r="M940" s="82" t="s">
        <v>43</v>
      </c>
      <c r="N940" s="82"/>
      <c r="O940" s="82"/>
      <c r="P940" s="82"/>
      <c r="Q940" s="82"/>
      <c r="R940" s="111"/>
      <c r="S940" s="82"/>
      <c r="T940" s="81" t="s">
        <v>144</v>
      </c>
      <c r="U940" s="81" t="s">
        <v>3421</v>
      </c>
    </row>
    <row r="941" spans="1:21" ht="30" x14ac:dyDescent="0.25">
      <c r="A941" s="81"/>
      <c r="B941" s="81"/>
      <c r="C941" s="81" t="s">
        <v>144</v>
      </c>
      <c r="D941" s="81" t="s">
        <v>10</v>
      </c>
      <c r="E941" s="81" t="s">
        <v>2405</v>
      </c>
      <c r="F941" s="81" t="s">
        <v>3264</v>
      </c>
      <c r="G941" s="81" t="s">
        <v>2406</v>
      </c>
      <c r="H941" s="81"/>
      <c r="I941" s="81"/>
      <c r="J941" s="81"/>
      <c r="K941" s="81"/>
      <c r="L941" s="81"/>
      <c r="M941" s="82" t="s">
        <v>43</v>
      </c>
      <c r="N941" s="82"/>
      <c r="O941" s="82"/>
      <c r="P941" s="82"/>
      <c r="Q941" s="82"/>
      <c r="R941" s="111"/>
      <c r="S941" s="82"/>
      <c r="T941" s="81" t="s">
        <v>144</v>
      </c>
      <c r="U941" s="81" t="s">
        <v>144</v>
      </c>
    </row>
    <row r="942" spans="1:21" ht="30" x14ac:dyDescent="0.25">
      <c r="A942" s="81" t="s">
        <v>8</v>
      </c>
      <c r="B942" s="81"/>
      <c r="C942" s="81" t="s">
        <v>144</v>
      </c>
      <c r="D942" s="81" t="s">
        <v>10</v>
      </c>
      <c r="E942" s="81" t="s">
        <v>2407</v>
      </c>
      <c r="F942" s="81" t="s">
        <v>3264</v>
      </c>
      <c r="G942" s="81" t="s">
        <v>2408</v>
      </c>
      <c r="H942" s="81"/>
      <c r="I942" s="81"/>
      <c r="J942" s="81"/>
      <c r="K942" s="81"/>
      <c r="L942" s="81"/>
      <c r="M942" s="82" t="s">
        <v>43</v>
      </c>
      <c r="N942" s="82"/>
      <c r="O942" s="82"/>
      <c r="P942" s="82"/>
      <c r="Q942" s="82" t="s">
        <v>2365</v>
      </c>
      <c r="R942" s="111"/>
      <c r="S942" s="82"/>
      <c r="T942" s="81" t="s">
        <v>144</v>
      </c>
      <c r="U942" s="81" t="s">
        <v>144</v>
      </c>
    </row>
    <row r="943" spans="1:21" x14ac:dyDescent="0.25">
      <c r="A943" s="81"/>
      <c r="B943" s="81"/>
      <c r="C943" s="81" t="s">
        <v>144</v>
      </c>
      <c r="D943" s="81" t="s">
        <v>10</v>
      </c>
      <c r="E943" s="81" t="s">
        <v>2409</v>
      </c>
      <c r="F943" s="81" t="s">
        <v>106</v>
      </c>
      <c r="G943" s="81" t="s">
        <v>2410</v>
      </c>
      <c r="H943" s="81"/>
      <c r="I943" s="81"/>
      <c r="J943" s="81"/>
      <c r="K943" s="81"/>
      <c r="L943" s="81"/>
      <c r="M943" s="82" t="s">
        <v>43</v>
      </c>
      <c r="N943" s="82"/>
      <c r="O943" s="82"/>
      <c r="P943" s="82"/>
      <c r="Q943" s="82"/>
      <c r="R943" s="111"/>
      <c r="S943" s="82"/>
      <c r="T943" s="81" t="s">
        <v>144</v>
      </c>
      <c r="U943" s="81" t="s">
        <v>3422</v>
      </c>
    </row>
    <row r="944" spans="1:21" ht="30" x14ac:dyDescent="0.25">
      <c r="A944" s="81"/>
      <c r="B944" s="81"/>
      <c r="C944" s="81" t="s">
        <v>144</v>
      </c>
      <c r="D944" s="81" t="s">
        <v>10</v>
      </c>
      <c r="E944" s="81" t="s">
        <v>2411</v>
      </c>
      <c r="F944" s="81" t="s">
        <v>168</v>
      </c>
      <c r="G944" s="81" t="s">
        <v>2412</v>
      </c>
      <c r="H944" s="81"/>
      <c r="I944" s="81"/>
      <c r="J944" s="81"/>
      <c r="K944" s="81"/>
      <c r="L944" s="81"/>
      <c r="M944" s="82" t="s">
        <v>43</v>
      </c>
      <c r="N944" s="82"/>
      <c r="O944" s="82"/>
      <c r="P944" s="82"/>
      <c r="Q944" s="82" t="s">
        <v>2413</v>
      </c>
      <c r="R944" s="111">
        <v>45903</v>
      </c>
      <c r="S944" s="82" t="s">
        <v>238</v>
      </c>
      <c r="T944" s="81" t="s">
        <v>144</v>
      </c>
      <c r="U944" s="81" t="s">
        <v>144</v>
      </c>
    </row>
    <row r="945" spans="1:21" x14ac:dyDescent="0.25">
      <c r="A945" s="81"/>
      <c r="B945" s="81"/>
      <c r="C945" s="81" t="s">
        <v>144</v>
      </c>
      <c r="D945" s="81" t="s">
        <v>10</v>
      </c>
      <c r="E945" s="81" t="s">
        <v>2414</v>
      </c>
      <c r="F945" s="81" t="s">
        <v>3264</v>
      </c>
      <c r="G945" s="81" t="s">
        <v>2415</v>
      </c>
      <c r="H945" s="81"/>
      <c r="I945" s="81"/>
      <c r="J945" s="81"/>
      <c r="K945" s="81"/>
      <c r="L945" s="81"/>
      <c r="M945" s="82" t="s">
        <v>43</v>
      </c>
      <c r="N945" s="82"/>
      <c r="O945" s="82"/>
      <c r="P945" s="82"/>
      <c r="Q945" s="82"/>
      <c r="R945" s="111"/>
      <c r="S945" s="82"/>
      <c r="T945" s="81" t="s">
        <v>144</v>
      </c>
      <c r="U945" s="81" t="s">
        <v>144</v>
      </c>
    </row>
    <row r="946" spans="1:21" ht="60" x14ac:dyDescent="0.25">
      <c r="A946" s="81"/>
      <c r="B946" s="81"/>
      <c r="C946" s="81" t="s">
        <v>144</v>
      </c>
      <c r="D946" s="81" t="s">
        <v>10</v>
      </c>
      <c r="E946" s="81" t="s">
        <v>2416</v>
      </c>
      <c r="F946" s="81" t="s">
        <v>3264</v>
      </c>
      <c r="G946" s="81" t="s">
        <v>2417</v>
      </c>
      <c r="H946" s="81"/>
      <c r="I946" s="81"/>
      <c r="J946" s="81"/>
      <c r="K946" s="81"/>
      <c r="L946" s="81"/>
      <c r="M946" s="82" t="s">
        <v>43</v>
      </c>
      <c r="N946" s="82"/>
      <c r="O946" s="82"/>
      <c r="P946" s="82"/>
      <c r="Q946" s="82" t="s">
        <v>2418</v>
      </c>
      <c r="R946" s="111">
        <v>45867</v>
      </c>
      <c r="S946" s="82" t="s">
        <v>45</v>
      </c>
      <c r="T946" s="81" t="s">
        <v>144</v>
      </c>
      <c r="U946" s="81" t="s">
        <v>144</v>
      </c>
    </row>
    <row r="947" spans="1:21" x14ac:dyDescent="0.25">
      <c r="A947" s="81"/>
      <c r="B947" s="81"/>
      <c r="C947" s="81" t="s">
        <v>144</v>
      </c>
      <c r="D947" s="81" t="s">
        <v>10</v>
      </c>
      <c r="E947" s="81" t="s">
        <v>2419</v>
      </c>
      <c r="F947" s="81" t="s">
        <v>150</v>
      </c>
      <c r="G947" s="81" t="s">
        <v>2420</v>
      </c>
      <c r="H947" s="81"/>
      <c r="I947" s="81"/>
      <c r="J947" s="81"/>
      <c r="K947" s="81"/>
      <c r="L947" s="81"/>
      <c r="M947" s="82" t="s">
        <v>43</v>
      </c>
      <c r="N947" s="82"/>
      <c r="O947" s="82"/>
      <c r="P947" s="82"/>
      <c r="Q947" s="82"/>
      <c r="R947" s="111"/>
      <c r="S947" s="82"/>
      <c r="T947" s="81" t="s">
        <v>144</v>
      </c>
      <c r="U947" s="81" t="s">
        <v>144</v>
      </c>
    </row>
    <row r="948" spans="1:21" x14ac:dyDescent="0.25">
      <c r="A948" s="81"/>
      <c r="B948" s="81"/>
      <c r="C948" s="81" t="s">
        <v>144</v>
      </c>
      <c r="D948" s="81" t="s">
        <v>10</v>
      </c>
      <c r="E948" s="81" t="s">
        <v>2421</v>
      </c>
      <c r="F948" s="81" t="s">
        <v>150</v>
      </c>
      <c r="G948" s="81" t="s">
        <v>2422</v>
      </c>
      <c r="H948" s="81"/>
      <c r="I948" s="81"/>
      <c r="J948" s="81"/>
      <c r="K948" s="81"/>
      <c r="L948" s="81"/>
      <c r="M948" s="82" t="s">
        <v>43</v>
      </c>
      <c r="N948" s="82"/>
      <c r="O948" s="82"/>
      <c r="P948" s="82"/>
      <c r="Q948" s="82" t="s">
        <v>2423</v>
      </c>
      <c r="R948" s="111">
        <v>45905</v>
      </c>
      <c r="S948" s="82" t="s">
        <v>238</v>
      </c>
      <c r="T948" s="81" t="s">
        <v>144</v>
      </c>
      <c r="U948" s="81" t="s">
        <v>144</v>
      </c>
    </row>
    <row r="949" spans="1:21" x14ac:dyDescent="0.25">
      <c r="A949" s="81"/>
      <c r="B949" s="81"/>
      <c r="C949" s="81" t="s">
        <v>144</v>
      </c>
      <c r="D949" s="81" t="s">
        <v>10</v>
      </c>
      <c r="E949" s="81" t="s">
        <v>2424</v>
      </c>
      <c r="F949" s="81" t="s">
        <v>3264</v>
      </c>
      <c r="G949" s="81" t="s">
        <v>2425</v>
      </c>
      <c r="H949" s="81"/>
      <c r="I949" s="81"/>
      <c r="J949" s="81"/>
      <c r="K949" s="81"/>
      <c r="L949" s="81"/>
      <c r="M949" s="82" t="s">
        <v>43</v>
      </c>
      <c r="N949" s="82"/>
      <c r="O949" s="82"/>
      <c r="P949" s="82"/>
      <c r="Q949" s="82"/>
      <c r="R949" s="111"/>
      <c r="S949" s="82"/>
      <c r="T949" s="81" t="s">
        <v>144</v>
      </c>
      <c r="U949" s="81" t="s">
        <v>3423</v>
      </c>
    </row>
    <row r="950" spans="1:21" ht="30" x14ac:dyDescent="0.25">
      <c r="A950" s="81"/>
      <c r="B950" s="81"/>
      <c r="C950" s="81" t="s">
        <v>144</v>
      </c>
      <c r="D950" s="81" t="s">
        <v>10</v>
      </c>
      <c r="E950" s="81" t="s">
        <v>2426</v>
      </c>
      <c r="F950" s="81" t="s">
        <v>3313</v>
      </c>
      <c r="G950" s="81" t="s">
        <v>2427</v>
      </c>
      <c r="H950" s="81"/>
      <c r="I950" s="81"/>
      <c r="J950" s="81"/>
      <c r="K950" s="81"/>
      <c r="L950" s="81"/>
      <c r="M950" s="82" t="s">
        <v>43</v>
      </c>
      <c r="N950" s="82"/>
      <c r="O950" s="82"/>
      <c r="P950" s="82"/>
      <c r="Q950" s="82" t="s">
        <v>2428</v>
      </c>
      <c r="R950" s="111">
        <v>45911</v>
      </c>
      <c r="S950" s="82" t="s">
        <v>45</v>
      </c>
      <c r="T950" s="81" t="s">
        <v>144</v>
      </c>
      <c r="U950" s="81" t="s">
        <v>144</v>
      </c>
    </row>
    <row r="951" spans="1:21" x14ac:dyDescent="0.25">
      <c r="A951" s="81"/>
      <c r="B951" s="81"/>
      <c r="C951" s="81" t="s">
        <v>144</v>
      </c>
      <c r="D951" s="81" t="s">
        <v>10</v>
      </c>
      <c r="E951" s="81" t="s">
        <v>2429</v>
      </c>
      <c r="F951" s="81" t="s">
        <v>3264</v>
      </c>
      <c r="G951" s="81" t="s">
        <v>2430</v>
      </c>
      <c r="H951" s="81"/>
      <c r="I951" s="81"/>
      <c r="J951" s="81"/>
      <c r="K951" s="81"/>
      <c r="L951" s="81"/>
      <c r="M951" s="82" t="s">
        <v>43</v>
      </c>
      <c r="N951" s="82"/>
      <c r="O951" s="82"/>
      <c r="P951" s="82"/>
      <c r="Q951" s="82"/>
      <c r="R951" s="111"/>
      <c r="S951" s="82"/>
      <c r="T951" s="81" t="s">
        <v>144</v>
      </c>
      <c r="U951" s="81" t="s">
        <v>144</v>
      </c>
    </row>
    <row r="952" spans="1:21" x14ac:dyDescent="0.25">
      <c r="A952" s="81"/>
      <c r="B952" s="81"/>
      <c r="C952" s="81" t="s">
        <v>144</v>
      </c>
      <c r="D952" s="81" t="s">
        <v>10</v>
      </c>
      <c r="E952" s="81" t="s">
        <v>2431</v>
      </c>
      <c r="F952" s="81" t="s">
        <v>3264</v>
      </c>
      <c r="G952" s="81" t="s">
        <v>2432</v>
      </c>
      <c r="H952" s="81"/>
      <c r="I952" s="81"/>
      <c r="J952" s="81"/>
      <c r="K952" s="81"/>
      <c r="L952" s="81"/>
      <c r="M952" s="82" t="s">
        <v>43</v>
      </c>
      <c r="N952" s="82"/>
      <c r="O952" s="82"/>
      <c r="P952" s="82"/>
      <c r="Q952" s="82"/>
      <c r="R952" s="111"/>
      <c r="S952" s="82"/>
      <c r="T952" s="81" t="s">
        <v>144</v>
      </c>
      <c r="U952" s="81" t="s">
        <v>144</v>
      </c>
    </row>
    <row r="953" spans="1:21" ht="30" x14ac:dyDescent="0.25">
      <c r="A953" s="81"/>
      <c r="B953" s="81"/>
      <c r="C953" s="81" t="s">
        <v>144</v>
      </c>
      <c r="D953" s="81" t="s">
        <v>10</v>
      </c>
      <c r="E953" s="81" t="s">
        <v>2433</v>
      </c>
      <c r="F953" s="81" t="s">
        <v>167</v>
      </c>
      <c r="G953" s="81" t="s">
        <v>2434</v>
      </c>
      <c r="H953" s="81"/>
      <c r="I953" s="81"/>
      <c r="J953" s="81"/>
      <c r="K953" s="81"/>
      <c r="L953" s="81"/>
      <c r="M953" s="82" t="s">
        <v>43</v>
      </c>
      <c r="N953" s="82"/>
      <c r="O953" s="82"/>
      <c r="P953" s="82"/>
      <c r="Q953" s="82" t="s">
        <v>2435</v>
      </c>
      <c r="R953" s="111">
        <v>45910</v>
      </c>
      <c r="S953" s="82" t="s">
        <v>45</v>
      </c>
      <c r="T953" s="81" t="s">
        <v>144</v>
      </c>
      <c r="U953" s="81" t="s">
        <v>144</v>
      </c>
    </row>
    <row r="954" spans="1:21" x14ac:dyDescent="0.25">
      <c r="A954" s="81"/>
      <c r="B954" s="81"/>
      <c r="C954" s="81" t="s">
        <v>144</v>
      </c>
      <c r="D954" s="81" t="s">
        <v>10</v>
      </c>
      <c r="E954" s="81" t="s">
        <v>2436</v>
      </c>
      <c r="F954" s="81" t="s">
        <v>3264</v>
      </c>
      <c r="G954" s="81" t="s">
        <v>2437</v>
      </c>
      <c r="H954" s="81"/>
      <c r="I954" s="81"/>
      <c r="J954" s="81"/>
      <c r="K954" s="81"/>
      <c r="L954" s="81"/>
      <c r="M954" s="82" t="s">
        <v>43</v>
      </c>
      <c r="N954" s="82"/>
      <c r="O954" s="82"/>
      <c r="P954" s="82"/>
      <c r="Q954" s="82"/>
      <c r="R954" s="111"/>
      <c r="S954" s="82"/>
      <c r="T954" s="81" t="s">
        <v>144</v>
      </c>
      <c r="U954" s="81" t="s">
        <v>3424</v>
      </c>
    </row>
    <row r="955" spans="1:21" ht="30" x14ac:dyDescent="0.25">
      <c r="A955" s="81"/>
      <c r="B955" s="81"/>
      <c r="C955" s="81" t="s">
        <v>144</v>
      </c>
      <c r="D955" s="81" t="s">
        <v>10</v>
      </c>
      <c r="E955" s="81" t="s">
        <v>2438</v>
      </c>
      <c r="F955" s="81" t="s">
        <v>3264</v>
      </c>
      <c r="G955" s="81" t="s">
        <v>2439</v>
      </c>
      <c r="H955" s="81"/>
      <c r="I955" s="81"/>
      <c r="J955" s="81"/>
      <c r="K955" s="81"/>
      <c r="L955" s="81"/>
      <c r="M955" s="82" t="s">
        <v>43</v>
      </c>
      <c r="N955" s="82"/>
      <c r="O955" s="82"/>
      <c r="P955" s="82"/>
      <c r="Q955" s="82"/>
      <c r="R955" s="111"/>
      <c r="S955" s="82"/>
      <c r="T955" s="81" t="s">
        <v>144</v>
      </c>
      <c r="U955" s="81" t="s">
        <v>3425</v>
      </c>
    </row>
    <row r="956" spans="1:21" ht="30" x14ac:dyDescent="0.25">
      <c r="A956" s="81"/>
      <c r="B956" s="81"/>
      <c r="C956" s="81" t="s">
        <v>144</v>
      </c>
      <c r="D956" s="81" t="s">
        <v>10</v>
      </c>
      <c r="E956" s="81" t="s">
        <v>2440</v>
      </c>
      <c r="F956" s="81" t="s">
        <v>3264</v>
      </c>
      <c r="G956" s="81" t="s">
        <v>2441</v>
      </c>
      <c r="H956" s="81"/>
      <c r="I956" s="81"/>
      <c r="J956" s="81"/>
      <c r="K956" s="81"/>
      <c r="L956" s="81"/>
      <c r="M956" s="82" t="s">
        <v>43</v>
      </c>
      <c r="N956" s="82"/>
      <c r="O956" s="82"/>
      <c r="P956" s="82"/>
      <c r="Q956" s="82"/>
      <c r="R956" s="111"/>
      <c r="S956" s="82"/>
      <c r="T956" s="81" t="s">
        <v>144</v>
      </c>
      <c r="U956" s="81" t="s">
        <v>3426</v>
      </c>
    </row>
    <row r="957" spans="1:21" ht="165" x14ac:dyDescent="0.25">
      <c r="A957" s="81"/>
      <c r="B957" s="81"/>
      <c r="C957" s="81" t="s">
        <v>144</v>
      </c>
      <c r="D957" s="81" t="s">
        <v>10</v>
      </c>
      <c r="E957" s="81" t="s">
        <v>2442</v>
      </c>
      <c r="F957" s="81" t="s">
        <v>160</v>
      </c>
      <c r="G957" s="81" t="s">
        <v>2443</v>
      </c>
      <c r="H957" s="81"/>
      <c r="I957" s="81"/>
      <c r="J957" s="81"/>
      <c r="K957" s="81"/>
      <c r="L957" s="81"/>
      <c r="M957" s="82" t="s">
        <v>43</v>
      </c>
      <c r="N957" s="82"/>
      <c r="O957" s="82"/>
      <c r="P957" s="82"/>
      <c r="Q957" s="82" t="s">
        <v>2444</v>
      </c>
      <c r="R957" s="111">
        <v>45916</v>
      </c>
      <c r="S957" s="82" t="s">
        <v>23</v>
      </c>
      <c r="T957" s="81" t="s">
        <v>144</v>
      </c>
      <c r="U957" s="81" t="s">
        <v>3427</v>
      </c>
    </row>
    <row r="958" spans="1:21" ht="30" x14ac:dyDescent="0.25">
      <c r="A958" s="81"/>
      <c r="B958" s="81"/>
      <c r="C958" s="81" t="s">
        <v>144</v>
      </c>
      <c r="D958" s="81" t="s">
        <v>10</v>
      </c>
      <c r="E958" s="81" t="s">
        <v>2445</v>
      </c>
      <c r="F958" s="81" t="s">
        <v>150</v>
      </c>
      <c r="G958" s="81" t="s">
        <v>2446</v>
      </c>
      <c r="H958" s="81"/>
      <c r="I958" s="81"/>
      <c r="J958" s="81"/>
      <c r="K958" s="81"/>
      <c r="L958" s="81"/>
      <c r="M958" s="82" t="s">
        <v>43</v>
      </c>
      <c r="N958" s="82"/>
      <c r="O958" s="82"/>
      <c r="P958" s="82"/>
      <c r="Q958" s="82" t="s">
        <v>2447</v>
      </c>
      <c r="R958" s="111">
        <v>45918</v>
      </c>
      <c r="S958" s="82" t="s">
        <v>23</v>
      </c>
      <c r="T958" s="81" t="s">
        <v>144</v>
      </c>
      <c r="U958" s="81" t="s">
        <v>144</v>
      </c>
    </row>
    <row r="959" spans="1:21" x14ac:dyDescent="0.25">
      <c r="A959" s="81"/>
      <c r="B959" s="81"/>
      <c r="C959" s="81" t="s">
        <v>144</v>
      </c>
      <c r="D959" s="81" t="s">
        <v>10</v>
      </c>
      <c r="E959" s="81" t="s">
        <v>2448</v>
      </c>
      <c r="F959" s="81" t="s">
        <v>3264</v>
      </c>
      <c r="G959" s="81" t="s">
        <v>2449</v>
      </c>
      <c r="H959" s="81"/>
      <c r="I959" s="81"/>
      <c r="J959" s="81"/>
      <c r="K959" s="81"/>
      <c r="L959" s="81"/>
      <c r="M959" s="82" t="s">
        <v>43</v>
      </c>
      <c r="N959" s="82"/>
      <c r="O959" s="82"/>
      <c r="P959" s="82"/>
      <c r="Q959" s="82"/>
      <c r="R959" s="111"/>
      <c r="S959" s="82"/>
      <c r="T959" s="81" t="s">
        <v>144</v>
      </c>
      <c r="U959" s="81" t="s">
        <v>3428</v>
      </c>
    </row>
    <row r="960" spans="1:21" ht="30" x14ac:dyDescent="0.25">
      <c r="A960" s="81"/>
      <c r="B960" s="81"/>
      <c r="C960" s="81" t="s">
        <v>144</v>
      </c>
      <c r="D960" s="81" t="s">
        <v>10</v>
      </c>
      <c r="E960" s="81" t="s">
        <v>2450</v>
      </c>
      <c r="F960" s="81" t="s">
        <v>106</v>
      </c>
      <c r="G960" s="81" t="s">
        <v>2451</v>
      </c>
      <c r="H960" s="81"/>
      <c r="I960" s="81"/>
      <c r="J960" s="81"/>
      <c r="K960" s="81"/>
      <c r="L960" s="81"/>
      <c r="M960" s="82" t="s">
        <v>43</v>
      </c>
      <c r="N960" s="82"/>
      <c r="O960" s="82"/>
      <c r="P960" s="82"/>
      <c r="Q960" s="82" t="s">
        <v>2452</v>
      </c>
      <c r="R960" s="111">
        <v>45924</v>
      </c>
      <c r="S960" s="82" t="s">
        <v>238</v>
      </c>
      <c r="T960" s="81" t="s">
        <v>144</v>
      </c>
      <c r="U960" s="81" t="s">
        <v>3429</v>
      </c>
    </row>
    <row r="961" spans="1:21" ht="45" x14ac:dyDescent="0.25">
      <c r="A961" s="81"/>
      <c r="B961" s="81"/>
      <c r="C961" s="81" t="s">
        <v>144</v>
      </c>
      <c r="D961" s="81" t="s">
        <v>10</v>
      </c>
      <c r="E961" s="81" t="s">
        <v>191</v>
      </c>
      <c r="F961" s="81" t="s">
        <v>3264</v>
      </c>
      <c r="G961" s="81" t="s">
        <v>192</v>
      </c>
      <c r="H961" s="81"/>
      <c r="I961" s="81"/>
      <c r="J961" s="81"/>
      <c r="K961" s="81"/>
      <c r="L961" s="81"/>
      <c r="M961" s="82" t="s">
        <v>43</v>
      </c>
      <c r="N961" s="82"/>
      <c r="O961" s="82"/>
      <c r="P961" s="82"/>
      <c r="Q961" s="82"/>
      <c r="R961" s="111"/>
      <c r="S961" s="82"/>
      <c r="T961" s="81" t="s">
        <v>144</v>
      </c>
      <c r="U961" s="81" t="s">
        <v>3430</v>
      </c>
    </row>
    <row r="962" spans="1:21" x14ac:dyDescent="0.25">
      <c r="A962" s="81"/>
      <c r="B962" s="81"/>
      <c r="C962" s="81" t="s">
        <v>144</v>
      </c>
      <c r="D962" s="81" t="s">
        <v>10</v>
      </c>
      <c r="E962" s="81" t="s">
        <v>2453</v>
      </c>
      <c r="F962" s="81" t="s">
        <v>106</v>
      </c>
      <c r="G962" s="81" t="s">
        <v>2454</v>
      </c>
      <c r="H962" s="81"/>
      <c r="I962" s="81"/>
      <c r="J962" s="81"/>
      <c r="K962" s="81"/>
      <c r="L962" s="81"/>
      <c r="M962" s="82" t="s">
        <v>43</v>
      </c>
      <c r="N962" s="82"/>
      <c r="O962" s="82"/>
      <c r="P962" s="82"/>
      <c r="Q962" s="82"/>
      <c r="R962" s="111"/>
      <c r="S962" s="82"/>
      <c r="T962" s="81" t="s">
        <v>144</v>
      </c>
      <c r="U962" s="81" t="s">
        <v>3431</v>
      </c>
    </row>
    <row r="963" spans="1:21" x14ac:dyDescent="0.25">
      <c r="A963" s="81"/>
      <c r="B963" s="81"/>
      <c r="C963" s="81" t="s">
        <v>144</v>
      </c>
      <c r="D963" s="81" t="s">
        <v>10</v>
      </c>
      <c r="E963" s="81" t="s">
        <v>2455</v>
      </c>
      <c r="F963" s="81" t="s">
        <v>150</v>
      </c>
      <c r="G963" s="81" t="s">
        <v>2456</v>
      </c>
      <c r="H963" s="81"/>
      <c r="I963" s="81"/>
      <c r="J963" s="81"/>
      <c r="K963" s="81"/>
      <c r="L963" s="81"/>
      <c r="M963" s="82" t="s">
        <v>43</v>
      </c>
      <c r="N963" s="82"/>
      <c r="O963" s="82"/>
      <c r="P963" s="82"/>
      <c r="Q963" s="82"/>
      <c r="R963" s="111"/>
      <c r="S963" s="82"/>
      <c r="T963" s="81" t="s">
        <v>144</v>
      </c>
      <c r="U963" s="81" t="s">
        <v>3432</v>
      </c>
    </row>
    <row r="964" spans="1:21" ht="30" x14ac:dyDescent="0.25">
      <c r="A964" s="81"/>
      <c r="B964" s="81"/>
      <c r="C964" s="81" t="s">
        <v>144</v>
      </c>
      <c r="D964" s="81" t="s">
        <v>10</v>
      </c>
      <c r="E964" s="81" t="s">
        <v>2457</v>
      </c>
      <c r="F964" s="81" t="s">
        <v>3264</v>
      </c>
      <c r="G964" s="81" t="s">
        <v>2458</v>
      </c>
      <c r="H964" s="81"/>
      <c r="I964" s="81"/>
      <c r="J964" s="81"/>
      <c r="K964" s="81"/>
      <c r="L964" s="81"/>
      <c r="M964" s="82" t="s">
        <v>43</v>
      </c>
      <c r="N964" s="82"/>
      <c r="O964" s="82"/>
      <c r="P964" s="82"/>
      <c r="Q964" s="82"/>
      <c r="R964" s="111"/>
      <c r="S964" s="82"/>
      <c r="T964" s="81" t="s">
        <v>144</v>
      </c>
      <c r="U964" s="81" t="s">
        <v>144</v>
      </c>
    </row>
    <row r="965" spans="1:21" x14ac:dyDescent="0.25">
      <c r="A965" s="81"/>
      <c r="B965" s="81"/>
      <c r="C965" s="81" t="s">
        <v>144</v>
      </c>
      <c r="D965" s="81" t="s">
        <v>10</v>
      </c>
      <c r="E965" s="81" t="s">
        <v>2459</v>
      </c>
      <c r="F965" s="81" t="s">
        <v>3264</v>
      </c>
      <c r="G965" s="81" t="s">
        <v>2460</v>
      </c>
      <c r="H965" s="81"/>
      <c r="I965" s="81"/>
      <c r="J965" s="81"/>
      <c r="K965" s="81"/>
      <c r="L965" s="81"/>
      <c r="M965" s="82" t="s">
        <v>43</v>
      </c>
      <c r="N965" s="82"/>
      <c r="O965" s="82"/>
      <c r="P965" s="82"/>
      <c r="Q965" s="82"/>
      <c r="R965" s="111"/>
      <c r="S965" s="82"/>
      <c r="T965" s="81" t="s">
        <v>144</v>
      </c>
      <c r="U965" s="81" t="s">
        <v>144</v>
      </c>
    </row>
    <row r="966" spans="1:21" x14ac:dyDescent="0.25">
      <c r="A966" s="81"/>
      <c r="B966" s="81"/>
      <c r="C966" s="81" t="s">
        <v>144</v>
      </c>
      <c r="D966" s="81" t="s">
        <v>10</v>
      </c>
      <c r="E966" s="81" t="s">
        <v>2461</v>
      </c>
      <c r="F966" s="81" t="s">
        <v>160</v>
      </c>
      <c r="G966" s="81" t="s">
        <v>2462</v>
      </c>
      <c r="H966" s="81"/>
      <c r="I966" s="81"/>
      <c r="J966" s="81"/>
      <c r="K966" s="81"/>
      <c r="L966" s="81"/>
      <c r="M966" s="82" t="s">
        <v>43</v>
      </c>
      <c r="N966" s="82"/>
      <c r="O966" s="82"/>
      <c r="P966" s="82"/>
      <c r="Q966" s="82"/>
      <c r="R966" s="111"/>
      <c r="S966" s="82"/>
      <c r="T966" s="81" t="s">
        <v>144</v>
      </c>
      <c r="U966" s="81" t="s">
        <v>144</v>
      </c>
    </row>
    <row r="967" spans="1:21" ht="30" x14ac:dyDescent="0.25">
      <c r="A967" s="81"/>
      <c r="B967" s="81"/>
      <c r="C967" s="81" t="s">
        <v>144</v>
      </c>
      <c r="D967" s="81" t="s">
        <v>10</v>
      </c>
      <c r="E967" s="81" t="s">
        <v>2463</v>
      </c>
      <c r="F967" s="81" t="s">
        <v>168</v>
      </c>
      <c r="G967" s="81" t="s">
        <v>2464</v>
      </c>
      <c r="H967" s="81"/>
      <c r="I967" s="81"/>
      <c r="J967" s="81"/>
      <c r="K967" s="81"/>
      <c r="L967" s="81"/>
      <c r="M967" s="82" t="s">
        <v>43</v>
      </c>
      <c r="N967" s="82"/>
      <c r="O967" s="82"/>
      <c r="P967" s="82"/>
      <c r="Q967" s="82" t="s">
        <v>2465</v>
      </c>
      <c r="R967" s="111">
        <v>45938</v>
      </c>
      <c r="S967" s="82" t="s">
        <v>1413</v>
      </c>
      <c r="T967" s="81" t="s">
        <v>144</v>
      </c>
      <c r="U967" s="81" t="s">
        <v>3433</v>
      </c>
    </row>
    <row r="968" spans="1:21" ht="75" x14ac:dyDescent="0.25">
      <c r="A968" s="81"/>
      <c r="B968" s="81"/>
      <c r="C968" s="81" t="s">
        <v>144</v>
      </c>
      <c r="D968" s="81" t="s">
        <v>10</v>
      </c>
      <c r="E968" s="81" t="s">
        <v>2466</v>
      </c>
      <c r="F968" s="81" t="s">
        <v>106</v>
      </c>
      <c r="G968" s="81" t="s">
        <v>2467</v>
      </c>
      <c r="H968" s="81"/>
      <c r="I968" s="81"/>
      <c r="J968" s="81"/>
      <c r="K968" s="81"/>
      <c r="L968" s="81"/>
      <c r="M968" s="82" t="s">
        <v>43</v>
      </c>
      <c r="N968" s="82" t="s">
        <v>8</v>
      </c>
      <c r="O968" s="82"/>
      <c r="P968" s="82"/>
      <c r="Q968" s="82" t="s">
        <v>2468</v>
      </c>
      <c r="R968" s="111">
        <v>45938</v>
      </c>
      <c r="S968" s="82" t="s">
        <v>9</v>
      </c>
      <c r="T968" s="81" t="s">
        <v>144</v>
      </c>
      <c r="U968" s="81" t="s">
        <v>144</v>
      </c>
    </row>
    <row r="969" spans="1:21" ht="30" x14ac:dyDescent="0.25">
      <c r="A969" s="81"/>
      <c r="B969" s="81"/>
      <c r="C969" s="81" t="s">
        <v>144</v>
      </c>
      <c r="D969" s="81" t="s">
        <v>10</v>
      </c>
      <c r="E969" s="81" t="s">
        <v>2469</v>
      </c>
      <c r="F969" s="81" t="s">
        <v>150</v>
      </c>
      <c r="G969" s="81" t="s">
        <v>2470</v>
      </c>
      <c r="H969" s="81"/>
      <c r="I969" s="81"/>
      <c r="J969" s="81"/>
      <c r="K969" s="81"/>
      <c r="L969" s="81"/>
      <c r="M969" s="82" t="s">
        <v>43</v>
      </c>
      <c r="N969" s="82"/>
      <c r="O969" s="82"/>
      <c r="P969" s="82"/>
      <c r="Q969" s="82" t="s">
        <v>2471</v>
      </c>
      <c r="R969" s="111">
        <v>45938</v>
      </c>
      <c r="S969" s="82" t="s">
        <v>9</v>
      </c>
      <c r="T969" s="81" t="s">
        <v>144</v>
      </c>
      <c r="U969" s="81" t="s">
        <v>3434</v>
      </c>
    </row>
    <row r="970" spans="1:21" x14ac:dyDescent="0.25">
      <c r="A970" s="81"/>
      <c r="B970" s="81"/>
      <c r="C970" s="81" t="s">
        <v>144</v>
      </c>
      <c r="D970" s="81" t="s">
        <v>10</v>
      </c>
      <c r="E970" s="81" t="s">
        <v>2472</v>
      </c>
      <c r="F970" s="81" t="s">
        <v>3264</v>
      </c>
      <c r="G970" s="81" t="s">
        <v>2473</v>
      </c>
      <c r="H970" s="81"/>
      <c r="I970" s="81"/>
      <c r="J970" s="81"/>
      <c r="K970" s="81"/>
      <c r="L970" s="81"/>
      <c r="M970" s="82" t="s">
        <v>43</v>
      </c>
      <c r="N970" s="82"/>
      <c r="O970" s="82"/>
      <c r="P970" s="82"/>
      <c r="Q970" s="82"/>
      <c r="R970" s="111"/>
      <c r="S970" s="82"/>
      <c r="T970" s="81" t="s">
        <v>144</v>
      </c>
      <c r="U970" s="81" t="s">
        <v>3435</v>
      </c>
    </row>
    <row r="971" spans="1:21" x14ac:dyDescent="0.25">
      <c r="A971" s="81"/>
      <c r="B971" s="81"/>
      <c r="C971" s="81" t="s">
        <v>144</v>
      </c>
      <c r="D971" s="81" t="s">
        <v>10</v>
      </c>
      <c r="E971" s="81" t="s">
        <v>2474</v>
      </c>
      <c r="F971" s="81" t="s">
        <v>106</v>
      </c>
      <c r="G971" s="81" t="s">
        <v>2475</v>
      </c>
      <c r="H971" s="81"/>
      <c r="I971" s="81"/>
      <c r="J971" s="81"/>
      <c r="K971" s="81"/>
      <c r="L971" s="81"/>
      <c r="M971" s="82" t="s">
        <v>43</v>
      </c>
      <c r="N971" s="82"/>
      <c r="O971" s="82"/>
      <c r="P971" s="82"/>
      <c r="Q971" s="82" t="s">
        <v>2476</v>
      </c>
      <c r="R971" s="111">
        <v>45937</v>
      </c>
      <c r="S971" s="82"/>
      <c r="T971" s="81" t="s">
        <v>144</v>
      </c>
      <c r="U971" s="81" t="s">
        <v>3436</v>
      </c>
    </row>
    <row r="972" spans="1:21" ht="45" x14ac:dyDescent="0.25">
      <c r="A972" s="81"/>
      <c r="B972" s="81"/>
      <c r="C972" s="81" t="s">
        <v>144</v>
      </c>
      <c r="D972" s="81" t="s">
        <v>10</v>
      </c>
      <c r="E972" s="81" t="s">
        <v>2477</v>
      </c>
      <c r="F972" s="81" t="s">
        <v>3264</v>
      </c>
      <c r="G972" s="81" t="s">
        <v>2478</v>
      </c>
      <c r="H972" s="81"/>
      <c r="I972" s="81"/>
      <c r="J972" s="81"/>
      <c r="K972" s="81"/>
      <c r="L972" s="81"/>
      <c r="M972" s="82" t="s">
        <v>43</v>
      </c>
      <c r="N972" s="82"/>
      <c r="O972" s="82"/>
      <c r="P972" s="82"/>
      <c r="Q972" s="82" t="s">
        <v>2479</v>
      </c>
      <c r="R972" s="111">
        <v>45946</v>
      </c>
      <c r="S972" s="82" t="s">
        <v>238</v>
      </c>
      <c r="T972" s="81" t="s">
        <v>144</v>
      </c>
      <c r="U972" s="81" t="s">
        <v>3493</v>
      </c>
    </row>
    <row r="973" spans="1:21" x14ac:dyDescent="0.25">
      <c r="A973" s="81"/>
      <c r="B973" s="81"/>
      <c r="C973" s="81" t="s">
        <v>144</v>
      </c>
      <c r="D973" s="81" t="s">
        <v>10</v>
      </c>
      <c r="E973" s="81" t="s">
        <v>2485</v>
      </c>
      <c r="F973" s="81" t="s">
        <v>150</v>
      </c>
      <c r="G973" s="81" t="s">
        <v>2486</v>
      </c>
      <c r="H973" s="81"/>
      <c r="I973" s="81"/>
      <c r="J973" s="81"/>
      <c r="K973" s="81"/>
      <c r="L973" s="81"/>
      <c r="M973" s="82" t="s">
        <v>43</v>
      </c>
      <c r="N973" s="82"/>
      <c r="O973" s="82"/>
      <c r="P973" s="82"/>
      <c r="Q973" s="82"/>
      <c r="R973" s="111"/>
      <c r="S973" s="82"/>
      <c r="T973" s="81" t="s">
        <v>144</v>
      </c>
      <c r="U973" s="81" t="s">
        <v>3391</v>
      </c>
    </row>
    <row r="974" spans="1:21" x14ac:dyDescent="0.25">
      <c r="A974" s="81"/>
      <c r="B974" s="81"/>
      <c r="C974" s="81" t="s">
        <v>8</v>
      </c>
      <c r="D974" s="81" t="s">
        <v>10</v>
      </c>
      <c r="E974" s="81" t="s">
        <v>2487</v>
      </c>
      <c r="F974" s="81" t="s">
        <v>157</v>
      </c>
      <c r="G974" s="81" t="s">
        <v>2488</v>
      </c>
      <c r="H974" s="81" t="s">
        <v>8</v>
      </c>
      <c r="I974" s="81"/>
      <c r="J974" s="81" t="s">
        <v>8</v>
      </c>
      <c r="K974" s="81"/>
      <c r="L974" s="81"/>
      <c r="M974" s="82" t="s">
        <v>43</v>
      </c>
      <c r="N974" s="82"/>
      <c r="O974" s="82"/>
      <c r="P974" s="82"/>
      <c r="Q974" s="82"/>
      <c r="R974" s="111"/>
      <c r="S974" s="82"/>
      <c r="T974" s="81" t="s">
        <v>144</v>
      </c>
      <c r="U974" s="81" t="s">
        <v>3494</v>
      </c>
    </row>
    <row r="975" spans="1:21" x14ac:dyDescent="0.25">
      <c r="A975" s="81"/>
      <c r="B975" s="81"/>
      <c r="C975" s="81" t="s">
        <v>144</v>
      </c>
      <c r="D975" s="81" t="s">
        <v>10</v>
      </c>
      <c r="E975" s="81" t="s">
        <v>2489</v>
      </c>
      <c r="F975" s="81" t="s">
        <v>3264</v>
      </c>
      <c r="G975" s="81" t="s">
        <v>2490</v>
      </c>
      <c r="H975" s="81"/>
      <c r="I975" s="81"/>
      <c r="J975" s="81"/>
      <c r="K975" s="81"/>
      <c r="L975" s="81"/>
      <c r="M975" s="82" t="s">
        <v>43</v>
      </c>
      <c r="N975" s="82"/>
      <c r="O975" s="82"/>
      <c r="P975" s="82"/>
      <c r="Q975" s="82"/>
      <c r="R975" s="111"/>
      <c r="S975" s="82"/>
      <c r="T975" s="81" t="s">
        <v>144</v>
      </c>
      <c r="U975" s="81" t="s">
        <v>3395</v>
      </c>
    </row>
    <row r="976" spans="1:21" x14ac:dyDescent="0.25">
      <c r="A976" s="81"/>
      <c r="B976" s="81"/>
      <c r="C976" s="81" t="s">
        <v>144</v>
      </c>
      <c r="D976" s="81" t="s">
        <v>10</v>
      </c>
      <c r="E976" s="81" t="s">
        <v>3291</v>
      </c>
      <c r="F976" s="81" t="s">
        <v>3264</v>
      </c>
      <c r="G976" s="81" t="s">
        <v>3292</v>
      </c>
      <c r="H976" s="81"/>
      <c r="I976" s="81"/>
      <c r="J976" s="81"/>
      <c r="K976" s="81"/>
      <c r="L976" s="81"/>
      <c r="M976" s="82" t="s">
        <v>43</v>
      </c>
      <c r="N976" s="82"/>
      <c r="O976" s="82"/>
      <c r="P976" s="82"/>
      <c r="Q976" s="82"/>
      <c r="R976" s="111"/>
      <c r="S976" s="82"/>
      <c r="T976" s="81" t="s">
        <v>144</v>
      </c>
      <c r="U976" s="81" t="s">
        <v>3498</v>
      </c>
    </row>
    <row r="977" spans="1:21" x14ac:dyDescent="0.25">
      <c r="A977" s="81"/>
      <c r="B977" s="81"/>
      <c r="C977" s="81" t="s">
        <v>144</v>
      </c>
      <c r="D977" s="81" t="s">
        <v>10</v>
      </c>
      <c r="E977" s="81" t="s">
        <v>3293</v>
      </c>
      <c r="F977" s="81" t="s">
        <v>150</v>
      </c>
      <c r="G977" s="81" t="s">
        <v>3294</v>
      </c>
      <c r="H977" s="81"/>
      <c r="I977" s="81"/>
      <c r="J977" s="81"/>
      <c r="K977" s="81"/>
      <c r="L977" s="81"/>
      <c r="M977" s="82" t="s">
        <v>43</v>
      </c>
      <c r="N977" s="82"/>
      <c r="O977" s="82"/>
      <c r="P977" s="82"/>
      <c r="Q977" s="82"/>
      <c r="R977" s="111"/>
      <c r="S977" s="82"/>
      <c r="T977" s="81" t="s">
        <v>144</v>
      </c>
      <c r="U977" s="81" t="s">
        <v>3499</v>
      </c>
    </row>
    <row r="978" spans="1:21" x14ac:dyDescent="0.25">
      <c r="A978" s="81"/>
      <c r="B978" s="81"/>
      <c r="C978" s="81" t="s">
        <v>144</v>
      </c>
      <c r="D978" s="81" t="s">
        <v>10</v>
      </c>
      <c r="E978" s="81" t="s">
        <v>3297</v>
      </c>
      <c r="F978" s="81" t="s">
        <v>150</v>
      </c>
      <c r="G978" s="81" t="s">
        <v>3298</v>
      </c>
      <c r="H978" s="81"/>
      <c r="I978" s="81"/>
      <c r="J978" s="81"/>
      <c r="K978" s="81"/>
      <c r="L978" s="81"/>
      <c r="M978" s="82" t="s">
        <v>43</v>
      </c>
      <c r="N978" s="82"/>
      <c r="O978" s="82"/>
      <c r="P978" s="82"/>
      <c r="Q978" s="82"/>
      <c r="R978" s="111"/>
      <c r="S978" s="82"/>
      <c r="T978" s="81" t="s">
        <v>144</v>
      </c>
      <c r="U978" s="81" t="s">
        <v>3501</v>
      </c>
    </row>
    <row r="979" spans="1:21" x14ac:dyDescent="0.25">
      <c r="A979" s="81"/>
      <c r="B979" s="81"/>
      <c r="C979" s="81" t="s">
        <v>144</v>
      </c>
      <c r="D979" s="81" t="s">
        <v>10</v>
      </c>
      <c r="E979" s="81" t="s">
        <v>3299</v>
      </c>
      <c r="F979" s="81" t="s">
        <v>150</v>
      </c>
      <c r="G979" s="81" t="s">
        <v>3300</v>
      </c>
      <c r="H979" s="81"/>
      <c r="I979" s="81"/>
      <c r="J979" s="81"/>
      <c r="K979" s="81"/>
      <c r="L979" s="81"/>
      <c r="M979" s="82" t="s">
        <v>43</v>
      </c>
      <c r="N979" s="82"/>
      <c r="O979" s="82"/>
      <c r="P979" s="82"/>
      <c r="Q979" s="82"/>
      <c r="R979" s="111"/>
      <c r="S979" s="82"/>
      <c r="T979" s="81" t="s">
        <v>144</v>
      </c>
      <c r="U979" s="81" t="s">
        <v>3502</v>
      </c>
    </row>
    <row r="980" spans="1:21" x14ac:dyDescent="0.25">
      <c r="A980" s="81"/>
      <c r="B980" s="81"/>
      <c r="C980" s="81" t="s">
        <v>144</v>
      </c>
      <c r="D980" s="81" t="s">
        <v>10</v>
      </c>
      <c r="E980" s="81" t="s">
        <v>3301</v>
      </c>
      <c r="F980" s="81" t="s">
        <v>150</v>
      </c>
      <c r="G980" s="81" t="s">
        <v>3302</v>
      </c>
      <c r="H980" s="81"/>
      <c r="I980" s="81"/>
      <c r="J980" s="81"/>
      <c r="K980" s="81"/>
      <c r="L980" s="81"/>
      <c r="M980" s="82" t="s">
        <v>43</v>
      </c>
      <c r="N980" s="82"/>
      <c r="O980" s="82"/>
      <c r="P980" s="82"/>
      <c r="Q980" s="82"/>
      <c r="R980" s="111"/>
      <c r="S980" s="82"/>
      <c r="T980" s="81" t="s">
        <v>144</v>
      </c>
      <c r="U980" s="81" t="s">
        <v>3503</v>
      </c>
    </row>
    <row r="981" spans="1:21" ht="60" x14ac:dyDescent="0.25">
      <c r="A981" s="81"/>
      <c r="B981" s="81"/>
      <c r="C981" s="81" t="s">
        <v>144</v>
      </c>
      <c r="D981" s="81" t="s">
        <v>10</v>
      </c>
      <c r="E981" s="81" t="s">
        <v>2326</v>
      </c>
      <c r="F981" s="81" t="s">
        <v>199</v>
      </c>
      <c r="G981" s="81" t="s">
        <v>2327</v>
      </c>
      <c r="H981" s="81"/>
      <c r="I981" s="81"/>
      <c r="J981" s="81"/>
      <c r="K981" s="81"/>
      <c r="L981" s="81"/>
      <c r="M981" s="82" t="s">
        <v>43</v>
      </c>
      <c r="N981" s="82"/>
      <c r="O981" s="82"/>
      <c r="P981" s="82"/>
      <c r="Q981" s="82" t="s">
        <v>3475</v>
      </c>
      <c r="R981" s="111">
        <v>45952</v>
      </c>
      <c r="S981" s="82" t="s">
        <v>45</v>
      </c>
      <c r="T981" s="81" t="s">
        <v>144</v>
      </c>
      <c r="U981" s="81" t="s">
        <v>144</v>
      </c>
    </row>
    <row r="982" spans="1:21" x14ac:dyDescent="0.25">
      <c r="A982" s="81"/>
      <c r="B982" s="81"/>
      <c r="C982" s="81" t="s">
        <v>8</v>
      </c>
      <c r="D982" s="81" t="s">
        <v>10</v>
      </c>
      <c r="E982" s="81" t="s">
        <v>3468</v>
      </c>
      <c r="F982" s="81" t="s">
        <v>150</v>
      </c>
      <c r="G982" s="81" t="s">
        <v>3526</v>
      </c>
      <c r="H982" s="81" t="s">
        <v>8</v>
      </c>
      <c r="I982" s="81"/>
      <c r="J982" s="81" t="s">
        <v>8</v>
      </c>
      <c r="K982" s="81"/>
      <c r="L982" s="81"/>
      <c r="M982" s="82" t="s">
        <v>43</v>
      </c>
      <c r="N982" s="82"/>
      <c r="O982" s="82"/>
      <c r="P982" s="82"/>
      <c r="Q982" s="82"/>
      <c r="R982" s="111"/>
      <c r="S982" s="82"/>
      <c r="T982" s="81" t="s">
        <v>144</v>
      </c>
      <c r="U982" s="81" t="s">
        <v>3488</v>
      </c>
    </row>
    <row r="983" spans="1:21" x14ac:dyDescent="0.25">
      <c r="A983" s="81"/>
      <c r="B983" s="81"/>
      <c r="C983" s="81" t="s">
        <v>8</v>
      </c>
      <c r="D983" s="81" t="s">
        <v>10</v>
      </c>
      <c r="E983" s="81" t="s">
        <v>3469</v>
      </c>
      <c r="F983" s="81" t="s">
        <v>150</v>
      </c>
      <c r="G983" s="81" t="s">
        <v>3527</v>
      </c>
      <c r="H983" s="81" t="s">
        <v>8</v>
      </c>
      <c r="I983" s="81"/>
      <c r="J983" s="81" t="s">
        <v>8</v>
      </c>
      <c r="K983" s="81"/>
      <c r="L983" s="81"/>
      <c r="M983" s="82" t="s">
        <v>43</v>
      </c>
      <c r="N983" s="82"/>
      <c r="O983" s="82"/>
      <c r="P983" s="82"/>
      <c r="Q983" s="82"/>
      <c r="R983" s="111"/>
      <c r="S983" s="82"/>
      <c r="T983" s="81" t="s">
        <v>144</v>
      </c>
      <c r="U983" s="81" t="s">
        <v>3489</v>
      </c>
    </row>
    <row r="984" spans="1:21" x14ac:dyDescent="0.25">
      <c r="A984" s="81"/>
      <c r="B984" s="81" t="s">
        <v>8</v>
      </c>
      <c r="C984" s="81" t="s">
        <v>144</v>
      </c>
      <c r="D984" s="81" t="s">
        <v>145</v>
      </c>
      <c r="E984" s="81" t="s">
        <v>2760</v>
      </c>
      <c r="F984" s="81" t="s">
        <v>152</v>
      </c>
      <c r="G984" s="81" t="s">
        <v>2761</v>
      </c>
      <c r="H984" s="81"/>
      <c r="I984" s="81"/>
      <c r="J984" s="81"/>
      <c r="K984" s="81"/>
      <c r="L984" s="81"/>
      <c r="M984" s="82" t="s">
        <v>43</v>
      </c>
      <c r="N984" s="82"/>
      <c r="O984" s="82"/>
      <c r="P984" s="82"/>
      <c r="Q984" s="82"/>
      <c r="R984" s="111"/>
      <c r="S984" s="82"/>
      <c r="T984" s="81" t="s">
        <v>144</v>
      </c>
      <c r="U984" s="81"/>
    </row>
    <row r="985" spans="1:21" ht="45" x14ac:dyDescent="0.25">
      <c r="A985" s="81"/>
      <c r="B985" s="81" t="s">
        <v>8</v>
      </c>
      <c r="C985" s="81" t="s">
        <v>144</v>
      </c>
      <c r="D985" s="81" t="s">
        <v>145</v>
      </c>
      <c r="E985" s="81" t="s">
        <v>2762</v>
      </c>
      <c r="F985" s="81" t="s">
        <v>142</v>
      </c>
      <c r="G985" s="81" t="s">
        <v>2763</v>
      </c>
      <c r="H985" s="81"/>
      <c r="I985" s="81"/>
      <c r="J985" s="81"/>
      <c r="K985" s="81"/>
      <c r="L985" s="81"/>
      <c r="M985" s="82" t="s">
        <v>43</v>
      </c>
      <c r="N985" s="82"/>
      <c r="O985" s="82"/>
      <c r="P985" s="82"/>
      <c r="Q985" s="82"/>
      <c r="R985" s="111"/>
      <c r="S985" s="82"/>
      <c r="T985" s="81" t="s">
        <v>144</v>
      </c>
      <c r="U985" s="81"/>
    </row>
    <row r="986" spans="1:21" ht="30" x14ac:dyDescent="0.25">
      <c r="A986" s="81"/>
      <c r="B986" s="81" t="s">
        <v>8</v>
      </c>
      <c r="C986" s="81" t="s">
        <v>144</v>
      </c>
      <c r="D986" s="81" t="s">
        <v>145</v>
      </c>
      <c r="E986" s="81" t="s">
        <v>2764</v>
      </c>
      <c r="F986" s="81" t="s">
        <v>142</v>
      </c>
      <c r="G986" s="81" t="s">
        <v>2765</v>
      </c>
      <c r="H986" s="81"/>
      <c r="I986" s="81"/>
      <c r="J986" s="81"/>
      <c r="K986" s="81"/>
      <c r="L986" s="81"/>
      <c r="M986" s="82" t="s">
        <v>43</v>
      </c>
      <c r="N986" s="82"/>
      <c r="O986" s="82"/>
      <c r="P986" s="82"/>
      <c r="Q986" s="82"/>
      <c r="R986" s="111"/>
      <c r="S986" s="82"/>
      <c r="T986" s="81" t="s">
        <v>144</v>
      </c>
      <c r="U986" s="81" t="s">
        <v>144</v>
      </c>
    </row>
    <row r="987" spans="1:21" ht="30" x14ac:dyDescent="0.25">
      <c r="A987" s="81"/>
      <c r="B987" s="81" t="s">
        <v>8</v>
      </c>
      <c r="C987" s="81" t="s">
        <v>144</v>
      </c>
      <c r="D987" s="81" t="s">
        <v>145</v>
      </c>
      <c r="E987" s="81" t="s">
        <v>2766</v>
      </c>
      <c r="F987" s="81" t="s">
        <v>142</v>
      </c>
      <c r="G987" s="81" t="s">
        <v>2767</v>
      </c>
      <c r="H987" s="81"/>
      <c r="I987" s="81"/>
      <c r="J987" s="81"/>
      <c r="K987" s="81"/>
      <c r="L987" s="81"/>
      <c r="M987" s="82" t="s">
        <v>43</v>
      </c>
      <c r="N987" s="82"/>
      <c r="O987" s="82"/>
      <c r="P987" s="82"/>
      <c r="Q987" s="82" t="s">
        <v>2768</v>
      </c>
      <c r="R987" s="111"/>
      <c r="S987" s="82"/>
      <c r="T987" s="81" t="s">
        <v>144</v>
      </c>
      <c r="U987" s="81" t="s">
        <v>144</v>
      </c>
    </row>
    <row r="988" spans="1:21" ht="30" x14ac:dyDescent="0.25">
      <c r="A988" s="81"/>
      <c r="B988" s="81" t="s">
        <v>8</v>
      </c>
      <c r="C988" s="81" t="s">
        <v>144</v>
      </c>
      <c r="D988" s="81" t="s">
        <v>156</v>
      </c>
      <c r="E988" s="81" t="s">
        <v>2728</v>
      </c>
      <c r="F988" s="81">
        <v>2800</v>
      </c>
      <c r="G988" s="81" t="s">
        <v>2729</v>
      </c>
      <c r="H988" s="81"/>
      <c r="I988" s="81"/>
      <c r="J988" s="81"/>
      <c r="K988" s="81"/>
      <c r="L988" s="81"/>
      <c r="M988" s="82" t="s">
        <v>43</v>
      </c>
      <c r="N988" s="82"/>
      <c r="O988" s="82"/>
      <c r="P988" s="82"/>
      <c r="Q988" s="82"/>
      <c r="R988" s="111"/>
      <c r="S988" s="82"/>
      <c r="T988" s="81" t="s">
        <v>144</v>
      </c>
      <c r="U988" s="81" t="s">
        <v>144</v>
      </c>
    </row>
    <row r="989" spans="1:21" x14ac:dyDescent="0.25">
      <c r="A989" s="81"/>
      <c r="B989" s="81"/>
      <c r="C989" s="81" t="s">
        <v>8</v>
      </c>
      <c r="D989" s="81" t="s">
        <v>30</v>
      </c>
      <c r="E989" s="81" t="s">
        <v>3029</v>
      </c>
      <c r="F989" s="81" t="s">
        <v>2967</v>
      </c>
      <c r="G989" s="81" t="s">
        <v>3030</v>
      </c>
      <c r="H989" s="81" t="s">
        <v>8</v>
      </c>
      <c r="I989" s="81" t="s">
        <v>8</v>
      </c>
      <c r="J989" s="81"/>
      <c r="K989" s="81"/>
      <c r="L989" s="81"/>
      <c r="M989" s="82" t="s">
        <v>43</v>
      </c>
      <c r="N989" s="82"/>
      <c r="O989" s="82"/>
      <c r="P989" s="82"/>
      <c r="Q989" s="82"/>
      <c r="R989" s="111"/>
      <c r="S989" s="82"/>
      <c r="T989" s="81" t="s">
        <v>144</v>
      </c>
      <c r="U989" s="81"/>
    </row>
    <row r="990" spans="1:21" x14ac:dyDescent="0.25">
      <c r="A990" s="81"/>
      <c r="B990" s="81"/>
      <c r="C990" s="81" t="s">
        <v>8</v>
      </c>
      <c r="D990" s="81" t="s">
        <v>30</v>
      </c>
      <c r="E990" s="81" t="s">
        <v>3031</v>
      </c>
      <c r="F990" s="81" t="s">
        <v>2967</v>
      </c>
      <c r="G990" s="81" t="s">
        <v>3032</v>
      </c>
      <c r="H990" s="81" t="s">
        <v>8</v>
      </c>
      <c r="I990" s="81" t="s">
        <v>8</v>
      </c>
      <c r="J990" s="81"/>
      <c r="K990" s="81"/>
      <c r="L990" s="81"/>
      <c r="M990" s="82" t="s">
        <v>43</v>
      </c>
      <c r="N990" s="82"/>
      <c r="O990" s="82"/>
      <c r="P990" s="82"/>
      <c r="Q990" s="82"/>
      <c r="R990" s="111"/>
      <c r="S990" s="82"/>
      <c r="T990" s="81" t="s">
        <v>144</v>
      </c>
      <c r="U990" s="81"/>
    </row>
    <row r="991" spans="1:21" x14ac:dyDescent="0.25">
      <c r="A991" s="81"/>
      <c r="B991" s="81"/>
      <c r="C991" s="81" t="s">
        <v>8</v>
      </c>
      <c r="D991" s="81" t="s">
        <v>30</v>
      </c>
      <c r="E991" s="81" t="s">
        <v>3033</v>
      </c>
      <c r="F991" s="81" t="s">
        <v>2967</v>
      </c>
      <c r="G991" s="81" t="s">
        <v>3034</v>
      </c>
      <c r="H991" s="81" t="s">
        <v>8</v>
      </c>
      <c r="I991" s="81" t="s">
        <v>8</v>
      </c>
      <c r="J991" s="81"/>
      <c r="K991" s="81"/>
      <c r="L991" s="81"/>
      <c r="M991" s="82" t="s">
        <v>43</v>
      </c>
      <c r="N991" s="82"/>
      <c r="O991" s="82"/>
      <c r="P991" s="82"/>
      <c r="Q991" s="82"/>
      <c r="R991" s="111"/>
      <c r="S991" s="82"/>
      <c r="T991" s="81" t="s">
        <v>144</v>
      </c>
      <c r="U991" s="81"/>
    </row>
    <row r="992" spans="1:21" ht="30" x14ac:dyDescent="0.25">
      <c r="A992" s="81"/>
      <c r="B992" s="81"/>
      <c r="C992" s="81" t="s">
        <v>144</v>
      </c>
      <c r="D992" s="81" t="s">
        <v>30</v>
      </c>
      <c r="E992" s="81" t="s">
        <v>3035</v>
      </c>
      <c r="F992" s="81" t="s">
        <v>2967</v>
      </c>
      <c r="G992" s="81" t="s">
        <v>3036</v>
      </c>
      <c r="H992" s="81"/>
      <c r="I992" s="81"/>
      <c r="J992" s="81"/>
      <c r="K992" s="81"/>
      <c r="L992" s="81"/>
      <c r="M992" s="82" t="s">
        <v>43</v>
      </c>
      <c r="N992" s="82"/>
      <c r="O992" s="82"/>
      <c r="P992" s="82"/>
      <c r="Q992" s="82"/>
      <c r="R992" s="111"/>
      <c r="S992" s="82"/>
      <c r="T992" s="81" t="s">
        <v>144</v>
      </c>
      <c r="U992" s="81"/>
    </row>
    <row r="993" spans="1:21" ht="30" x14ac:dyDescent="0.25">
      <c r="A993" s="81"/>
      <c r="B993" s="81"/>
      <c r="C993" s="81" t="s">
        <v>144</v>
      </c>
      <c r="D993" s="81" t="s">
        <v>30</v>
      </c>
      <c r="E993" s="81" t="s">
        <v>3037</v>
      </c>
      <c r="F993" s="81" t="s">
        <v>3038</v>
      </c>
      <c r="G993" s="81" t="s">
        <v>3039</v>
      </c>
      <c r="H993" s="81"/>
      <c r="I993" s="81"/>
      <c r="J993" s="81"/>
      <c r="K993" s="81"/>
      <c r="L993" s="81"/>
      <c r="M993" s="82" t="s">
        <v>43</v>
      </c>
      <c r="N993" s="82"/>
      <c r="O993" s="82"/>
      <c r="P993" s="82"/>
      <c r="Q993" s="82"/>
      <c r="R993" s="111"/>
      <c r="S993" s="82"/>
      <c r="T993" s="81" t="s">
        <v>144</v>
      </c>
      <c r="U993" s="81"/>
    </row>
    <row r="994" spans="1:21" x14ac:dyDescent="0.25">
      <c r="A994" s="81"/>
      <c r="B994" s="81"/>
      <c r="C994" s="81" t="s">
        <v>144</v>
      </c>
      <c r="D994" s="81" t="s">
        <v>30</v>
      </c>
      <c r="E994" s="81" t="s">
        <v>3040</v>
      </c>
      <c r="F994" s="81" t="s">
        <v>186</v>
      </c>
      <c r="G994" s="81" t="s">
        <v>3041</v>
      </c>
      <c r="H994" s="81"/>
      <c r="I994" s="81"/>
      <c r="J994" s="81"/>
      <c r="K994" s="81"/>
      <c r="L994" s="81"/>
      <c r="M994" s="82" t="s">
        <v>43</v>
      </c>
      <c r="N994" s="82"/>
      <c r="O994" s="82"/>
      <c r="P994" s="82"/>
      <c r="Q994" s="82"/>
      <c r="R994" s="111">
        <v>45895</v>
      </c>
      <c r="S994" s="82" t="s">
        <v>535</v>
      </c>
      <c r="T994" s="81" t="s">
        <v>144</v>
      </c>
      <c r="U994" s="81"/>
    </row>
    <row r="995" spans="1:21" x14ac:dyDescent="0.25">
      <c r="A995" s="81"/>
      <c r="B995" s="81"/>
      <c r="C995" s="81" t="s">
        <v>144</v>
      </c>
      <c r="D995" s="81" t="s">
        <v>30</v>
      </c>
      <c r="E995" s="81" t="s">
        <v>3042</v>
      </c>
      <c r="F995" s="81" t="s">
        <v>175</v>
      </c>
      <c r="G995" s="81" t="s">
        <v>3043</v>
      </c>
      <c r="H995" s="81"/>
      <c r="I995" s="81"/>
      <c r="J995" s="81"/>
      <c r="K995" s="81"/>
      <c r="L995" s="81"/>
      <c r="M995" s="82" t="s">
        <v>43</v>
      </c>
      <c r="N995" s="82"/>
      <c r="O995" s="82"/>
      <c r="P995" s="82"/>
      <c r="Q995" s="82"/>
      <c r="R995" s="111"/>
      <c r="S995" s="82"/>
      <c r="T995" s="81" t="s">
        <v>144</v>
      </c>
      <c r="U995" s="81"/>
    </row>
    <row r="996" spans="1:21" x14ac:dyDescent="0.25">
      <c r="A996" s="81"/>
      <c r="B996" s="81"/>
      <c r="C996" s="81" t="s">
        <v>144</v>
      </c>
      <c r="D996" s="81" t="s">
        <v>30</v>
      </c>
      <c r="E996" s="81" t="s">
        <v>3044</v>
      </c>
      <c r="F996" s="81" t="s">
        <v>186</v>
      </c>
      <c r="G996" s="81" t="s">
        <v>3045</v>
      </c>
      <c r="H996" s="81"/>
      <c r="I996" s="81"/>
      <c r="J996" s="81"/>
      <c r="K996" s="81"/>
      <c r="L996" s="81"/>
      <c r="M996" s="82" t="s">
        <v>43</v>
      </c>
      <c r="N996" s="82"/>
      <c r="O996" s="82"/>
      <c r="P996" s="82"/>
      <c r="Q996" s="82"/>
      <c r="R996" s="111"/>
      <c r="S996" s="82"/>
      <c r="T996" s="81" t="s">
        <v>144</v>
      </c>
      <c r="U996" s="81"/>
    </row>
    <row r="997" spans="1:21" x14ac:dyDescent="0.25">
      <c r="A997" s="81"/>
      <c r="B997" s="81"/>
      <c r="C997" s="81" t="s">
        <v>144</v>
      </c>
      <c r="D997" s="81" t="s">
        <v>30</v>
      </c>
      <c r="E997" s="81" t="s">
        <v>3046</v>
      </c>
      <c r="F997" s="81" t="s">
        <v>175</v>
      </c>
      <c r="G997" s="81" t="s">
        <v>3047</v>
      </c>
      <c r="H997" s="81"/>
      <c r="I997" s="81"/>
      <c r="J997" s="81"/>
      <c r="K997" s="81"/>
      <c r="L997" s="81"/>
      <c r="M997" s="82" t="s">
        <v>43</v>
      </c>
      <c r="N997" s="82"/>
      <c r="O997" s="82"/>
      <c r="P997" s="82"/>
      <c r="Q997" s="82"/>
      <c r="R997" s="111"/>
      <c r="S997" s="82"/>
      <c r="T997" s="81" t="s">
        <v>144</v>
      </c>
      <c r="U997" s="81"/>
    </row>
    <row r="998" spans="1:21" x14ac:dyDescent="0.25">
      <c r="A998" s="81"/>
      <c r="B998" s="81"/>
      <c r="C998" s="81" t="s">
        <v>144</v>
      </c>
      <c r="D998" s="81" t="s">
        <v>30</v>
      </c>
      <c r="E998" s="81" t="s">
        <v>3048</v>
      </c>
      <c r="F998" s="81" t="s">
        <v>175</v>
      </c>
      <c r="G998" s="81" t="s">
        <v>3049</v>
      </c>
      <c r="H998" s="81"/>
      <c r="I998" s="81"/>
      <c r="J998" s="81"/>
      <c r="K998" s="81"/>
      <c r="L998" s="81"/>
      <c r="M998" s="82" t="s">
        <v>43</v>
      </c>
      <c r="N998" s="82"/>
      <c r="O998" s="82"/>
      <c r="P998" s="82"/>
      <c r="Q998" s="82"/>
      <c r="R998" s="111"/>
      <c r="S998" s="82"/>
      <c r="T998" s="81" t="s">
        <v>144</v>
      </c>
      <c r="U998" s="81"/>
    </row>
    <row r="999" spans="1:21" x14ac:dyDescent="0.25">
      <c r="A999" s="81"/>
      <c r="B999" s="81"/>
      <c r="C999" s="81" t="s">
        <v>144</v>
      </c>
      <c r="D999" s="81" t="s">
        <v>30</v>
      </c>
      <c r="E999" s="81" t="s">
        <v>3050</v>
      </c>
      <c r="F999" s="81" t="s">
        <v>175</v>
      </c>
      <c r="G999" s="81" t="s">
        <v>3051</v>
      </c>
      <c r="H999" s="81"/>
      <c r="I999" s="81"/>
      <c r="J999" s="81"/>
      <c r="K999" s="81"/>
      <c r="L999" s="81"/>
      <c r="M999" s="82" t="s">
        <v>43</v>
      </c>
      <c r="N999" s="82"/>
      <c r="O999" s="82"/>
      <c r="P999" s="82"/>
      <c r="Q999" s="82"/>
      <c r="R999" s="111"/>
      <c r="S999" s="82"/>
      <c r="T999" s="81" t="s">
        <v>144</v>
      </c>
      <c r="U999" s="81"/>
    </row>
    <row r="1000" spans="1:21" ht="30" x14ac:dyDescent="0.25">
      <c r="A1000" s="81"/>
      <c r="B1000" s="81"/>
      <c r="C1000" s="81" t="s">
        <v>144</v>
      </c>
      <c r="D1000" s="81" t="s">
        <v>30</v>
      </c>
      <c r="E1000" s="81" t="s">
        <v>3052</v>
      </c>
      <c r="F1000" s="81" t="s">
        <v>2967</v>
      </c>
      <c r="G1000" s="81" t="s">
        <v>3053</v>
      </c>
      <c r="H1000" s="81"/>
      <c r="I1000" s="81"/>
      <c r="J1000" s="81"/>
      <c r="K1000" s="81"/>
      <c r="L1000" s="81"/>
      <c r="M1000" s="82" t="s">
        <v>43</v>
      </c>
      <c r="N1000" s="82"/>
      <c r="O1000" s="82"/>
      <c r="P1000" s="82"/>
      <c r="Q1000" s="82"/>
      <c r="R1000" s="111"/>
      <c r="S1000" s="82"/>
      <c r="T1000" s="81" t="s">
        <v>144</v>
      </c>
      <c r="U1000" s="81"/>
    </row>
    <row r="1001" spans="1:21" x14ac:dyDescent="0.25">
      <c r="A1001" s="81"/>
      <c r="B1001" s="81"/>
      <c r="C1001" s="81" t="s">
        <v>144</v>
      </c>
      <c r="D1001" s="81" t="s">
        <v>30</v>
      </c>
      <c r="E1001" s="81" t="s">
        <v>3054</v>
      </c>
      <c r="F1001" s="81" t="s">
        <v>186</v>
      </c>
      <c r="G1001" s="81" t="s">
        <v>3055</v>
      </c>
      <c r="H1001" s="81"/>
      <c r="I1001" s="81"/>
      <c r="J1001" s="81"/>
      <c r="K1001" s="81"/>
      <c r="L1001" s="81"/>
      <c r="M1001" s="82" t="s">
        <v>43</v>
      </c>
      <c r="N1001" s="82"/>
      <c r="O1001" s="82"/>
      <c r="P1001" s="82"/>
      <c r="Q1001" s="82"/>
      <c r="R1001" s="111"/>
      <c r="S1001" s="82"/>
      <c r="T1001" s="81" t="s">
        <v>144</v>
      </c>
      <c r="U1001" s="81"/>
    </row>
    <row r="1002" spans="1:21" x14ac:dyDescent="0.25">
      <c r="A1002" s="81"/>
      <c r="B1002" s="81"/>
      <c r="C1002" s="81" t="s">
        <v>144</v>
      </c>
      <c r="D1002" s="81" t="s">
        <v>30</v>
      </c>
      <c r="E1002" s="81" t="s">
        <v>3056</v>
      </c>
      <c r="F1002" s="81" t="s">
        <v>153</v>
      </c>
      <c r="G1002" s="81" t="s">
        <v>3057</v>
      </c>
      <c r="H1002" s="81"/>
      <c r="I1002" s="81"/>
      <c r="J1002" s="81"/>
      <c r="K1002" s="81"/>
      <c r="L1002" s="81"/>
      <c r="M1002" s="82" t="s">
        <v>43</v>
      </c>
      <c r="N1002" s="82"/>
      <c r="O1002" s="82"/>
      <c r="P1002" s="82"/>
      <c r="Q1002" s="82"/>
      <c r="R1002" s="111"/>
      <c r="S1002" s="82"/>
      <c r="T1002" s="81" t="s">
        <v>144</v>
      </c>
      <c r="U1002" s="81" t="s">
        <v>144</v>
      </c>
    </row>
    <row r="1003" spans="1:21" x14ac:dyDescent="0.25">
      <c r="A1003" s="81"/>
      <c r="B1003" s="81"/>
      <c r="C1003" s="81" t="s">
        <v>144</v>
      </c>
      <c r="D1003" s="81" t="s">
        <v>30</v>
      </c>
      <c r="E1003" s="81" t="s">
        <v>3058</v>
      </c>
      <c r="F1003" s="81" t="s">
        <v>186</v>
      </c>
      <c r="G1003" s="81" t="s">
        <v>2893</v>
      </c>
      <c r="H1003" s="81"/>
      <c r="I1003" s="81"/>
      <c r="J1003" s="81"/>
      <c r="K1003" s="81"/>
      <c r="L1003" s="81"/>
      <c r="M1003" s="82" t="s">
        <v>43</v>
      </c>
      <c r="N1003" s="82"/>
      <c r="O1003" s="82"/>
      <c r="P1003" s="82"/>
      <c r="Q1003" s="82"/>
      <c r="R1003" s="111"/>
      <c r="S1003" s="82"/>
      <c r="T1003" s="81" t="s">
        <v>144</v>
      </c>
      <c r="U1003" s="81" t="s">
        <v>144</v>
      </c>
    </row>
    <row r="1004" spans="1:21" x14ac:dyDescent="0.25">
      <c r="A1004" s="81"/>
      <c r="B1004" s="81"/>
      <c r="C1004" s="81" t="s">
        <v>144</v>
      </c>
      <c r="D1004" s="81" t="s">
        <v>30</v>
      </c>
      <c r="E1004" s="81" t="s">
        <v>3059</v>
      </c>
      <c r="F1004" s="81" t="s">
        <v>186</v>
      </c>
      <c r="G1004" s="81" t="s">
        <v>3060</v>
      </c>
      <c r="H1004" s="81"/>
      <c r="I1004" s="81"/>
      <c r="J1004" s="81"/>
      <c r="K1004" s="81"/>
      <c r="L1004" s="81"/>
      <c r="M1004" s="82" t="s">
        <v>43</v>
      </c>
      <c r="N1004" s="82"/>
      <c r="O1004" s="82"/>
      <c r="P1004" s="82"/>
      <c r="Q1004" s="82"/>
      <c r="R1004" s="111">
        <v>45824</v>
      </c>
      <c r="S1004" s="82" t="s">
        <v>535</v>
      </c>
      <c r="T1004" s="81" t="s">
        <v>144</v>
      </c>
      <c r="U1004" s="81" t="s">
        <v>144</v>
      </c>
    </row>
    <row r="1005" spans="1:21" x14ac:dyDescent="0.25">
      <c r="A1005" s="81"/>
      <c r="B1005" s="81"/>
      <c r="C1005" s="81" t="s">
        <v>144</v>
      </c>
      <c r="D1005" s="81" t="s">
        <v>30</v>
      </c>
      <c r="E1005" s="81" t="s">
        <v>3061</v>
      </c>
      <c r="F1005" s="81" t="s">
        <v>2824</v>
      </c>
      <c r="G1005" s="81" t="s">
        <v>3062</v>
      </c>
      <c r="H1005" s="81"/>
      <c r="I1005" s="81"/>
      <c r="J1005" s="81"/>
      <c r="K1005" s="81"/>
      <c r="L1005" s="81"/>
      <c r="M1005" s="82" t="s">
        <v>43</v>
      </c>
      <c r="N1005" s="82"/>
      <c r="O1005" s="82"/>
      <c r="P1005" s="82"/>
      <c r="Q1005" s="82"/>
      <c r="R1005" s="111"/>
      <c r="S1005" s="82"/>
      <c r="T1005" s="81" t="s">
        <v>144</v>
      </c>
      <c r="U1005" s="81" t="s">
        <v>144</v>
      </c>
    </row>
    <row r="1006" spans="1:21" ht="30" x14ac:dyDescent="0.25">
      <c r="A1006" s="81"/>
      <c r="B1006" s="81" t="s">
        <v>8</v>
      </c>
      <c r="C1006" s="81" t="s">
        <v>144</v>
      </c>
      <c r="D1006" s="81" t="s">
        <v>30</v>
      </c>
      <c r="E1006" s="81" t="s">
        <v>3063</v>
      </c>
      <c r="F1006" s="81" t="s">
        <v>30</v>
      </c>
      <c r="G1006" s="81" t="s">
        <v>3064</v>
      </c>
      <c r="H1006" s="81"/>
      <c r="I1006" s="81"/>
      <c r="J1006" s="81"/>
      <c r="K1006" s="81"/>
      <c r="L1006" s="81"/>
      <c r="M1006" s="82" t="s">
        <v>43</v>
      </c>
      <c r="N1006" s="82"/>
      <c r="O1006" s="82"/>
      <c r="P1006" s="82"/>
      <c r="Q1006" s="82"/>
      <c r="R1006" s="111"/>
      <c r="S1006" s="82"/>
      <c r="T1006" s="81" t="s">
        <v>144</v>
      </c>
      <c r="U1006" s="81" t="s">
        <v>144</v>
      </c>
    </row>
    <row r="1007" spans="1:21" ht="30" x14ac:dyDescent="0.25">
      <c r="A1007" s="81"/>
      <c r="B1007" s="81" t="s">
        <v>8</v>
      </c>
      <c r="C1007" s="81" t="s">
        <v>144</v>
      </c>
      <c r="D1007" s="81" t="s">
        <v>30</v>
      </c>
      <c r="E1007" s="81" t="s">
        <v>3065</v>
      </c>
      <c r="F1007" s="81" t="s">
        <v>30</v>
      </c>
      <c r="G1007" s="81" t="s">
        <v>3066</v>
      </c>
      <c r="H1007" s="81"/>
      <c r="I1007" s="81"/>
      <c r="J1007" s="81"/>
      <c r="K1007" s="81"/>
      <c r="L1007" s="81"/>
      <c r="M1007" s="82" t="s">
        <v>43</v>
      </c>
      <c r="N1007" s="82"/>
      <c r="O1007" s="82"/>
      <c r="P1007" s="82"/>
      <c r="Q1007" s="82"/>
      <c r="R1007" s="111"/>
      <c r="S1007" s="82"/>
      <c r="T1007" s="81" t="s">
        <v>144</v>
      </c>
      <c r="U1007" s="81" t="s">
        <v>144</v>
      </c>
    </row>
    <row r="1008" spans="1:21" ht="30" x14ac:dyDescent="0.25">
      <c r="A1008" s="81"/>
      <c r="B1008" s="81" t="s">
        <v>8</v>
      </c>
      <c r="C1008" s="81" t="s">
        <v>144</v>
      </c>
      <c r="D1008" s="81" t="s">
        <v>30</v>
      </c>
      <c r="E1008" s="81" t="s">
        <v>3067</v>
      </c>
      <c r="F1008" s="81" t="s">
        <v>30</v>
      </c>
      <c r="G1008" s="81" t="s">
        <v>3068</v>
      </c>
      <c r="H1008" s="81"/>
      <c r="I1008" s="81"/>
      <c r="J1008" s="81"/>
      <c r="K1008" s="81"/>
      <c r="L1008" s="81"/>
      <c r="M1008" s="82" t="s">
        <v>43</v>
      </c>
      <c r="N1008" s="82"/>
      <c r="O1008" s="82"/>
      <c r="P1008" s="82"/>
      <c r="Q1008" s="82"/>
      <c r="R1008" s="111">
        <v>45792</v>
      </c>
      <c r="S1008" s="82" t="s">
        <v>786</v>
      </c>
      <c r="T1008" s="81" t="s">
        <v>144</v>
      </c>
      <c r="U1008" s="81" t="s">
        <v>144</v>
      </c>
    </row>
    <row r="1009" spans="1:21" ht="30" x14ac:dyDescent="0.25">
      <c r="A1009" s="81"/>
      <c r="B1009" s="81" t="s">
        <v>8</v>
      </c>
      <c r="C1009" s="81" t="s">
        <v>144</v>
      </c>
      <c r="D1009" s="81" t="s">
        <v>30</v>
      </c>
      <c r="E1009" s="81" t="s">
        <v>3069</v>
      </c>
      <c r="F1009" s="81" t="s">
        <v>30</v>
      </c>
      <c r="G1009" s="81" t="s">
        <v>3070</v>
      </c>
      <c r="H1009" s="81"/>
      <c r="I1009" s="81"/>
      <c r="J1009" s="81"/>
      <c r="K1009" s="81"/>
      <c r="L1009" s="81"/>
      <c r="M1009" s="82" t="s">
        <v>43</v>
      </c>
      <c r="N1009" s="82"/>
      <c r="O1009" s="82"/>
      <c r="P1009" s="82"/>
      <c r="Q1009" s="82"/>
      <c r="R1009" s="111">
        <v>45792</v>
      </c>
      <c r="S1009" s="82" t="s">
        <v>786</v>
      </c>
      <c r="T1009" s="81" t="s">
        <v>144</v>
      </c>
      <c r="U1009" s="81" t="s">
        <v>144</v>
      </c>
    </row>
    <row r="1010" spans="1:21" ht="30" x14ac:dyDescent="0.25">
      <c r="A1010" s="81"/>
      <c r="B1010" s="81" t="s">
        <v>8</v>
      </c>
      <c r="C1010" s="81" t="s">
        <v>144</v>
      </c>
      <c r="D1010" s="81" t="s">
        <v>30</v>
      </c>
      <c r="E1010" s="81" t="s">
        <v>3071</v>
      </c>
      <c r="F1010" s="81" t="s">
        <v>30</v>
      </c>
      <c r="G1010" s="81" t="s">
        <v>3072</v>
      </c>
      <c r="H1010" s="81"/>
      <c r="I1010" s="81"/>
      <c r="J1010" s="81"/>
      <c r="K1010" s="81"/>
      <c r="L1010" s="81"/>
      <c r="M1010" s="82" t="s">
        <v>43</v>
      </c>
      <c r="N1010" s="82"/>
      <c r="O1010" s="82"/>
      <c r="P1010" s="82"/>
      <c r="Q1010" s="82"/>
      <c r="R1010" s="111"/>
      <c r="S1010" s="82"/>
      <c r="T1010" s="81" t="s">
        <v>144</v>
      </c>
      <c r="U1010" s="81" t="s">
        <v>144</v>
      </c>
    </row>
    <row r="1011" spans="1:21" ht="30" x14ac:dyDescent="0.25">
      <c r="A1011" s="81"/>
      <c r="B1011" s="81" t="s">
        <v>8</v>
      </c>
      <c r="C1011" s="81" t="s">
        <v>144</v>
      </c>
      <c r="D1011" s="81" t="s">
        <v>30</v>
      </c>
      <c r="E1011" s="81" t="s">
        <v>3073</v>
      </c>
      <c r="F1011" s="81" t="s">
        <v>30</v>
      </c>
      <c r="G1011" s="81" t="s">
        <v>3074</v>
      </c>
      <c r="H1011" s="81"/>
      <c r="I1011" s="81"/>
      <c r="J1011" s="81"/>
      <c r="K1011" s="81"/>
      <c r="L1011" s="81"/>
      <c r="M1011" s="82" t="s">
        <v>43</v>
      </c>
      <c r="N1011" s="82"/>
      <c r="O1011" s="82"/>
      <c r="P1011" s="82"/>
      <c r="Q1011" s="82"/>
      <c r="R1011" s="111"/>
      <c r="S1011" s="82"/>
      <c r="T1011" s="81" t="s">
        <v>144</v>
      </c>
      <c r="U1011" s="81" t="s">
        <v>144</v>
      </c>
    </row>
    <row r="1012" spans="1:21" ht="30" x14ac:dyDescent="0.25">
      <c r="A1012" s="81"/>
      <c r="B1012" s="81" t="s">
        <v>8</v>
      </c>
      <c r="C1012" s="81" t="s">
        <v>144</v>
      </c>
      <c r="D1012" s="81" t="s">
        <v>30</v>
      </c>
      <c r="E1012" s="81" t="s">
        <v>3075</v>
      </c>
      <c r="F1012" s="81" t="s">
        <v>30</v>
      </c>
      <c r="G1012" s="81" t="s">
        <v>3076</v>
      </c>
      <c r="H1012" s="81"/>
      <c r="I1012" s="81"/>
      <c r="J1012" s="81"/>
      <c r="K1012" s="81"/>
      <c r="L1012" s="81"/>
      <c r="M1012" s="82" t="s">
        <v>43</v>
      </c>
      <c r="N1012" s="82"/>
      <c r="O1012" s="82"/>
      <c r="P1012" s="82"/>
      <c r="Q1012" s="82"/>
      <c r="R1012" s="111"/>
      <c r="S1012" s="82"/>
      <c r="T1012" s="81" t="s">
        <v>144</v>
      </c>
      <c r="U1012" s="81" t="s">
        <v>144</v>
      </c>
    </row>
    <row r="1013" spans="1:21" ht="30" x14ac:dyDescent="0.25">
      <c r="A1013" s="81"/>
      <c r="B1013" s="81" t="s">
        <v>8</v>
      </c>
      <c r="C1013" s="81" t="s">
        <v>144</v>
      </c>
      <c r="D1013" s="81" t="s">
        <v>30</v>
      </c>
      <c r="E1013" s="81" t="s">
        <v>3077</v>
      </c>
      <c r="F1013" s="81" t="s">
        <v>30</v>
      </c>
      <c r="G1013" s="81" t="s">
        <v>3078</v>
      </c>
      <c r="H1013" s="81"/>
      <c r="I1013" s="81"/>
      <c r="J1013" s="81"/>
      <c r="K1013" s="81"/>
      <c r="L1013" s="81"/>
      <c r="M1013" s="82" t="s">
        <v>43</v>
      </c>
      <c r="N1013" s="82"/>
      <c r="O1013" s="82"/>
      <c r="P1013" s="82"/>
      <c r="Q1013" s="82"/>
      <c r="R1013" s="111"/>
      <c r="S1013" s="82"/>
      <c r="T1013" s="81" t="s">
        <v>144</v>
      </c>
      <c r="U1013" s="81" t="s">
        <v>144</v>
      </c>
    </row>
    <row r="1014" spans="1:21" ht="30" x14ac:dyDescent="0.25">
      <c r="A1014" s="81"/>
      <c r="B1014" s="81" t="s">
        <v>8</v>
      </c>
      <c r="C1014" s="81" t="s">
        <v>144</v>
      </c>
      <c r="D1014" s="81" t="s">
        <v>30</v>
      </c>
      <c r="E1014" s="81" t="s">
        <v>3079</v>
      </c>
      <c r="F1014" s="81" t="s">
        <v>30</v>
      </c>
      <c r="G1014" s="81" t="s">
        <v>3080</v>
      </c>
      <c r="H1014" s="81"/>
      <c r="I1014" s="81"/>
      <c r="J1014" s="81"/>
      <c r="K1014" s="81"/>
      <c r="L1014" s="81"/>
      <c r="M1014" s="82" t="s">
        <v>43</v>
      </c>
      <c r="N1014" s="82"/>
      <c r="O1014" s="82"/>
      <c r="P1014" s="82"/>
      <c r="Q1014" s="82"/>
      <c r="R1014" s="111"/>
      <c r="S1014" s="82"/>
      <c r="T1014" s="81" t="s">
        <v>144</v>
      </c>
      <c r="U1014" s="81" t="s">
        <v>144</v>
      </c>
    </row>
    <row r="1015" spans="1:21" x14ac:dyDescent="0.25">
      <c r="A1015" s="81"/>
      <c r="B1015" s="81"/>
      <c r="C1015" s="81" t="s">
        <v>144</v>
      </c>
      <c r="D1015" s="81" t="s">
        <v>30</v>
      </c>
      <c r="E1015" s="81" t="s">
        <v>3081</v>
      </c>
      <c r="F1015" s="81" t="s">
        <v>2967</v>
      </c>
      <c r="G1015" s="81" t="s">
        <v>3082</v>
      </c>
      <c r="H1015" s="81"/>
      <c r="I1015" s="81"/>
      <c r="J1015" s="81"/>
      <c r="K1015" s="81"/>
      <c r="L1015" s="81"/>
      <c r="M1015" s="82" t="s">
        <v>43</v>
      </c>
      <c r="N1015" s="82"/>
      <c r="O1015" s="82"/>
      <c r="P1015" s="82"/>
      <c r="Q1015" s="82"/>
      <c r="R1015" s="111"/>
      <c r="S1015" s="82"/>
      <c r="T1015" s="81" t="s">
        <v>144</v>
      </c>
      <c r="U1015" s="81" t="s">
        <v>144</v>
      </c>
    </row>
    <row r="1016" spans="1:21" x14ac:dyDescent="0.25">
      <c r="A1016" s="81"/>
      <c r="B1016" s="81"/>
      <c r="C1016" s="81" t="s">
        <v>144</v>
      </c>
      <c r="D1016" s="81" t="s">
        <v>30</v>
      </c>
      <c r="E1016" s="81" t="s">
        <v>3083</v>
      </c>
      <c r="F1016" s="81" t="s">
        <v>153</v>
      </c>
      <c r="G1016" s="81" t="s">
        <v>3084</v>
      </c>
      <c r="H1016" s="81"/>
      <c r="I1016" s="81"/>
      <c r="J1016" s="81"/>
      <c r="K1016" s="81"/>
      <c r="L1016" s="81"/>
      <c r="M1016" s="82" t="s">
        <v>43</v>
      </c>
      <c r="N1016" s="82"/>
      <c r="O1016" s="82"/>
      <c r="P1016" s="82"/>
      <c r="Q1016" s="82"/>
      <c r="R1016" s="111"/>
      <c r="S1016" s="82"/>
      <c r="T1016" s="81" t="s">
        <v>144</v>
      </c>
      <c r="U1016" s="81" t="s">
        <v>144</v>
      </c>
    </row>
    <row r="1017" spans="1:21" x14ac:dyDescent="0.25">
      <c r="A1017" s="81"/>
      <c r="B1017" s="81"/>
      <c r="C1017" s="81" t="s">
        <v>144</v>
      </c>
      <c r="D1017" s="81" t="s">
        <v>30</v>
      </c>
      <c r="E1017" s="81" t="s">
        <v>3085</v>
      </c>
      <c r="F1017" s="81" t="s">
        <v>179</v>
      </c>
      <c r="G1017" s="81" t="s">
        <v>3086</v>
      </c>
      <c r="H1017" s="81"/>
      <c r="I1017" s="81"/>
      <c r="J1017" s="81"/>
      <c r="K1017" s="81"/>
      <c r="L1017" s="81"/>
      <c r="M1017" s="82" t="s">
        <v>43</v>
      </c>
      <c r="N1017" s="82"/>
      <c r="O1017" s="82"/>
      <c r="P1017" s="82"/>
      <c r="Q1017" s="82"/>
      <c r="R1017" s="111"/>
      <c r="S1017" s="82"/>
      <c r="T1017" s="81" t="s">
        <v>144</v>
      </c>
      <c r="U1017" s="81" t="s">
        <v>144</v>
      </c>
    </row>
    <row r="1018" spans="1:21" x14ac:dyDescent="0.25">
      <c r="A1018" s="81"/>
      <c r="B1018" s="81"/>
      <c r="C1018" s="81" t="s">
        <v>144</v>
      </c>
      <c r="D1018" s="81" t="s">
        <v>30</v>
      </c>
      <c r="E1018" s="81" t="s">
        <v>3087</v>
      </c>
      <c r="F1018" s="81" t="s">
        <v>175</v>
      </c>
      <c r="G1018" s="81" t="s">
        <v>3088</v>
      </c>
      <c r="H1018" s="81"/>
      <c r="I1018" s="81"/>
      <c r="J1018" s="81"/>
      <c r="K1018" s="81"/>
      <c r="L1018" s="81"/>
      <c r="M1018" s="82" t="s">
        <v>43</v>
      </c>
      <c r="N1018" s="82"/>
      <c r="O1018" s="82"/>
      <c r="P1018" s="82"/>
      <c r="Q1018" s="82"/>
      <c r="R1018" s="111"/>
      <c r="S1018" s="82"/>
      <c r="T1018" s="81" t="s">
        <v>144</v>
      </c>
      <c r="U1018" s="81" t="s">
        <v>144</v>
      </c>
    </row>
    <row r="1019" spans="1:21" x14ac:dyDescent="0.25">
      <c r="A1019" s="81"/>
      <c r="B1019" s="81"/>
      <c r="C1019" s="81" t="s">
        <v>144</v>
      </c>
      <c r="D1019" s="81" t="s">
        <v>30</v>
      </c>
      <c r="E1019" s="81" t="s">
        <v>3089</v>
      </c>
      <c r="F1019" s="81" t="s">
        <v>186</v>
      </c>
      <c r="G1019" s="81" t="s">
        <v>3090</v>
      </c>
      <c r="H1019" s="81"/>
      <c r="I1019" s="81"/>
      <c r="J1019" s="81"/>
      <c r="K1019" s="81"/>
      <c r="L1019" s="81"/>
      <c r="M1019" s="82" t="s">
        <v>43</v>
      </c>
      <c r="N1019" s="82"/>
      <c r="O1019" s="82"/>
      <c r="P1019" s="82"/>
      <c r="Q1019" s="82"/>
      <c r="R1019" s="111"/>
      <c r="S1019" s="82"/>
      <c r="T1019" s="81" t="s">
        <v>144</v>
      </c>
      <c r="U1019" s="81" t="s">
        <v>144</v>
      </c>
    </row>
    <row r="1020" spans="1:21" ht="30" x14ac:dyDescent="0.25">
      <c r="A1020" s="81"/>
      <c r="B1020" s="81"/>
      <c r="C1020" s="81" t="s">
        <v>144</v>
      </c>
      <c r="D1020" s="81" t="s">
        <v>30</v>
      </c>
      <c r="E1020" s="81" t="s">
        <v>3091</v>
      </c>
      <c r="F1020" s="81" t="s">
        <v>186</v>
      </c>
      <c r="G1020" s="81" t="s">
        <v>3092</v>
      </c>
      <c r="H1020" s="81"/>
      <c r="I1020" s="81"/>
      <c r="J1020" s="81"/>
      <c r="K1020" s="81"/>
      <c r="L1020" s="81"/>
      <c r="M1020" s="82" t="s">
        <v>43</v>
      </c>
      <c r="N1020" s="82"/>
      <c r="O1020" s="82"/>
      <c r="P1020" s="82"/>
      <c r="Q1020" s="82"/>
      <c r="R1020" s="111"/>
      <c r="S1020" s="82"/>
      <c r="T1020" s="81" t="s">
        <v>144</v>
      </c>
      <c r="U1020" s="81" t="s">
        <v>3275</v>
      </c>
    </row>
    <row r="1021" spans="1:21" x14ac:dyDescent="0.25">
      <c r="A1021" s="81"/>
      <c r="B1021" s="81" t="s">
        <v>8</v>
      </c>
      <c r="C1021" s="81" t="s">
        <v>144</v>
      </c>
      <c r="D1021" s="81" t="s">
        <v>30</v>
      </c>
      <c r="E1021" s="81" t="s">
        <v>3093</v>
      </c>
      <c r="F1021" s="81" t="s">
        <v>2967</v>
      </c>
      <c r="G1021" s="81" t="s">
        <v>3094</v>
      </c>
      <c r="H1021" s="81"/>
      <c r="I1021" s="81"/>
      <c r="J1021" s="81"/>
      <c r="K1021" s="81"/>
      <c r="L1021" s="81"/>
      <c r="M1021" s="82" t="s">
        <v>43</v>
      </c>
      <c r="N1021" s="82"/>
      <c r="O1021" s="82"/>
      <c r="P1021" s="82"/>
      <c r="Q1021" s="82"/>
      <c r="R1021" s="111"/>
      <c r="S1021" s="82"/>
      <c r="T1021" s="81" t="s">
        <v>144</v>
      </c>
      <c r="U1021" s="81" t="s">
        <v>144</v>
      </c>
    </row>
    <row r="1022" spans="1:21" ht="30" x14ac:dyDescent="0.25">
      <c r="A1022" s="81"/>
      <c r="B1022" s="81"/>
      <c r="C1022" s="81" t="s">
        <v>144</v>
      </c>
      <c r="D1022" s="81" t="s">
        <v>30</v>
      </c>
      <c r="E1022" s="81" t="s">
        <v>3095</v>
      </c>
      <c r="F1022" s="81" t="s">
        <v>186</v>
      </c>
      <c r="G1022" s="81" t="s">
        <v>3096</v>
      </c>
      <c r="H1022" s="81"/>
      <c r="I1022" s="81"/>
      <c r="J1022" s="81"/>
      <c r="K1022" s="81"/>
      <c r="L1022" s="81"/>
      <c r="M1022" s="82" t="s">
        <v>43</v>
      </c>
      <c r="N1022" s="82"/>
      <c r="O1022" s="82"/>
      <c r="P1022" s="82"/>
      <c r="Q1022" s="82"/>
      <c r="R1022" s="111"/>
      <c r="S1022" s="82"/>
      <c r="T1022" s="81" t="s">
        <v>144</v>
      </c>
      <c r="U1022" s="81" t="s">
        <v>144</v>
      </c>
    </row>
    <row r="1023" spans="1:21" x14ac:dyDescent="0.25">
      <c r="A1023" s="81"/>
      <c r="B1023" s="81"/>
      <c r="C1023" s="81" t="s">
        <v>144</v>
      </c>
      <c r="D1023" s="81" t="s">
        <v>30</v>
      </c>
      <c r="E1023" s="81" t="s">
        <v>3097</v>
      </c>
      <c r="F1023" s="81" t="s">
        <v>175</v>
      </c>
      <c r="G1023" s="81" t="s">
        <v>3098</v>
      </c>
      <c r="H1023" s="81"/>
      <c r="I1023" s="81"/>
      <c r="J1023" s="81"/>
      <c r="K1023" s="81"/>
      <c r="L1023" s="81"/>
      <c r="M1023" s="82" t="s">
        <v>43</v>
      </c>
      <c r="N1023" s="82"/>
      <c r="O1023" s="82"/>
      <c r="P1023" s="82"/>
      <c r="Q1023" s="82"/>
      <c r="R1023" s="111"/>
      <c r="S1023" s="82"/>
      <c r="T1023" s="81" t="s">
        <v>144</v>
      </c>
      <c r="U1023" s="81" t="s">
        <v>144</v>
      </c>
    </row>
    <row r="1024" spans="1:21" ht="30" x14ac:dyDescent="0.25">
      <c r="A1024" s="81"/>
      <c r="B1024" s="81"/>
      <c r="C1024" s="81" t="s">
        <v>144</v>
      </c>
      <c r="D1024" s="81" t="s">
        <v>30</v>
      </c>
      <c r="E1024" s="81" t="s">
        <v>3099</v>
      </c>
      <c r="F1024" s="81" t="s">
        <v>2815</v>
      </c>
      <c r="G1024" s="81" t="s">
        <v>3100</v>
      </c>
      <c r="H1024" s="81"/>
      <c r="I1024" s="81"/>
      <c r="J1024" s="81"/>
      <c r="K1024" s="81"/>
      <c r="L1024" s="81"/>
      <c r="M1024" s="82" t="s">
        <v>43</v>
      </c>
      <c r="N1024" s="82"/>
      <c r="O1024" s="82"/>
      <c r="P1024" s="82"/>
      <c r="Q1024" s="82"/>
      <c r="R1024" s="111"/>
      <c r="S1024" s="82"/>
      <c r="T1024" s="81" t="s">
        <v>144</v>
      </c>
      <c r="U1024" s="81" t="s">
        <v>144</v>
      </c>
    </row>
    <row r="1025" spans="1:21" ht="30" x14ac:dyDescent="0.25">
      <c r="A1025" s="81"/>
      <c r="B1025" s="81" t="s">
        <v>8</v>
      </c>
      <c r="C1025" s="81" t="s">
        <v>144</v>
      </c>
      <c r="D1025" s="81" t="s">
        <v>30</v>
      </c>
      <c r="E1025" s="81" t="s">
        <v>3101</v>
      </c>
      <c r="F1025" s="81" t="s">
        <v>30</v>
      </c>
      <c r="G1025" s="81" t="s">
        <v>3102</v>
      </c>
      <c r="H1025" s="81"/>
      <c r="I1025" s="81"/>
      <c r="J1025" s="81"/>
      <c r="K1025" s="81"/>
      <c r="L1025" s="81"/>
      <c r="M1025" s="82" t="s">
        <v>43</v>
      </c>
      <c r="N1025" s="82"/>
      <c r="O1025" s="82"/>
      <c r="P1025" s="82"/>
      <c r="Q1025" s="82"/>
      <c r="R1025" s="111"/>
      <c r="S1025" s="82"/>
      <c r="T1025" s="81" t="s">
        <v>144</v>
      </c>
      <c r="U1025" s="81" t="s">
        <v>144</v>
      </c>
    </row>
    <row r="1026" spans="1:21" ht="30" x14ac:dyDescent="0.25">
      <c r="A1026" s="81"/>
      <c r="B1026" s="81" t="s">
        <v>8</v>
      </c>
      <c r="C1026" s="81" t="s">
        <v>144</v>
      </c>
      <c r="D1026" s="81" t="s">
        <v>30</v>
      </c>
      <c r="E1026" s="81" t="s">
        <v>3103</v>
      </c>
      <c r="F1026" s="81" t="s">
        <v>30</v>
      </c>
      <c r="G1026" s="81" t="s">
        <v>3104</v>
      </c>
      <c r="H1026" s="81"/>
      <c r="I1026" s="81"/>
      <c r="J1026" s="81"/>
      <c r="K1026" s="81"/>
      <c r="L1026" s="81"/>
      <c r="M1026" s="82" t="s">
        <v>43</v>
      </c>
      <c r="N1026" s="82"/>
      <c r="O1026" s="82"/>
      <c r="P1026" s="82"/>
      <c r="Q1026" s="82"/>
      <c r="R1026" s="111"/>
      <c r="S1026" s="82"/>
      <c r="T1026" s="81" t="s">
        <v>144</v>
      </c>
      <c r="U1026" s="81" t="s">
        <v>144</v>
      </c>
    </row>
    <row r="1027" spans="1:21" x14ac:dyDescent="0.25">
      <c r="A1027" s="81"/>
      <c r="B1027" s="81"/>
      <c r="C1027" s="81" t="s">
        <v>144</v>
      </c>
      <c r="D1027" s="81" t="s">
        <v>30</v>
      </c>
      <c r="E1027" s="81" t="s">
        <v>3105</v>
      </c>
      <c r="F1027" s="81" t="s">
        <v>153</v>
      </c>
      <c r="G1027" s="81" t="s">
        <v>3106</v>
      </c>
      <c r="H1027" s="81"/>
      <c r="I1027" s="81"/>
      <c r="J1027" s="81"/>
      <c r="K1027" s="81"/>
      <c r="L1027" s="81"/>
      <c r="M1027" s="82" t="s">
        <v>43</v>
      </c>
      <c r="N1027" s="82"/>
      <c r="O1027" s="82"/>
      <c r="P1027" s="82"/>
      <c r="Q1027" s="82"/>
      <c r="R1027" s="111"/>
      <c r="S1027" s="82"/>
      <c r="T1027" s="81" t="s">
        <v>144</v>
      </c>
      <c r="U1027" s="81" t="s">
        <v>144</v>
      </c>
    </row>
    <row r="1028" spans="1:21" x14ac:dyDescent="0.25">
      <c r="A1028" s="81"/>
      <c r="B1028" s="81"/>
      <c r="C1028" s="81" t="s">
        <v>144</v>
      </c>
      <c r="D1028" s="81" t="s">
        <v>30</v>
      </c>
      <c r="E1028" s="81" t="s">
        <v>3107</v>
      </c>
      <c r="F1028" s="81" t="s">
        <v>186</v>
      </c>
      <c r="G1028" s="81" t="s">
        <v>3108</v>
      </c>
      <c r="H1028" s="81"/>
      <c r="I1028" s="81"/>
      <c r="J1028" s="81"/>
      <c r="K1028" s="81"/>
      <c r="L1028" s="81"/>
      <c r="M1028" s="82" t="s">
        <v>43</v>
      </c>
      <c r="N1028" s="82"/>
      <c r="O1028" s="82"/>
      <c r="P1028" s="82"/>
      <c r="Q1028" s="82"/>
      <c r="R1028" s="111"/>
      <c r="S1028" s="82"/>
      <c r="T1028" s="81" t="s">
        <v>144</v>
      </c>
      <c r="U1028" s="81" t="s">
        <v>144</v>
      </c>
    </row>
    <row r="1029" spans="1:21" x14ac:dyDescent="0.25">
      <c r="A1029" s="81"/>
      <c r="B1029" s="81"/>
      <c r="C1029" s="81" t="s">
        <v>144</v>
      </c>
      <c r="D1029" s="81" t="s">
        <v>30</v>
      </c>
      <c r="E1029" s="81" t="s">
        <v>3109</v>
      </c>
      <c r="F1029" s="81" t="s">
        <v>175</v>
      </c>
      <c r="G1029" s="81" t="s">
        <v>3110</v>
      </c>
      <c r="H1029" s="81"/>
      <c r="I1029" s="81"/>
      <c r="J1029" s="81"/>
      <c r="K1029" s="81"/>
      <c r="L1029" s="81"/>
      <c r="M1029" s="82" t="s">
        <v>43</v>
      </c>
      <c r="N1029" s="82"/>
      <c r="O1029" s="82"/>
      <c r="P1029" s="82"/>
      <c r="Q1029" s="82"/>
      <c r="R1029" s="111"/>
      <c r="S1029" s="82"/>
      <c r="T1029" s="81" t="s">
        <v>144</v>
      </c>
      <c r="U1029" s="81" t="s">
        <v>144</v>
      </c>
    </row>
    <row r="1030" spans="1:21" x14ac:dyDescent="0.25">
      <c r="A1030" s="81"/>
      <c r="B1030" s="81"/>
      <c r="C1030" s="81" t="s">
        <v>144</v>
      </c>
      <c r="D1030" s="81" t="s">
        <v>30</v>
      </c>
      <c r="E1030" s="81" t="s">
        <v>3111</v>
      </c>
      <c r="F1030" s="81" t="s">
        <v>153</v>
      </c>
      <c r="G1030" s="81" t="s">
        <v>3112</v>
      </c>
      <c r="H1030" s="81"/>
      <c r="I1030" s="81"/>
      <c r="J1030" s="81"/>
      <c r="K1030" s="81"/>
      <c r="L1030" s="81"/>
      <c r="M1030" s="82" t="s">
        <v>43</v>
      </c>
      <c r="N1030" s="82"/>
      <c r="O1030" s="82"/>
      <c r="P1030" s="82"/>
      <c r="Q1030" s="82"/>
      <c r="R1030" s="111"/>
      <c r="S1030" s="82"/>
      <c r="T1030" s="81" t="s">
        <v>144</v>
      </c>
      <c r="U1030" s="81" t="s">
        <v>144</v>
      </c>
    </row>
    <row r="1031" spans="1:21" x14ac:dyDescent="0.25">
      <c r="A1031" s="81"/>
      <c r="B1031" s="81"/>
      <c r="C1031" s="81" t="s">
        <v>144</v>
      </c>
      <c r="D1031" s="81" t="s">
        <v>30</v>
      </c>
      <c r="E1031" s="81" t="s">
        <v>3113</v>
      </c>
      <c r="F1031" s="81" t="s">
        <v>186</v>
      </c>
      <c r="G1031" s="81" t="s">
        <v>3114</v>
      </c>
      <c r="H1031" s="81"/>
      <c r="I1031" s="81"/>
      <c r="J1031" s="81"/>
      <c r="K1031" s="81"/>
      <c r="L1031" s="81"/>
      <c r="M1031" s="82" t="s">
        <v>43</v>
      </c>
      <c r="N1031" s="82"/>
      <c r="O1031" s="82"/>
      <c r="P1031" s="82"/>
      <c r="Q1031" s="82"/>
      <c r="R1031" s="111"/>
      <c r="S1031" s="82"/>
      <c r="T1031" s="81" t="s">
        <v>144</v>
      </c>
      <c r="U1031" s="81" t="s">
        <v>144</v>
      </c>
    </row>
    <row r="1032" spans="1:21" x14ac:dyDescent="0.25">
      <c r="A1032" s="81"/>
      <c r="B1032" s="81"/>
      <c r="C1032" s="81" t="s">
        <v>144</v>
      </c>
      <c r="D1032" s="81" t="s">
        <v>30</v>
      </c>
      <c r="E1032" s="81" t="s">
        <v>3115</v>
      </c>
      <c r="F1032" s="81" t="s">
        <v>153</v>
      </c>
      <c r="G1032" s="81" t="s">
        <v>114</v>
      </c>
      <c r="H1032" s="81"/>
      <c r="I1032" s="81"/>
      <c r="J1032" s="81"/>
      <c r="K1032" s="81"/>
      <c r="L1032" s="81"/>
      <c r="M1032" s="82" t="s">
        <v>43</v>
      </c>
      <c r="N1032" s="82"/>
      <c r="O1032" s="82"/>
      <c r="P1032" s="82"/>
      <c r="Q1032" s="82"/>
      <c r="R1032" s="111"/>
      <c r="S1032" s="82"/>
      <c r="T1032" s="81" t="s">
        <v>144</v>
      </c>
      <c r="U1032" s="81" t="s">
        <v>144</v>
      </c>
    </row>
    <row r="1033" spans="1:21" x14ac:dyDescent="0.25">
      <c r="A1033" s="81"/>
      <c r="B1033" s="81"/>
      <c r="C1033" s="81" t="s">
        <v>144</v>
      </c>
      <c r="D1033" s="81" t="s">
        <v>30</v>
      </c>
      <c r="E1033" s="81" t="s">
        <v>3116</v>
      </c>
      <c r="F1033" s="81" t="s">
        <v>153</v>
      </c>
      <c r="G1033" s="81" t="s">
        <v>3117</v>
      </c>
      <c r="H1033" s="81"/>
      <c r="I1033" s="81"/>
      <c r="J1033" s="81"/>
      <c r="K1033" s="81"/>
      <c r="L1033" s="81"/>
      <c r="M1033" s="82" t="s">
        <v>43</v>
      </c>
      <c r="N1033" s="82"/>
      <c r="O1033" s="82"/>
      <c r="P1033" s="82"/>
      <c r="Q1033" s="82"/>
      <c r="R1033" s="111"/>
      <c r="S1033" s="82"/>
      <c r="T1033" s="81" t="s">
        <v>144</v>
      </c>
      <c r="U1033" s="81" t="s">
        <v>144</v>
      </c>
    </row>
    <row r="1034" spans="1:21" x14ac:dyDescent="0.25">
      <c r="A1034" s="81"/>
      <c r="B1034" s="81"/>
      <c r="C1034" s="81" t="s">
        <v>144</v>
      </c>
      <c r="D1034" s="81" t="s">
        <v>30</v>
      </c>
      <c r="E1034" s="81" t="s">
        <v>3118</v>
      </c>
      <c r="F1034" s="81" t="s">
        <v>175</v>
      </c>
      <c r="G1034" s="81" t="s">
        <v>3119</v>
      </c>
      <c r="H1034" s="81"/>
      <c r="I1034" s="81"/>
      <c r="J1034" s="81"/>
      <c r="K1034" s="81"/>
      <c r="L1034" s="81"/>
      <c r="M1034" s="82" t="s">
        <v>43</v>
      </c>
      <c r="N1034" s="82"/>
      <c r="O1034" s="82"/>
      <c r="P1034" s="82"/>
      <c r="Q1034" s="82"/>
      <c r="R1034" s="111"/>
      <c r="S1034" s="82"/>
      <c r="T1034" s="81" t="s">
        <v>144</v>
      </c>
      <c r="U1034" s="81"/>
    </row>
    <row r="1035" spans="1:21" ht="30" x14ac:dyDescent="0.25">
      <c r="A1035" s="81"/>
      <c r="B1035" s="81"/>
      <c r="C1035" s="81" t="s">
        <v>144</v>
      </c>
      <c r="D1035" s="81" t="s">
        <v>30</v>
      </c>
      <c r="E1035" s="81" t="s">
        <v>3120</v>
      </c>
      <c r="F1035" s="81" t="s">
        <v>2967</v>
      </c>
      <c r="G1035" s="81" t="s">
        <v>3121</v>
      </c>
      <c r="H1035" s="81"/>
      <c r="I1035" s="81"/>
      <c r="J1035" s="81"/>
      <c r="K1035" s="81"/>
      <c r="L1035" s="81"/>
      <c r="M1035" s="82" t="s">
        <v>43</v>
      </c>
      <c r="N1035" s="82"/>
      <c r="O1035" s="82"/>
      <c r="P1035" s="82"/>
      <c r="Q1035" s="82"/>
      <c r="R1035" s="111"/>
      <c r="S1035" s="82"/>
      <c r="T1035" s="81" t="s">
        <v>144</v>
      </c>
      <c r="U1035" s="81"/>
    </row>
    <row r="1036" spans="1:21" x14ac:dyDescent="0.25">
      <c r="A1036" s="81"/>
      <c r="B1036" s="81"/>
      <c r="C1036" s="81" t="s">
        <v>144</v>
      </c>
      <c r="D1036" s="81" t="s">
        <v>30</v>
      </c>
      <c r="E1036" s="81" t="s">
        <v>3122</v>
      </c>
      <c r="F1036" s="81" t="s">
        <v>154</v>
      </c>
      <c r="G1036" s="81" t="s">
        <v>3123</v>
      </c>
      <c r="H1036" s="81"/>
      <c r="I1036" s="81"/>
      <c r="J1036" s="81"/>
      <c r="K1036" s="81"/>
      <c r="L1036" s="81"/>
      <c r="M1036" s="82" t="s">
        <v>43</v>
      </c>
      <c r="N1036" s="82"/>
      <c r="O1036" s="82"/>
      <c r="P1036" s="82"/>
      <c r="Q1036" s="82"/>
      <c r="R1036" s="111"/>
      <c r="S1036" s="82"/>
      <c r="T1036" s="81" t="s">
        <v>144</v>
      </c>
      <c r="U1036" s="81"/>
    </row>
    <row r="1037" spans="1:21" ht="30" x14ac:dyDescent="0.25">
      <c r="A1037" s="81"/>
      <c r="B1037" s="81"/>
      <c r="C1037" s="81" t="s">
        <v>144</v>
      </c>
      <c r="D1037" s="81" t="s">
        <v>30</v>
      </c>
      <c r="E1037" s="81" t="s">
        <v>3124</v>
      </c>
      <c r="F1037" s="81" t="s">
        <v>3038</v>
      </c>
      <c r="G1037" s="81" t="s">
        <v>3125</v>
      </c>
      <c r="H1037" s="81"/>
      <c r="I1037" s="81"/>
      <c r="J1037" s="81"/>
      <c r="K1037" s="81"/>
      <c r="L1037" s="81"/>
      <c r="M1037" s="82" t="s">
        <v>43</v>
      </c>
      <c r="N1037" s="82"/>
      <c r="O1037" s="82"/>
      <c r="P1037" s="82"/>
      <c r="Q1037" s="82"/>
      <c r="R1037" s="111"/>
      <c r="S1037" s="82"/>
      <c r="T1037" s="81" t="s">
        <v>144</v>
      </c>
      <c r="U1037" s="81"/>
    </row>
    <row r="1038" spans="1:21" ht="30" x14ac:dyDescent="0.25">
      <c r="A1038" s="81"/>
      <c r="B1038" s="81"/>
      <c r="C1038" s="81" t="s">
        <v>144</v>
      </c>
      <c r="D1038" s="81" t="s">
        <v>30</v>
      </c>
      <c r="E1038" s="81" t="s">
        <v>3126</v>
      </c>
      <c r="F1038" s="81" t="s">
        <v>175</v>
      </c>
      <c r="G1038" s="81" t="s">
        <v>3127</v>
      </c>
      <c r="H1038" s="81"/>
      <c r="I1038" s="81"/>
      <c r="J1038" s="81"/>
      <c r="K1038" s="81"/>
      <c r="L1038" s="81"/>
      <c r="M1038" s="82" t="s">
        <v>43</v>
      </c>
      <c r="N1038" s="82"/>
      <c r="O1038" s="82"/>
      <c r="P1038" s="82"/>
      <c r="Q1038" s="82"/>
      <c r="R1038" s="111"/>
      <c r="S1038" s="82"/>
      <c r="T1038" s="81" t="s">
        <v>144</v>
      </c>
      <c r="U1038" s="81"/>
    </row>
    <row r="1039" spans="1:21" ht="30" x14ac:dyDescent="0.25">
      <c r="A1039" s="81"/>
      <c r="B1039" s="81"/>
      <c r="C1039" s="81" t="s">
        <v>144</v>
      </c>
      <c r="D1039" s="81" t="s">
        <v>30</v>
      </c>
      <c r="E1039" s="81" t="s">
        <v>3128</v>
      </c>
      <c r="F1039" s="81" t="s">
        <v>175</v>
      </c>
      <c r="G1039" s="81" t="s">
        <v>3129</v>
      </c>
      <c r="H1039" s="81"/>
      <c r="I1039" s="81"/>
      <c r="J1039" s="81"/>
      <c r="K1039" s="81"/>
      <c r="L1039" s="81"/>
      <c r="M1039" s="82" t="s">
        <v>43</v>
      </c>
      <c r="N1039" s="82"/>
      <c r="O1039" s="82"/>
      <c r="P1039" s="82"/>
      <c r="Q1039" s="82" t="s">
        <v>3130</v>
      </c>
      <c r="R1039" s="111">
        <v>45888</v>
      </c>
      <c r="S1039" s="82" t="s">
        <v>535</v>
      </c>
      <c r="T1039" s="81" t="s">
        <v>144</v>
      </c>
      <c r="U1039" s="81"/>
    </row>
    <row r="1040" spans="1:21" ht="30" x14ac:dyDescent="0.25">
      <c r="A1040" s="81"/>
      <c r="B1040" s="81"/>
      <c r="C1040" s="81" t="s">
        <v>144</v>
      </c>
      <c r="D1040" s="81" t="s">
        <v>30</v>
      </c>
      <c r="E1040" s="81" t="s">
        <v>3131</v>
      </c>
      <c r="F1040" s="81" t="s">
        <v>175</v>
      </c>
      <c r="G1040" s="81" t="s">
        <v>3132</v>
      </c>
      <c r="H1040" s="81"/>
      <c r="I1040" s="81"/>
      <c r="J1040" s="81"/>
      <c r="K1040" s="81"/>
      <c r="L1040" s="81"/>
      <c r="M1040" s="82" t="s">
        <v>43</v>
      </c>
      <c r="N1040" s="82"/>
      <c r="O1040" s="82"/>
      <c r="P1040" s="82"/>
      <c r="Q1040" s="82"/>
      <c r="R1040" s="111"/>
      <c r="S1040" s="82"/>
      <c r="T1040" s="81" t="s">
        <v>144</v>
      </c>
      <c r="U1040" s="81"/>
    </row>
    <row r="1041" spans="1:21" x14ac:dyDescent="0.25">
      <c r="A1041" s="81"/>
      <c r="B1041" s="81"/>
      <c r="C1041" s="81" t="s">
        <v>144</v>
      </c>
      <c r="D1041" s="81" t="s">
        <v>30</v>
      </c>
      <c r="E1041" s="81" t="s">
        <v>3133</v>
      </c>
      <c r="F1041" s="81" t="s">
        <v>175</v>
      </c>
      <c r="G1041" s="81" t="s">
        <v>3134</v>
      </c>
      <c r="H1041" s="81"/>
      <c r="I1041" s="81"/>
      <c r="J1041" s="81"/>
      <c r="K1041" s="81"/>
      <c r="L1041" s="81"/>
      <c r="M1041" s="82" t="s">
        <v>43</v>
      </c>
      <c r="N1041" s="82"/>
      <c r="O1041" s="82"/>
      <c r="P1041" s="82"/>
      <c r="Q1041" s="82"/>
      <c r="R1041" s="111"/>
      <c r="S1041" s="82"/>
      <c r="T1041" s="81" t="s">
        <v>144</v>
      </c>
      <c r="U1041" s="81"/>
    </row>
    <row r="1042" spans="1:21" ht="30" x14ac:dyDescent="0.25">
      <c r="A1042" s="81"/>
      <c r="B1042" s="81"/>
      <c r="C1042" s="81" t="s">
        <v>144</v>
      </c>
      <c r="D1042" s="81" t="s">
        <v>30</v>
      </c>
      <c r="E1042" s="81" t="s">
        <v>3135</v>
      </c>
      <c r="F1042" s="81" t="s">
        <v>2967</v>
      </c>
      <c r="G1042" s="81" t="s">
        <v>3136</v>
      </c>
      <c r="H1042" s="81"/>
      <c r="I1042" s="81"/>
      <c r="J1042" s="81"/>
      <c r="K1042" s="81"/>
      <c r="L1042" s="81"/>
      <c r="M1042" s="82" t="s">
        <v>43</v>
      </c>
      <c r="N1042" s="82"/>
      <c r="O1042" s="82"/>
      <c r="P1042" s="82"/>
      <c r="Q1042" s="82"/>
      <c r="R1042" s="111"/>
      <c r="S1042" s="82"/>
      <c r="T1042" s="81" t="s">
        <v>144</v>
      </c>
      <c r="U1042" s="81"/>
    </row>
    <row r="1043" spans="1:21" ht="30" x14ac:dyDescent="0.25">
      <c r="A1043" s="81"/>
      <c r="B1043" s="81" t="s">
        <v>8</v>
      </c>
      <c r="C1043" s="81" t="s">
        <v>144</v>
      </c>
      <c r="D1043" s="81" t="s">
        <v>30</v>
      </c>
      <c r="E1043" s="81" t="s">
        <v>88</v>
      </c>
      <c r="F1043" s="81" t="s">
        <v>30</v>
      </c>
      <c r="G1043" s="81" t="s">
        <v>83</v>
      </c>
      <c r="H1043" s="81"/>
      <c r="I1043" s="81"/>
      <c r="J1043" s="81"/>
      <c r="K1043" s="81"/>
      <c r="L1043" s="81"/>
      <c r="M1043" s="82" t="s">
        <v>43</v>
      </c>
      <c r="N1043" s="82"/>
      <c r="O1043" s="82"/>
      <c r="P1043" s="82"/>
      <c r="Q1043" s="82"/>
      <c r="R1043" s="111">
        <v>45894</v>
      </c>
      <c r="S1043" s="82" t="s">
        <v>535</v>
      </c>
      <c r="T1043" s="81" t="s">
        <v>144</v>
      </c>
      <c r="U1043" s="81" t="s">
        <v>144</v>
      </c>
    </row>
    <row r="1044" spans="1:21" ht="30" x14ac:dyDescent="0.25">
      <c r="A1044" s="81"/>
      <c r="B1044" s="81" t="s">
        <v>8</v>
      </c>
      <c r="C1044" s="81" t="s">
        <v>144</v>
      </c>
      <c r="D1044" s="81" t="s">
        <v>30</v>
      </c>
      <c r="E1044" s="81" t="s">
        <v>87</v>
      </c>
      <c r="F1044" s="81" t="s">
        <v>30</v>
      </c>
      <c r="G1044" s="81" t="s">
        <v>82</v>
      </c>
      <c r="H1044" s="81"/>
      <c r="I1044" s="81"/>
      <c r="J1044" s="81"/>
      <c r="K1044" s="81"/>
      <c r="L1044" s="81"/>
      <c r="M1044" s="82" t="s">
        <v>43</v>
      </c>
      <c r="N1044" s="82"/>
      <c r="O1044" s="82"/>
      <c r="P1044" s="82"/>
      <c r="Q1044" s="82"/>
      <c r="R1044" s="111"/>
      <c r="S1044" s="82"/>
      <c r="T1044" s="81" t="s">
        <v>144</v>
      </c>
      <c r="U1044" s="81" t="s">
        <v>144</v>
      </c>
    </row>
    <row r="1045" spans="1:21" ht="30" x14ac:dyDescent="0.25">
      <c r="A1045" s="81"/>
      <c r="B1045" s="81" t="s">
        <v>8</v>
      </c>
      <c r="C1045" s="81" t="s">
        <v>144</v>
      </c>
      <c r="D1045" s="81" t="s">
        <v>30</v>
      </c>
      <c r="E1045" s="81" t="s">
        <v>86</v>
      </c>
      <c r="F1045" s="81" t="s">
        <v>30</v>
      </c>
      <c r="G1045" s="81" t="s">
        <v>81</v>
      </c>
      <c r="H1045" s="81"/>
      <c r="I1045" s="81"/>
      <c r="J1045" s="81"/>
      <c r="K1045" s="81"/>
      <c r="L1045" s="81"/>
      <c r="M1045" s="82" t="s">
        <v>43</v>
      </c>
      <c r="N1045" s="82"/>
      <c r="O1045" s="82"/>
      <c r="P1045" s="82"/>
      <c r="Q1045" s="82"/>
      <c r="R1045" s="111"/>
      <c r="S1045" s="82"/>
      <c r="T1045" s="81" t="s">
        <v>144</v>
      </c>
      <c r="U1045" s="81" t="s">
        <v>144</v>
      </c>
    </row>
    <row r="1046" spans="1:21" x14ac:dyDescent="0.25">
      <c r="A1046" s="81"/>
      <c r="B1046" s="81"/>
      <c r="C1046" s="81" t="s">
        <v>144</v>
      </c>
      <c r="D1046" s="81" t="s">
        <v>30</v>
      </c>
      <c r="E1046" s="81" t="s">
        <v>3137</v>
      </c>
      <c r="F1046" s="81" t="s">
        <v>2967</v>
      </c>
      <c r="G1046" s="81" t="s">
        <v>3138</v>
      </c>
      <c r="H1046" s="81"/>
      <c r="I1046" s="81"/>
      <c r="J1046" s="81"/>
      <c r="K1046" s="81"/>
      <c r="L1046" s="81"/>
      <c r="M1046" s="82" t="s">
        <v>43</v>
      </c>
      <c r="N1046" s="82"/>
      <c r="O1046" s="82"/>
      <c r="P1046" s="82"/>
      <c r="Q1046" s="82"/>
      <c r="R1046" s="111"/>
      <c r="S1046" s="82"/>
      <c r="T1046" s="81" t="s">
        <v>144</v>
      </c>
      <c r="U1046" s="81"/>
    </row>
    <row r="1047" spans="1:21" ht="30" x14ac:dyDescent="0.25">
      <c r="A1047" s="81"/>
      <c r="B1047" s="81"/>
      <c r="C1047" s="81" t="s">
        <v>144</v>
      </c>
      <c r="D1047" s="81" t="s">
        <v>30</v>
      </c>
      <c r="E1047" s="81" t="s">
        <v>3139</v>
      </c>
      <c r="F1047" s="81" t="s">
        <v>3273</v>
      </c>
      <c r="G1047" s="81" t="s">
        <v>3140</v>
      </c>
      <c r="H1047" s="81"/>
      <c r="I1047" s="81"/>
      <c r="J1047" s="81"/>
      <c r="K1047" s="81"/>
      <c r="L1047" s="81"/>
      <c r="M1047" s="82" t="s">
        <v>43</v>
      </c>
      <c r="N1047" s="82"/>
      <c r="O1047" s="82"/>
      <c r="P1047" s="82"/>
      <c r="Q1047" s="82"/>
      <c r="R1047" s="111"/>
      <c r="S1047" s="82"/>
      <c r="T1047" s="81" t="s">
        <v>144</v>
      </c>
      <c r="U1047" s="81"/>
    </row>
    <row r="1048" spans="1:21" ht="30" x14ac:dyDescent="0.25">
      <c r="A1048" s="81"/>
      <c r="B1048" s="81"/>
      <c r="C1048" s="81" t="s">
        <v>144</v>
      </c>
      <c r="D1048" s="81" t="s">
        <v>30</v>
      </c>
      <c r="E1048" s="81" t="s">
        <v>3141</v>
      </c>
      <c r="F1048" s="81" t="s">
        <v>3273</v>
      </c>
      <c r="G1048" s="81" t="s">
        <v>3142</v>
      </c>
      <c r="H1048" s="81"/>
      <c r="I1048" s="81"/>
      <c r="J1048" s="81"/>
      <c r="K1048" s="81"/>
      <c r="L1048" s="81"/>
      <c r="M1048" s="82" t="s">
        <v>43</v>
      </c>
      <c r="N1048" s="82"/>
      <c r="O1048" s="82"/>
      <c r="P1048" s="82"/>
      <c r="Q1048" s="82"/>
      <c r="R1048" s="111"/>
      <c r="S1048" s="82"/>
      <c r="T1048" s="81" t="s">
        <v>144</v>
      </c>
      <c r="U1048" s="81"/>
    </row>
    <row r="1049" spans="1:21" x14ac:dyDescent="0.25">
      <c r="A1049" s="81"/>
      <c r="B1049" s="81"/>
      <c r="C1049" s="81" t="s">
        <v>144</v>
      </c>
      <c r="D1049" s="81" t="s">
        <v>30</v>
      </c>
      <c r="E1049" s="81" t="s">
        <v>3143</v>
      </c>
      <c r="F1049" s="81" t="s">
        <v>179</v>
      </c>
      <c r="G1049" s="81" t="s">
        <v>3144</v>
      </c>
      <c r="H1049" s="81"/>
      <c r="I1049" s="81"/>
      <c r="J1049" s="81"/>
      <c r="K1049" s="81"/>
      <c r="L1049" s="81"/>
      <c r="M1049" s="82" t="s">
        <v>43</v>
      </c>
      <c r="N1049" s="82"/>
      <c r="O1049" s="82"/>
      <c r="P1049" s="82"/>
      <c r="Q1049" s="82"/>
      <c r="R1049" s="111"/>
      <c r="S1049" s="82"/>
      <c r="T1049" s="81" t="s">
        <v>144</v>
      </c>
      <c r="U1049" s="81"/>
    </row>
    <row r="1050" spans="1:21" ht="45" x14ac:dyDescent="0.25">
      <c r="A1050" s="81"/>
      <c r="B1050" s="81"/>
      <c r="C1050" s="81" t="s">
        <v>144</v>
      </c>
      <c r="D1050" s="81" t="s">
        <v>30</v>
      </c>
      <c r="E1050" s="81" t="s">
        <v>3145</v>
      </c>
      <c r="F1050" s="81" t="s">
        <v>186</v>
      </c>
      <c r="G1050" s="81" t="s">
        <v>3146</v>
      </c>
      <c r="H1050" s="81"/>
      <c r="I1050" s="81"/>
      <c r="J1050" s="81"/>
      <c r="K1050" s="81"/>
      <c r="L1050" s="81"/>
      <c r="M1050" s="82" t="s">
        <v>43</v>
      </c>
      <c r="N1050" s="82"/>
      <c r="O1050" s="82"/>
      <c r="P1050" s="82"/>
      <c r="Q1050" s="82" t="s">
        <v>3147</v>
      </c>
      <c r="R1050" s="111">
        <v>45924</v>
      </c>
      <c r="S1050" s="82" t="s">
        <v>20</v>
      </c>
      <c r="T1050" s="81" t="s">
        <v>144</v>
      </c>
      <c r="U1050" s="81"/>
    </row>
    <row r="1051" spans="1:21" ht="90" x14ac:dyDescent="0.25">
      <c r="A1051" s="81"/>
      <c r="B1051" s="81"/>
      <c r="C1051" s="81" t="s">
        <v>144</v>
      </c>
      <c r="D1051" s="81" t="s">
        <v>30</v>
      </c>
      <c r="E1051" s="81" t="s">
        <v>3148</v>
      </c>
      <c r="F1051" s="81" t="s">
        <v>179</v>
      </c>
      <c r="G1051" s="81" t="s">
        <v>3149</v>
      </c>
      <c r="H1051" s="81"/>
      <c r="I1051" s="81"/>
      <c r="J1051" s="81"/>
      <c r="K1051" s="81"/>
      <c r="L1051" s="81"/>
      <c r="M1051" s="82" t="s">
        <v>43</v>
      </c>
      <c r="N1051" s="82"/>
      <c r="O1051" s="82"/>
      <c r="P1051" s="82"/>
      <c r="Q1051" s="82" t="s">
        <v>3150</v>
      </c>
      <c r="R1051" s="111">
        <v>45924</v>
      </c>
      <c r="S1051" s="82" t="s">
        <v>535</v>
      </c>
      <c r="T1051" s="81" t="s">
        <v>144</v>
      </c>
      <c r="U1051" s="81"/>
    </row>
    <row r="1052" spans="1:21" x14ac:dyDescent="0.25">
      <c r="A1052" s="81"/>
      <c r="B1052" s="81"/>
      <c r="C1052" s="81" t="s">
        <v>144</v>
      </c>
      <c r="D1052" s="81" t="s">
        <v>30</v>
      </c>
      <c r="E1052" s="81" t="s">
        <v>3151</v>
      </c>
      <c r="F1052" s="81" t="s">
        <v>186</v>
      </c>
      <c r="G1052" s="81" t="s">
        <v>3146</v>
      </c>
      <c r="H1052" s="81"/>
      <c r="I1052" s="81"/>
      <c r="J1052" s="81"/>
      <c r="K1052" s="81"/>
      <c r="L1052" s="81"/>
      <c r="M1052" s="82" t="s">
        <v>43</v>
      </c>
      <c r="N1052" s="82"/>
      <c r="O1052" s="82"/>
      <c r="P1052" s="82"/>
      <c r="Q1052" s="82"/>
      <c r="R1052" s="111"/>
      <c r="S1052" s="82"/>
      <c r="T1052" s="81" t="s">
        <v>144</v>
      </c>
      <c r="U1052" s="81"/>
    </row>
    <row r="1053" spans="1:21" x14ac:dyDescent="0.25">
      <c r="A1053" s="81"/>
      <c r="B1053" s="81"/>
      <c r="C1053" s="81" t="s">
        <v>144</v>
      </c>
      <c r="D1053" s="81" t="s">
        <v>30</v>
      </c>
      <c r="E1053" s="81" t="s">
        <v>3152</v>
      </c>
      <c r="F1053" s="81" t="s">
        <v>2967</v>
      </c>
      <c r="G1053" s="81" t="s">
        <v>3153</v>
      </c>
      <c r="H1053" s="81"/>
      <c r="I1053" s="81"/>
      <c r="J1053" s="81"/>
      <c r="K1053" s="81"/>
      <c r="L1053" s="81"/>
      <c r="M1053" s="82" t="s">
        <v>43</v>
      </c>
      <c r="N1053" s="82"/>
      <c r="O1053" s="82"/>
      <c r="P1053" s="82"/>
      <c r="Q1053" s="82"/>
      <c r="R1053" s="111"/>
      <c r="S1053" s="82"/>
      <c r="T1053" s="81" t="s">
        <v>144</v>
      </c>
      <c r="U1053" s="81"/>
    </row>
    <row r="1054" spans="1:21" x14ac:dyDescent="0.25">
      <c r="A1054" s="81"/>
      <c r="B1054" s="81"/>
      <c r="C1054" s="81" t="s">
        <v>144</v>
      </c>
      <c r="D1054" s="81" t="s">
        <v>30</v>
      </c>
      <c r="E1054" s="81" t="s">
        <v>3154</v>
      </c>
      <c r="F1054" s="81" t="s">
        <v>155</v>
      </c>
      <c r="G1054" s="81" t="s">
        <v>3155</v>
      </c>
      <c r="H1054" s="81"/>
      <c r="I1054" s="81"/>
      <c r="J1054" s="81"/>
      <c r="K1054" s="81"/>
      <c r="L1054" s="81"/>
      <c r="M1054" s="82" t="s">
        <v>43</v>
      </c>
      <c r="N1054" s="82"/>
      <c r="O1054" s="82"/>
      <c r="P1054" s="82"/>
      <c r="Q1054" s="82"/>
      <c r="R1054" s="111"/>
      <c r="S1054" s="82"/>
      <c r="T1054" s="81" t="s">
        <v>144</v>
      </c>
      <c r="U1054" s="81"/>
    </row>
    <row r="1055" spans="1:21" x14ac:dyDescent="0.25">
      <c r="A1055" s="81"/>
      <c r="B1055" s="81"/>
      <c r="C1055" s="81" t="s">
        <v>144</v>
      </c>
      <c r="D1055" s="81" t="s">
        <v>30</v>
      </c>
      <c r="E1055" s="81" t="s">
        <v>3156</v>
      </c>
      <c r="F1055" s="81" t="s">
        <v>186</v>
      </c>
      <c r="G1055" s="81" t="s">
        <v>3157</v>
      </c>
      <c r="H1055" s="81"/>
      <c r="I1055" s="81"/>
      <c r="J1055" s="81"/>
      <c r="K1055" s="81"/>
      <c r="L1055" s="81"/>
      <c r="M1055" s="82" t="s">
        <v>43</v>
      </c>
      <c r="N1055" s="82"/>
      <c r="O1055" s="82"/>
      <c r="P1055" s="82"/>
      <c r="Q1055" s="82"/>
      <c r="R1055" s="111"/>
      <c r="S1055" s="82"/>
      <c r="T1055" s="81" t="s">
        <v>144</v>
      </c>
      <c r="U1055" s="81"/>
    </row>
    <row r="1056" spans="1:21" x14ac:dyDescent="0.25">
      <c r="A1056" s="81"/>
      <c r="B1056" s="81"/>
      <c r="C1056" s="81" t="s">
        <v>144</v>
      </c>
      <c r="D1056" s="81" t="s">
        <v>30</v>
      </c>
      <c r="E1056" s="81" t="s">
        <v>3158</v>
      </c>
      <c r="F1056" s="81" t="s">
        <v>179</v>
      </c>
      <c r="G1056" s="81" t="s">
        <v>3159</v>
      </c>
      <c r="H1056" s="81"/>
      <c r="I1056" s="81"/>
      <c r="J1056" s="81"/>
      <c r="K1056" s="81"/>
      <c r="L1056" s="81"/>
      <c r="M1056" s="82" t="s">
        <v>43</v>
      </c>
      <c r="N1056" s="82"/>
      <c r="O1056" s="82"/>
      <c r="P1056" s="82"/>
      <c r="Q1056" s="82"/>
      <c r="R1056" s="111"/>
      <c r="S1056" s="82"/>
      <c r="T1056" s="81" t="s">
        <v>144</v>
      </c>
      <c r="U1056" s="81"/>
    </row>
    <row r="1057" spans="1:21" x14ac:dyDescent="0.25">
      <c r="A1057" s="81"/>
      <c r="B1057" s="81"/>
      <c r="C1057" s="81" t="s">
        <v>144</v>
      </c>
      <c r="D1057" s="81" t="s">
        <v>30</v>
      </c>
      <c r="E1057" s="81" t="s">
        <v>3160</v>
      </c>
      <c r="F1057" s="81" t="s">
        <v>186</v>
      </c>
      <c r="G1057" s="81" t="s">
        <v>3161</v>
      </c>
      <c r="H1057" s="81"/>
      <c r="I1057" s="81"/>
      <c r="J1057" s="81"/>
      <c r="K1057" s="81"/>
      <c r="L1057" s="81"/>
      <c r="M1057" s="82" t="s">
        <v>43</v>
      </c>
      <c r="N1057" s="82"/>
      <c r="O1057" s="82"/>
      <c r="P1057" s="82"/>
      <c r="Q1057" s="82"/>
      <c r="R1057" s="111"/>
      <c r="S1057" s="82"/>
      <c r="T1057" s="81" t="s">
        <v>144</v>
      </c>
      <c r="U1057" s="81"/>
    </row>
    <row r="1058" spans="1:21" x14ac:dyDescent="0.25">
      <c r="A1058" s="81"/>
      <c r="B1058" s="81"/>
      <c r="C1058" s="81" t="s">
        <v>144</v>
      </c>
      <c r="D1058" s="81" t="s">
        <v>30</v>
      </c>
      <c r="E1058" s="81" t="s">
        <v>3162</v>
      </c>
      <c r="F1058" s="81" t="s">
        <v>2967</v>
      </c>
      <c r="G1058" s="81" t="s">
        <v>3163</v>
      </c>
      <c r="H1058" s="81"/>
      <c r="I1058" s="81"/>
      <c r="J1058" s="81"/>
      <c r="K1058" s="81"/>
      <c r="L1058" s="81"/>
      <c r="M1058" s="82" t="s">
        <v>43</v>
      </c>
      <c r="N1058" s="82"/>
      <c r="O1058" s="82"/>
      <c r="P1058" s="82"/>
      <c r="Q1058" s="82"/>
      <c r="R1058" s="111"/>
      <c r="S1058" s="82"/>
      <c r="T1058" s="81" t="s">
        <v>144</v>
      </c>
      <c r="U1058" s="81"/>
    </row>
    <row r="1059" spans="1:21" ht="45" x14ac:dyDescent="0.25">
      <c r="A1059" s="81"/>
      <c r="B1059" s="81"/>
      <c r="C1059" s="81" t="s">
        <v>144</v>
      </c>
      <c r="D1059" s="81" t="s">
        <v>30</v>
      </c>
      <c r="E1059" s="81" t="s">
        <v>3164</v>
      </c>
      <c r="F1059" s="81" t="s">
        <v>3276</v>
      </c>
      <c r="G1059" s="81" t="s">
        <v>3165</v>
      </c>
      <c r="H1059" s="81"/>
      <c r="I1059" s="81"/>
      <c r="J1059" s="81"/>
      <c r="K1059" s="81"/>
      <c r="L1059" s="81"/>
      <c r="M1059" s="82" t="s">
        <v>43</v>
      </c>
      <c r="N1059" s="82"/>
      <c r="O1059" s="82"/>
      <c r="P1059" s="82"/>
      <c r="Q1059" s="82" t="s">
        <v>3166</v>
      </c>
      <c r="R1059" s="111">
        <v>45944</v>
      </c>
      <c r="S1059" s="82" t="s">
        <v>23</v>
      </c>
      <c r="T1059" s="81" t="s">
        <v>144</v>
      </c>
      <c r="U1059" s="81"/>
    </row>
    <row r="1060" spans="1:21" ht="30" x14ac:dyDescent="0.25">
      <c r="A1060" s="81"/>
      <c r="B1060" s="81"/>
      <c r="C1060" s="81" t="s">
        <v>144</v>
      </c>
      <c r="D1060" s="81" t="s">
        <v>30</v>
      </c>
      <c r="E1060" s="81" t="s">
        <v>3167</v>
      </c>
      <c r="F1060" s="81" t="s">
        <v>154</v>
      </c>
      <c r="G1060" s="81" t="s">
        <v>3168</v>
      </c>
      <c r="H1060" s="81"/>
      <c r="I1060" s="81"/>
      <c r="J1060" s="81"/>
      <c r="K1060" s="81"/>
      <c r="L1060" s="81"/>
      <c r="M1060" s="82" t="s">
        <v>43</v>
      </c>
      <c r="N1060" s="82"/>
      <c r="O1060" s="82"/>
      <c r="P1060" s="82"/>
      <c r="Q1060" s="82" t="s">
        <v>3169</v>
      </c>
      <c r="R1060" s="111">
        <v>45945</v>
      </c>
      <c r="S1060" s="82" t="s">
        <v>23</v>
      </c>
      <c r="T1060" s="81" t="s">
        <v>144</v>
      </c>
      <c r="U1060" s="81"/>
    </row>
    <row r="1061" spans="1:21" x14ac:dyDescent="0.25">
      <c r="A1061" s="81"/>
      <c r="B1061" s="81"/>
      <c r="C1061" s="81" t="s">
        <v>144</v>
      </c>
      <c r="D1061" s="81" t="s">
        <v>30</v>
      </c>
      <c r="E1061" s="81" t="s">
        <v>3170</v>
      </c>
      <c r="F1061" s="81" t="s">
        <v>3273</v>
      </c>
      <c r="G1061" s="81" t="s">
        <v>3171</v>
      </c>
      <c r="H1061" s="81"/>
      <c r="I1061" s="81"/>
      <c r="J1061" s="81"/>
      <c r="K1061" s="81"/>
      <c r="L1061" s="81"/>
      <c r="M1061" s="82" t="s">
        <v>43</v>
      </c>
      <c r="N1061" s="82"/>
      <c r="O1061" s="82"/>
      <c r="P1061" s="82"/>
      <c r="Q1061" s="82"/>
      <c r="R1061" s="111"/>
      <c r="S1061" s="82"/>
      <c r="T1061" s="81" t="s">
        <v>144</v>
      </c>
      <c r="U1061" s="81"/>
    </row>
    <row r="1062" spans="1:21" x14ac:dyDescent="0.25">
      <c r="A1062" s="81"/>
      <c r="B1062" s="81"/>
      <c r="C1062" s="81" t="s">
        <v>144</v>
      </c>
      <c r="D1062" s="81" t="s">
        <v>30</v>
      </c>
      <c r="E1062" s="81" t="s">
        <v>3172</v>
      </c>
      <c r="F1062" s="81" t="s">
        <v>3273</v>
      </c>
      <c r="G1062" s="81" t="s">
        <v>3171</v>
      </c>
      <c r="H1062" s="81"/>
      <c r="I1062" s="81"/>
      <c r="J1062" s="81"/>
      <c r="K1062" s="81"/>
      <c r="L1062" s="81"/>
      <c r="M1062" s="82" t="s">
        <v>43</v>
      </c>
      <c r="N1062" s="82"/>
      <c r="O1062" s="82"/>
      <c r="P1062" s="82"/>
      <c r="Q1062" s="82"/>
      <c r="R1062" s="111"/>
      <c r="S1062" s="82"/>
      <c r="T1062" s="81" t="s">
        <v>144</v>
      </c>
      <c r="U1062" s="81"/>
    </row>
    <row r="1063" spans="1:21" x14ac:dyDescent="0.25">
      <c r="A1063" s="81"/>
      <c r="B1063" s="81"/>
      <c r="C1063" s="81" t="s">
        <v>144</v>
      </c>
      <c r="D1063" s="81" t="s">
        <v>30</v>
      </c>
      <c r="E1063" s="81" t="s">
        <v>3173</v>
      </c>
      <c r="F1063" s="81" t="s">
        <v>186</v>
      </c>
      <c r="G1063" s="81" t="s">
        <v>3174</v>
      </c>
      <c r="H1063" s="81"/>
      <c r="I1063" s="81"/>
      <c r="J1063" s="81"/>
      <c r="K1063" s="81"/>
      <c r="L1063" s="81"/>
      <c r="M1063" s="82" t="s">
        <v>43</v>
      </c>
      <c r="N1063" s="82"/>
      <c r="O1063" s="82"/>
      <c r="P1063" s="82"/>
      <c r="Q1063" s="82"/>
      <c r="R1063" s="111"/>
      <c r="S1063" s="82"/>
      <c r="T1063" s="81" t="s">
        <v>144</v>
      </c>
      <c r="U1063" s="81"/>
    </row>
    <row r="1064" spans="1:21" x14ac:dyDescent="0.25">
      <c r="A1064" s="81"/>
      <c r="B1064" s="81"/>
      <c r="C1064" s="81" t="s">
        <v>144</v>
      </c>
      <c r="D1064" s="81" t="s">
        <v>30</v>
      </c>
      <c r="E1064" s="81" t="s">
        <v>3180</v>
      </c>
      <c r="F1064" s="81" t="s">
        <v>3276</v>
      </c>
      <c r="G1064" s="81" t="s">
        <v>3181</v>
      </c>
      <c r="H1064" s="81"/>
      <c r="I1064" s="81"/>
      <c r="J1064" s="81"/>
      <c r="K1064" s="81"/>
      <c r="L1064" s="81"/>
      <c r="M1064" s="82" t="s">
        <v>43</v>
      </c>
      <c r="N1064" s="82"/>
      <c r="O1064" s="82"/>
      <c r="P1064" s="82"/>
      <c r="Q1064" s="82"/>
      <c r="R1064" s="111">
        <v>45951</v>
      </c>
      <c r="S1064" s="82" t="s">
        <v>45</v>
      </c>
      <c r="T1064" s="81" t="s">
        <v>144</v>
      </c>
      <c r="U1064" s="81"/>
    </row>
    <row r="1065" spans="1:21" x14ac:dyDescent="0.25">
      <c r="A1065" s="81"/>
      <c r="B1065" s="81"/>
      <c r="C1065" s="81" t="s">
        <v>144</v>
      </c>
      <c r="D1065" s="81" t="s">
        <v>30</v>
      </c>
      <c r="E1065" s="81" t="s">
        <v>3178</v>
      </c>
      <c r="F1065" s="81" t="s">
        <v>154</v>
      </c>
      <c r="G1065" s="81" t="s">
        <v>3179</v>
      </c>
      <c r="H1065" s="81"/>
      <c r="I1065" s="81"/>
      <c r="J1065" s="81"/>
      <c r="K1065" s="81"/>
      <c r="L1065" s="81"/>
      <c r="M1065" s="82" t="s">
        <v>43</v>
      </c>
      <c r="N1065" s="82"/>
      <c r="O1065" s="82"/>
      <c r="P1065" s="82"/>
      <c r="Q1065" s="82"/>
      <c r="R1065" s="111">
        <v>45951</v>
      </c>
      <c r="S1065" s="82" t="s">
        <v>535</v>
      </c>
      <c r="T1065" s="81" t="s">
        <v>144</v>
      </c>
      <c r="U1065" s="81"/>
    </row>
    <row r="1066" spans="1:21" ht="30" x14ac:dyDescent="0.25">
      <c r="A1066" s="81"/>
      <c r="B1066" s="81" t="s">
        <v>8</v>
      </c>
      <c r="C1066" s="81" t="s">
        <v>144</v>
      </c>
      <c r="D1066" s="81" t="s">
        <v>193</v>
      </c>
      <c r="E1066" s="81" t="s">
        <v>3277</v>
      </c>
      <c r="F1066" s="81">
        <v>4000</v>
      </c>
      <c r="G1066" s="81" t="s">
        <v>3278</v>
      </c>
      <c r="H1066" s="81"/>
      <c r="I1066" s="81"/>
      <c r="J1066" s="81"/>
      <c r="K1066" s="81"/>
      <c r="L1066" s="81"/>
      <c r="M1066" s="82" t="s">
        <v>43</v>
      </c>
      <c r="N1066" s="82"/>
      <c r="O1066" s="82"/>
      <c r="P1066" s="82"/>
      <c r="Q1066" s="82"/>
      <c r="R1066" s="111"/>
      <c r="S1066" s="82"/>
      <c r="T1066" s="81" t="s">
        <v>144</v>
      </c>
      <c r="U1066" s="81" t="s">
        <v>112</v>
      </c>
    </row>
    <row r="1067" spans="1:21" ht="30" x14ac:dyDescent="0.25">
      <c r="A1067" s="81" t="s">
        <v>8</v>
      </c>
      <c r="B1067" s="81" t="s">
        <v>144</v>
      </c>
      <c r="C1067" s="81" t="s">
        <v>8</v>
      </c>
      <c r="D1067" s="81" t="s">
        <v>193</v>
      </c>
      <c r="E1067" s="81" t="s">
        <v>3204</v>
      </c>
      <c r="F1067" s="81">
        <v>4200</v>
      </c>
      <c r="G1067" s="81" t="s">
        <v>3205</v>
      </c>
      <c r="H1067" s="81" t="s">
        <v>8</v>
      </c>
      <c r="I1067" s="81" t="s">
        <v>8</v>
      </c>
      <c r="J1067" s="81" t="s">
        <v>8</v>
      </c>
      <c r="K1067" s="81" t="s">
        <v>8</v>
      </c>
      <c r="L1067" s="81" t="s">
        <v>8</v>
      </c>
      <c r="M1067" s="82" t="s">
        <v>43</v>
      </c>
      <c r="N1067" s="82"/>
      <c r="O1067" s="82"/>
      <c r="P1067" s="82"/>
      <c r="Q1067" s="82"/>
      <c r="R1067" s="111"/>
      <c r="S1067" s="82"/>
      <c r="T1067" s="81" t="s">
        <v>144</v>
      </c>
      <c r="U1067" s="81">
        <v>5400256592</v>
      </c>
    </row>
    <row r="1068" spans="1:21" ht="30" x14ac:dyDescent="0.25">
      <c r="A1068" s="81"/>
      <c r="B1068" s="81"/>
      <c r="C1068" s="81" t="s">
        <v>144</v>
      </c>
      <c r="D1068" s="81" t="s">
        <v>143</v>
      </c>
      <c r="E1068" s="81" t="s">
        <v>904</v>
      </c>
      <c r="F1068" s="81" t="s">
        <v>148</v>
      </c>
      <c r="G1068" s="81" t="s">
        <v>905</v>
      </c>
      <c r="H1068" s="81"/>
      <c r="I1068" s="81"/>
      <c r="J1068" s="81"/>
      <c r="K1068" s="81"/>
      <c r="L1068" s="81"/>
      <c r="M1068" s="82" t="s">
        <v>121</v>
      </c>
      <c r="N1068" s="82"/>
      <c r="O1068" s="82"/>
      <c r="P1068" s="82"/>
      <c r="Q1068" s="82" t="s">
        <v>906</v>
      </c>
      <c r="R1068" s="111">
        <v>45952</v>
      </c>
      <c r="S1068" s="82" t="s">
        <v>20</v>
      </c>
      <c r="T1068" s="81" t="s">
        <v>144</v>
      </c>
      <c r="U1068" s="81" t="s">
        <v>144</v>
      </c>
    </row>
    <row r="1069" spans="1:21" ht="30" x14ac:dyDescent="0.25">
      <c r="A1069" s="81"/>
      <c r="B1069" s="81"/>
      <c r="C1069" s="81" t="s">
        <v>144</v>
      </c>
      <c r="D1069" s="81" t="s">
        <v>10</v>
      </c>
      <c r="E1069" s="81" t="s">
        <v>3290</v>
      </c>
      <c r="F1069" s="81" t="s">
        <v>159</v>
      </c>
      <c r="G1069" s="81" t="s">
        <v>3505</v>
      </c>
      <c r="H1069" s="81"/>
      <c r="I1069" s="81"/>
      <c r="J1069" s="81"/>
      <c r="K1069" s="81"/>
      <c r="L1069" s="81"/>
      <c r="M1069" s="82" t="s">
        <v>121</v>
      </c>
      <c r="N1069" s="82"/>
      <c r="O1069" s="82"/>
      <c r="P1069" s="82"/>
      <c r="Q1069" s="82" t="s">
        <v>3476</v>
      </c>
      <c r="R1069" s="111">
        <v>45953</v>
      </c>
      <c r="S1069" s="82" t="s">
        <v>38</v>
      </c>
      <c r="T1069" s="81" t="s">
        <v>144</v>
      </c>
      <c r="U1069" s="81" t="s">
        <v>3478</v>
      </c>
    </row>
    <row r="1070" spans="1:21" x14ac:dyDescent="0.25">
      <c r="A1070" s="81"/>
      <c r="B1070" s="81"/>
      <c r="C1070" s="81" t="s">
        <v>8</v>
      </c>
      <c r="D1070" s="81" t="s">
        <v>10</v>
      </c>
      <c r="E1070" s="81" t="s">
        <v>2484</v>
      </c>
      <c r="F1070" s="81" t="s">
        <v>3264</v>
      </c>
      <c r="G1070" s="81" t="s">
        <v>2417</v>
      </c>
      <c r="H1070" s="81" t="s">
        <v>8</v>
      </c>
      <c r="I1070" s="81" t="s">
        <v>8</v>
      </c>
      <c r="J1070" s="81" t="s">
        <v>8</v>
      </c>
      <c r="K1070" s="81"/>
      <c r="L1070" s="81" t="s">
        <v>8</v>
      </c>
      <c r="M1070" s="82" t="s">
        <v>121</v>
      </c>
      <c r="N1070" s="82"/>
      <c r="O1070" s="82"/>
      <c r="P1070" s="82"/>
      <c r="Q1070" s="82"/>
      <c r="R1070" s="111"/>
      <c r="S1070" s="82"/>
      <c r="T1070" s="81" t="s">
        <v>144</v>
      </c>
      <c r="U1070" s="81" t="s">
        <v>144</v>
      </c>
    </row>
    <row r="1071" spans="1:21" ht="30" x14ac:dyDescent="0.25">
      <c r="A1071" s="81"/>
      <c r="B1071" s="81"/>
      <c r="C1071" s="81" t="s">
        <v>144</v>
      </c>
      <c r="D1071" s="81" t="s">
        <v>30</v>
      </c>
      <c r="E1071" s="81" t="s">
        <v>3027</v>
      </c>
      <c r="F1071" s="81" t="s">
        <v>2967</v>
      </c>
      <c r="G1071" s="81" t="s">
        <v>3028</v>
      </c>
      <c r="H1071" s="81"/>
      <c r="I1071" s="81"/>
      <c r="J1071" s="81"/>
      <c r="K1071" s="81"/>
      <c r="L1071" s="81"/>
      <c r="M1071" s="82" t="s">
        <v>121</v>
      </c>
      <c r="N1071" s="82"/>
      <c r="O1071" s="82"/>
      <c r="P1071" s="82"/>
      <c r="Q1071" s="82"/>
      <c r="R1071" s="111"/>
      <c r="S1071" s="82"/>
      <c r="T1071" s="81" t="s">
        <v>144</v>
      </c>
      <c r="U1071" s="81"/>
    </row>
    <row r="1072" spans="1:21" x14ac:dyDescent="0.25">
      <c r="A1072" s="81"/>
      <c r="B1072" s="81"/>
      <c r="C1072" s="81" t="s">
        <v>144</v>
      </c>
      <c r="D1072" s="81" t="s">
        <v>30</v>
      </c>
      <c r="E1072" s="81" t="s">
        <v>3175</v>
      </c>
      <c r="F1072" s="81" t="s">
        <v>154</v>
      </c>
      <c r="G1072" s="81" t="s">
        <v>3176</v>
      </c>
      <c r="H1072" s="81"/>
      <c r="I1072" s="81"/>
      <c r="J1072" s="81"/>
      <c r="K1072" s="81"/>
      <c r="L1072" s="81"/>
      <c r="M1072" s="82" t="s">
        <v>121</v>
      </c>
      <c r="N1072" s="82"/>
      <c r="O1072" s="82"/>
      <c r="P1072" s="82"/>
      <c r="Q1072" s="82" t="s">
        <v>3177</v>
      </c>
      <c r="R1072" s="111">
        <v>45951</v>
      </c>
      <c r="S1072" s="82" t="s">
        <v>535</v>
      </c>
      <c r="T1072" s="81" t="s">
        <v>144</v>
      </c>
      <c r="U1072" s="81"/>
    </row>
    <row r="1073" spans="1:21" ht="30" x14ac:dyDescent="0.25">
      <c r="A1073" s="81"/>
      <c r="B1073" s="81"/>
      <c r="C1073" s="81" t="s">
        <v>144</v>
      </c>
      <c r="D1073" s="81" t="s">
        <v>143</v>
      </c>
      <c r="E1073" s="81" t="s">
        <v>181</v>
      </c>
      <c r="F1073" s="81" t="s">
        <v>148</v>
      </c>
      <c r="G1073" s="81" t="s">
        <v>182</v>
      </c>
      <c r="H1073" s="81"/>
      <c r="I1073" s="81"/>
      <c r="J1073" s="81"/>
      <c r="K1073" s="81"/>
      <c r="L1073" s="81"/>
      <c r="M1073" s="82" t="s">
        <v>51</v>
      </c>
      <c r="N1073" s="82"/>
      <c r="O1073" s="82"/>
      <c r="P1073" s="82"/>
      <c r="Q1073" s="82" t="s">
        <v>907</v>
      </c>
      <c r="R1073" s="111"/>
      <c r="S1073" s="82"/>
      <c r="T1073" s="81" t="s">
        <v>144</v>
      </c>
      <c r="U1073" s="81"/>
    </row>
    <row r="1074" spans="1:21" x14ac:dyDescent="0.25">
      <c r="A1074" s="81"/>
      <c r="B1074" s="81"/>
      <c r="C1074" s="81" t="s">
        <v>144</v>
      </c>
      <c r="D1074" s="81" t="s">
        <v>143</v>
      </c>
      <c r="E1074" s="81" t="s">
        <v>911</v>
      </c>
      <c r="F1074" s="81" t="s">
        <v>166</v>
      </c>
      <c r="G1074" s="81" t="s">
        <v>912</v>
      </c>
      <c r="H1074" s="81"/>
      <c r="I1074" s="81"/>
      <c r="J1074" s="81"/>
      <c r="K1074" s="81"/>
      <c r="L1074" s="81"/>
      <c r="M1074" s="82" t="s">
        <v>51</v>
      </c>
      <c r="N1074" s="82"/>
      <c r="O1074" s="82"/>
      <c r="P1074" s="82"/>
      <c r="Q1074" s="82" t="s">
        <v>913</v>
      </c>
      <c r="R1074" s="111">
        <v>45943</v>
      </c>
      <c r="S1074" s="82" t="s">
        <v>23</v>
      </c>
      <c r="T1074" s="81" t="s">
        <v>144</v>
      </c>
      <c r="U1074" s="81"/>
    </row>
    <row r="1075" spans="1:21" ht="30" x14ac:dyDescent="0.25">
      <c r="A1075" s="81"/>
      <c r="B1075" s="81"/>
      <c r="C1075" s="81" t="s">
        <v>144</v>
      </c>
      <c r="D1075" s="81" t="s">
        <v>143</v>
      </c>
      <c r="E1075" s="81" t="s">
        <v>914</v>
      </c>
      <c r="F1075" s="81" t="s">
        <v>161</v>
      </c>
      <c r="G1075" s="81" t="s">
        <v>915</v>
      </c>
      <c r="H1075" s="81"/>
      <c r="I1075" s="81"/>
      <c r="J1075" s="81"/>
      <c r="K1075" s="81"/>
      <c r="L1075" s="81"/>
      <c r="M1075" s="82" t="s">
        <v>51</v>
      </c>
      <c r="N1075" s="82"/>
      <c r="O1075" s="82"/>
      <c r="P1075" s="82"/>
      <c r="Q1075" s="82" t="s">
        <v>916</v>
      </c>
      <c r="R1075" s="111">
        <v>45939</v>
      </c>
      <c r="S1075" s="82"/>
      <c r="T1075" s="81" t="s">
        <v>144</v>
      </c>
      <c r="U1075" s="81"/>
    </row>
    <row r="1076" spans="1:21" x14ac:dyDescent="0.25">
      <c r="A1076" s="81"/>
      <c r="B1076" s="81"/>
      <c r="C1076" s="81" t="s">
        <v>144</v>
      </c>
      <c r="D1076" s="81" t="s">
        <v>143</v>
      </c>
      <c r="E1076" s="81" t="s">
        <v>917</v>
      </c>
      <c r="F1076" s="81" t="s">
        <v>262</v>
      </c>
      <c r="G1076" s="81" t="s">
        <v>918</v>
      </c>
      <c r="H1076" s="81"/>
      <c r="I1076" s="81"/>
      <c r="J1076" s="81"/>
      <c r="K1076" s="81"/>
      <c r="L1076" s="81"/>
      <c r="M1076" s="82" t="s">
        <v>51</v>
      </c>
      <c r="N1076" s="82"/>
      <c r="O1076" s="82"/>
      <c r="P1076" s="82"/>
      <c r="Q1076" s="82" t="s">
        <v>919</v>
      </c>
      <c r="R1076" s="111">
        <v>45939</v>
      </c>
      <c r="S1076" s="82"/>
      <c r="T1076" s="81" t="s">
        <v>144</v>
      </c>
      <c r="U1076" s="81"/>
    </row>
    <row r="1077" spans="1:21" ht="60" x14ac:dyDescent="0.25">
      <c r="A1077" s="81"/>
      <c r="B1077" s="81"/>
      <c r="C1077" s="81" t="s">
        <v>144</v>
      </c>
      <c r="D1077" s="81" t="s">
        <v>143</v>
      </c>
      <c r="E1077" s="81" t="s">
        <v>920</v>
      </c>
      <c r="F1077" s="81" t="s">
        <v>166</v>
      </c>
      <c r="G1077" s="81" t="s">
        <v>921</v>
      </c>
      <c r="H1077" s="81"/>
      <c r="I1077" s="81"/>
      <c r="J1077" s="81"/>
      <c r="K1077" s="81"/>
      <c r="L1077" s="81"/>
      <c r="M1077" s="82" t="s">
        <v>51</v>
      </c>
      <c r="N1077" s="82"/>
      <c r="O1077" s="82"/>
      <c r="P1077" s="82"/>
      <c r="Q1077" s="82" t="s">
        <v>922</v>
      </c>
      <c r="R1077" s="111">
        <v>45939</v>
      </c>
      <c r="S1077" s="82"/>
      <c r="T1077" s="81" t="s">
        <v>144</v>
      </c>
      <c r="U1077" s="81"/>
    </row>
    <row r="1078" spans="1:21" ht="30" x14ac:dyDescent="0.25">
      <c r="A1078" s="81"/>
      <c r="B1078" s="81"/>
      <c r="C1078" s="81" t="s">
        <v>144</v>
      </c>
      <c r="D1078" s="81" t="s">
        <v>143</v>
      </c>
      <c r="E1078" s="81" t="s">
        <v>923</v>
      </c>
      <c r="F1078" s="81" t="s">
        <v>161</v>
      </c>
      <c r="G1078" s="81" t="s">
        <v>924</v>
      </c>
      <c r="H1078" s="81"/>
      <c r="I1078" s="81"/>
      <c r="J1078" s="81"/>
      <c r="K1078" s="81"/>
      <c r="L1078" s="81"/>
      <c r="M1078" s="82" t="s">
        <v>51</v>
      </c>
      <c r="N1078" s="82"/>
      <c r="O1078" s="82"/>
      <c r="P1078" s="82"/>
      <c r="Q1078" s="82" t="s">
        <v>925</v>
      </c>
      <c r="R1078" s="111">
        <v>45937</v>
      </c>
      <c r="S1078" s="82" t="s">
        <v>926</v>
      </c>
      <c r="T1078" s="81" t="s">
        <v>144</v>
      </c>
      <c r="U1078" s="81"/>
    </row>
    <row r="1079" spans="1:21" ht="30" x14ac:dyDescent="0.25">
      <c r="A1079" s="81"/>
      <c r="B1079" s="81"/>
      <c r="C1079" s="81" t="s">
        <v>144</v>
      </c>
      <c r="D1079" s="81" t="s">
        <v>143</v>
      </c>
      <c r="E1079" s="81" t="s">
        <v>927</v>
      </c>
      <c r="F1079" s="81" t="s">
        <v>148</v>
      </c>
      <c r="G1079" s="81" t="s">
        <v>928</v>
      </c>
      <c r="H1079" s="81"/>
      <c r="I1079" s="81"/>
      <c r="J1079" s="81"/>
      <c r="K1079" s="81"/>
      <c r="L1079" s="81"/>
      <c r="M1079" s="82" t="s">
        <v>51</v>
      </c>
      <c r="N1079" s="82"/>
      <c r="O1079" s="82"/>
      <c r="P1079" s="82"/>
      <c r="Q1079" s="82" t="s">
        <v>929</v>
      </c>
      <c r="R1079" s="111">
        <v>45938</v>
      </c>
      <c r="S1079" s="82"/>
      <c r="T1079" s="81" t="s">
        <v>144</v>
      </c>
      <c r="U1079" s="81" t="s">
        <v>144</v>
      </c>
    </row>
    <row r="1080" spans="1:21" x14ac:dyDescent="0.25">
      <c r="A1080" s="81"/>
      <c r="B1080" s="81"/>
      <c r="C1080" s="81" t="s">
        <v>144</v>
      </c>
      <c r="D1080" s="81" t="s">
        <v>143</v>
      </c>
      <c r="E1080" s="81" t="s">
        <v>930</v>
      </c>
      <c r="F1080" s="81" t="s">
        <v>166</v>
      </c>
      <c r="G1080" s="81" t="s">
        <v>931</v>
      </c>
      <c r="H1080" s="81"/>
      <c r="I1080" s="81"/>
      <c r="J1080" s="81"/>
      <c r="K1080" s="81"/>
      <c r="L1080" s="81"/>
      <c r="M1080" s="82" t="s">
        <v>51</v>
      </c>
      <c r="N1080" s="82"/>
      <c r="O1080" s="82"/>
      <c r="P1080" s="82"/>
      <c r="Q1080" s="82"/>
      <c r="R1080" s="111">
        <v>45901</v>
      </c>
      <c r="S1080" s="82" t="s">
        <v>20</v>
      </c>
      <c r="T1080" s="81" t="s">
        <v>144</v>
      </c>
      <c r="U1080" s="81"/>
    </row>
    <row r="1081" spans="1:21" ht="30" x14ac:dyDescent="0.25">
      <c r="A1081" s="81"/>
      <c r="B1081" s="81"/>
      <c r="C1081" s="81" t="s">
        <v>144</v>
      </c>
      <c r="D1081" s="81" t="s">
        <v>143</v>
      </c>
      <c r="E1081" s="81" t="s">
        <v>932</v>
      </c>
      <c r="F1081" s="81" t="s">
        <v>148</v>
      </c>
      <c r="G1081" s="81" t="s">
        <v>933</v>
      </c>
      <c r="H1081" s="81"/>
      <c r="I1081" s="81"/>
      <c r="J1081" s="81"/>
      <c r="K1081" s="81"/>
      <c r="L1081" s="81"/>
      <c r="M1081" s="82" t="s">
        <v>51</v>
      </c>
      <c r="N1081" s="82"/>
      <c r="O1081" s="82"/>
      <c r="P1081" s="82"/>
      <c r="Q1081" s="82" t="s">
        <v>934</v>
      </c>
      <c r="R1081" s="111">
        <v>45889</v>
      </c>
      <c r="S1081" s="82" t="s">
        <v>20</v>
      </c>
      <c r="T1081" s="81" t="s">
        <v>144</v>
      </c>
      <c r="U1081" s="81"/>
    </row>
    <row r="1082" spans="1:21" ht="45" x14ac:dyDescent="0.25">
      <c r="A1082" s="81"/>
      <c r="B1082" s="81"/>
      <c r="C1082" s="81" t="s">
        <v>144</v>
      </c>
      <c r="D1082" s="81" t="s">
        <v>143</v>
      </c>
      <c r="E1082" s="81" t="s">
        <v>935</v>
      </c>
      <c r="F1082" s="81" t="s">
        <v>161</v>
      </c>
      <c r="G1082" s="81" t="s">
        <v>936</v>
      </c>
      <c r="H1082" s="81"/>
      <c r="I1082" s="81"/>
      <c r="J1082" s="81"/>
      <c r="K1082" s="81"/>
      <c r="L1082" s="81"/>
      <c r="M1082" s="82" t="s">
        <v>51</v>
      </c>
      <c r="N1082" s="82"/>
      <c r="O1082" s="82" t="s">
        <v>8</v>
      </c>
      <c r="P1082" s="82" t="s">
        <v>8</v>
      </c>
      <c r="Q1082" s="82" t="s">
        <v>937</v>
      </c>
      <c r="R1082" s="111">
        <v>45889</v>
      </c>
      <c r="S1082" s="82" t="s">
        <v>938</v>
      </c>
      <c r="T1082" s="81" t="s">
        <v>144</v>
      </c>
      <c r="U1082" s="81"/>
    </row>
    <row r="1083" spans="1:21" ht="30" x14ac:dyDescent="0.25">
      <c r="A1083" s="81"/>
      <c r="B1083" s="81"/>
      <c r="C1083" s="81" t="s">
        <v>144</v>
      </c>
      <c r="D1083" s="81" t="s">
        <v>143</v>
      </c>
      <c r="E1083" s="81" t="s">
        <v>939</v>
      </c>
      <c r="F1083" s="81" t="s">
        <v>163</v>
      </c>
      <c r="G1083" s="81" t="s">
        <v>940</v>
      </c>
      <c r="H1083" s="81"/>
      <c r="I1083" s="81"/>
      <c r="J1083" s="81"/>
      <c r="K1083" s="81"/>
      <c r="L1083" s="81"/>
      <c r="M1083" s="82" t="s">
        <v>51</v>
      </c>
      <c r="N1083" s="82"/>
      <c r="O1083" s="82"/>
      <c r="P1083" s="82"/>
      <c r="Q1083" s="82" t="s">
        <v>941</v>
      </c>
      <c r="R1083" s="111">
        <v>45888</v>
      </c>
      <c r="S1083" s="82" t="s">
        <v>684</v>
      </c>
      <c r="T1083" s="81" t="s">
        <v>144</v>
      </c>
      <c r="U1083" s="81"/>
    </row>
    <row r="1084" spans="1:21" ht="30" x14ac:dyDescent="0.25">
      <c r="A1084" s="81"/>
      <c r="B1084" s="81"/>
      <c r="C1084" s="81" t="s">
        <v>144</v>
      </c>
      <c r="D1084" s="81" t="s">
        <v>143</v>
      </c>
      <c r="E1084" s="81" t="s">
        <v>942</v>
      </c>
      <c r="F1084" s="81" t="s">
        <v>162</v>
      </c>
      <c r="G1084" s="81" t="s">
        <v>943</v>
      </c>
      <c r="H1084" s="81"/>
      <c r="I1084" s="81"/>
      <c r="J1084" s="81"/>
      <c r="K1084" s="81"/>
      <c r="L1084" s="81"/>
      <c r="M1084" s="82" t="s">
        <v>51</v>
      </c>
      <c r="N1084" s="82"/>
      <c r="O1084" s="82" t="s">
        <v>8</v>
      </c>
      <c r="P1084" s="82"/>
      <c r="Q1084" s="82" t="s">
        <v>944</v>
      </c>
      <c r="R1084" s="111">
        <v>45881</v>
      </c>
      <c r="S1084" s="82" t="s">
        <v>735</v>
      </c>
      <c r="T1084" s="81" t="s">
        <v>144</v>
      </c>
      <c r="U1084" s="81"/>
    </row>
    <row r="1085" spans="1:21" x14ac:dyDescent="0.25">
      <c r="A1085" s="81"/>
      <c r="B1085" s="81"/>
      <c r="C1085" s="81" t="s">
        <v>144</v>
      </c>
      <c r="D1085" s="81" t="s">
        <v>143</v>
      </c>
      <c r="E1085" s="81" t="s">
        <v>945</v>
      </c>
      <c r="F1085" s="81" t="s">
        <v>161</v>
      </c>
      <c r="G1085" s="81" t="s">
        <v>946</v>
      </c>
      <c r="H1085" s="81"/>
      <c r="I1085" s="81"/>
      <c r="J1085" s="81"/>
      <c r="K1085" s="81"/>
      <c r="L1085" s="81"/>
      <c r="M1085" s="82" t="s">
        <v>51</v>
      </c>
      <c r="N1085" s="82" t="s">
        <v>8</v>
      </c>
      <c r="O1085" s="82"/>
      <c r="P1085" s="82"/>
      <c r="Q1085" s="82" t="s">
        <v>947</v>
      </c>
      <c r="R1085" s="111">
        <v>45869</v>
      </c>
      <c r="S1085" s="82" t="s">
        <v>45</v>
      </c>
      <c r="T1085" s="81" t="s">
        <v>144</v>
      </c>
      <c r="U1085" s="81"/>
    </row>
    <row r="1086" spans="1:21" ht="30" x14ac:dyDescent="0.25">
      <c r="A1086" s="81"/>
      <c r="B1086" s="81"/>
      <c r="C1086" s="81" t="s">
        <v>144</v>
      </c>
      <c r="D1086" s="81" t="s">
        <v>143</v>
      </c>
      <c r="E1086" s="81" t="s">
        <v>948</v>
      </c>
      <c r="F1086" s="81" t="s">
        <v>262</v>
      </c>
      <c r="G1086" s="81" t="s">
        <v>949</v>
      </c>
      <c r="H1086" s="81"/>
      <c r="I1086" s="81"/>
      <c r="J1086" s="81"/>
      <c r="K1086" s="81"/>
      <c r="L1086" s="81"/>
      <c r="M1086" s="82" t="s">
        <v>51</v>
      </c>
      <c r="N1086" s="82"/>
      <c r="O1086" s="82"/>
      <c r="P1086" s="82"/>
      <c r="Q1086" s="82"/>
      <c r="R1086" s="111"/>
      <c r="S1086" s="82"/>
      <c r="T1086" s="81" t="s">
        <v>144</v>
      </c>
      <c r="U1086" s="81"/>
    </row>
    <row r="1087" spans="1:21" ht="45" x14ac:dyDescent="0.25">
      <c r="A1087" s="81"/>
      <c r="B1087" s="81"/>
      <c r="C1087" s="81" t="s">
        <v>144</v>
      </c>
      <c r="D1087" s="81" t="s">
        <v>143</v>
      </c>
      <c r="E1087" s="81" t="s">
        <v>950</v>
      </c>
      <c r="F1087" s="81" t="s">
        <v>161</v>
      </c>
      <c r="G1087" s="81" t="s">
        <v>951</v>
      </c>
      <c r="H1087" s="81"/>
      <c r="I1087" s="81"/>
      <c r="J1087" s="81"/>
      <c r="K1087" s="81"/>
      <c r="L1087" s="81"/>
      <c r="M1087" s="82" t="s">
        <v>51</v>
      </c>
      <c r="N1087" s="82"/>
      <c r="O1087" s="82"/>
      <c r="P1087" s="82"/>
      <c r="Q1087" s="82" t="s">
        <v>952</v>
      </c>
      <c r="R1087" s="111">
        <v>45817</v>
      </c>
      <c r="S1087" s="82" t="s">
        <v>23</v>
      </c>
      <c r="T1087" s="81" t="s">
        <v>144</v>
      </c>
      <c r="U1087" s="81" t="s">
        <v>144</v>
      </c>
    </row>
    <row r="1088" spans="1:21" ht="45" x14ac:dyDescent="0.25">
      <c r="A1088" s="81"/>
      <c r="B1088" s="81"/>
      <c r="C1088" s="81" t="s">
        <v>144</v>
      </c>
      <c r="D1088" s="81" t="s">
        <v>143</v>
      </c>
      <c r="E1088" s="81" t="s">
        <v>953</v>
      </c>
      <c r="F1088" s="81" t="s">
        <v>161</v>
      </c>
      <c r="G1088" s="81" t="s">
        <v>954</v>
      </c>
      <c r="H1088" s="81"/>
      <c r="I1088" s="81"/>
      <c r="J1088" s="81"/>
      <c r="K1088" s="81"/>
      <c r="L1088" s="81"/>
      <c r="M1088" s="82" t="s">
        <v>51</v>
      </c>
      <c r="N1088" s="82"/>
      <c r="O1088" s="82"/>
      <c r="P1088" s="82"/>
      <c r="Q1088" s="82" t="s">
        <v>955</v>
      </c>
      <c r="R1088" s="111">
        <v>45817</v>
      </c>
      <c r="S1088" s="82" t="s">
        <v>23</v>
      </c>
      <c r="T1088" s="81" t="s">
        <v>144</v>
      </c>
      <c r="U1088" s="81" t="s">
        <v>144</v>
      </c>
    </row>
    <row r="1089" spans="1:21" ht="45" x14ac:dyDescent="0.25">
      <c r="A1089" s="81"/>
      <c r="B1089" s="81" t="s">
        <v>8</v>
      </c>
      <c r="C1089" s="81" t="s">
        <v>144</v>
      </c>
      <c r="D1089" s="81" t="s">
        <v>143</v>
      </c>
      <c r="E1089" s="81" t="s">
        <v>956</v>
      </c>
      <c r="F1089" s="81" t="s">
        <v>166</v>
      </c>
      <c r="G1089" s="81" t="s">
        <v>957</v>
      </c>
      <c r="H1089" s="81"/>
      <c r="I1089" s="81"/>
      <c r="J1089" s="81"/>
      <c r="K1089" s="81"/>
      <c r="L1089" s="81"/>
      <c r="M1089" s="82" t="s">
        <v>51</v>
      </c>
      <c r="N1089" s="82"/>
      <c r="O1089" s="82"/>
      <c r="P1089" s="82"/>
      <c r="Q1089" s="82" t="s">
        <v>958</v>
      </c>
      <c r="R1089" s="111">
        <v>45788</v>
      </c>
      <c r="S1089" s="82" t="s">
        <v>610</v>
      </c>
      <c r="T1089" s="81" t="s">
        <v>144</v>
      </c>
      <c r="U1089" s="81" t="s">
        <v>144</v>
      </c>
    </row>
    <row r="1090" spans="1:21" ht="30" x14ac:dyDescent="0.25">
      <c r="A1090" s="81"/>
      <c r="B1090" s="81" t="s">
        <v>8</v>
      </c>
      <c r="C1090" s="81" t="s">
        <v>144</v>
      </c>
      <c r="D1090" s="81" t="s">
        <v>143</v>
      </c>
      <c r="E1090" s="81" t="s">
        <v>959</v>
      </c>
      <c r="F1090" s="81" t="s">
        <v>161</v>
      </c>
      <c r="G1090" s="81" t="s">
        <v>960</v>
      </c>
      <c r="H1090" s="81"/>
      <c r="I1090" s="81"/>
      <c r="J1090" s="81"/>
      <c r="K1090" s="81"/>
      <c r="L1090" s="81"/>
      <c r="M1090" s="82" t="s">
        <v>51</v>
      </c>
      <c r="N1090" s="82"/>
      <c r="O1090" s="82"/>
      <c r="P1090" s="82"/>
      <c r="Q1090" s="82" t="s">
        <v>961</v>
      </c>
      <c r="R1090" s="111">
        <v>45784</v>
      </c>
      <c r="S1090" s="82" t="s">
        <v>619</v>
      </c>
      <c r="T1090" s="81" t="s">
        <v>144</v>
      </c>
      <c r="U1090" s="81" t="s">
        <v>144</v>
      </c>
    </row>
    <row r="1091" spans="1:21" ht="30" x14ac:dyDescent="0.25">
      <c r="A1091" s="81"/>
      <c r="B1091" s="81" t="s">
        <v>8</v>
      </c>
      <c r="C1091" s="81" t="s">
        <v>144</v>
      </c>
      <c r="D1091" s="81" t="s">
        <v>143</v>
      </c>
      <c r="E1091" s="81" t="s">
        <v>962</v>
      </c>
      <c r="F1091" s="81" t="s">
        <v>262</v>
      </c>
      <c r="G1091" s="81" t="s">
        <v>963</v>
      </c>
      <c r="H1091" s="81"/>
      <c r="I1091" s="81"/>
      <c r="J1091" s="81"/>
      <c r="K1091" s="81"/>
      <c r="L1091" s="81"/>
      <c r="M1091" s="82" t="s">
        <v>51</v>
      </c>
      <c r="N1091" s="82"/>
      <c r="O1091" s="82"/>
      <c r="P1091" s="82"/>
      <c r="Q1091" s="82" t="s">
        <v>964</v>
      </c>
      <c r="R1091" s="111">
        <v>45770</v>
      </c>
      <c r="S1091" s="82" t="s">
        <v>23</v>
      </c>
      <c r="T1091" s="81" t="s">
        <v>144</v>
      </c>
      <c r="U1091" s="81" t="s">
        <v>144</v>
      </c>
    </row>
    <row r="1092" spans="1:21" ht="30" x14ac:dyDescent="0.25">
      <c r="A1092" s="81"/>
      <c r="B1092" s="81" t="s">
        <v>8</v>
      </c>
      <c r="C1092" s="81" t="s">
        <v>144</v>
      </c>
      <c r="D1092" s="81" t="s">
        <v>143</v>
      </c>
      <c r="E1092" s="81" t="s">
        <v>965</v>
      </c>
      <c r="F1092" s="81" t="s">
        <v>148</v>
      </c>
      <c r="G1092" s="81" t="s">
        <v>966</v>
      </c>
      <c r="H1092" s="81"/>
      <c r="I1092" s="81"/>
      <c r="J1092" s="81"/>
      <c r="K1092" s="81"/>
      <c r="L1092" s="81"/>
      <c r="M1092" s="82" t="s">
        <v>51</v>
      </c>
      <c r="N1092" s="82"/>
      <c r="O1092" s="82"/>
      <c r="P1092" s="82"/>
      <c r="Q1092" s="82" t="s">
        <v>967</v>
      </c>
      <c r="R1092" s="111">
        <v>45762</v>
      </c>
      <c r="S1092" s="82" t="s">
        <v>9</v>
      </c>
      <c r="T1092" s="81" t="s">
        <v>144</v>
      </c>
      <c r="U1092" s="81" t="s">
        <v>144</v>
      </c>
    </row>
    <row r="1093" spans="1:21" ht="30" x14ac:dyDescent="0.25">
      <c r="A1093" s="81"/>
      <c r="B1093" s="81" t="s">
        <v>8</v>
      </c>
      <c r="C1093" s="81" t="s">
        <v>144</v>
      </c>
      <c r="D1093" s="81" t="s">
        <v>143</v>
      </c>
      <c r="E1093" s="81" t="s">
        <v>968</v>
      </c>
      <c r="F1093" s="81" t="s">
        <v>166</v>
      </c>
      <c r="G1093" s="81" t="s">
        <v>969</v>
      </c>
      <c r="H1093" s="81"/>
      <c r="I1093" s="81"/>
      <c r="J1093" s="81"/>
      <c r="K1093" s="81"/>
      <c r="L1093" s="81"/>
      <c r="M1093" s="82" t="s">
        <v>51</v>
      </c>
      <c r="N1093" s="82"/>
      <c r="O1093" s="82"/>
      <c r="P1093" s="82"/>
      <c r="Q1093" s="82" t="s">
        <v>348</v>
      </c>
      <c r="R1093" s="111">
        <v>45722</v>
      </c>
      <c r="S1093" s="82" t="s">
        <v>254</v>
      </c>
      <c r="T1093" s="81" t="s">
        <v>144</v>
      </c>
      <c r="U1093" s="81" t="s">
        <v>144</v>
      </c>
    </row>
    <row r="1094" spans="1:21" ht="30" x14ac:dyDescent="0.25">
      <c r="A1094" s="81"/>
      <c r="B1094" s="81" t="s">
        <v>8</v>
      </c>
      <c r="C1094" s="81" t="s">
        <v>144</v>
      </c>
      <c r="D1094" s="81" t="s">
        <v>143</v>
      </c>
      <c r="E1094" s="81" t="s">
        <v>970</v>
      </c>
      <c r="F1094" s="81" t="s">
        <v>148</v>
      </c>
      <c r="G1094" s="81" t="s">
        <v>971</v>
      </c>
      <c r="H1094" s="81"/>
      <c r="I1094" s="81"/>
      <c r="J1094" s="81"/>
      <c r="K1094" s="81"/>
      <c r="L1094" s="81"/>
      <c r="M1094" s="82" t="s">
        <v>51</v>
      </c>
      <c r="N1094" s="82"/>
      <c r="O1094" s="82"/>
      <c r="P1094" s="82"/>
      <c r="Q1094" s="82" t="s">
        <v>972</v>
      </c>
      <c r="R1094" s="111">
        <v>45714</v>
      </c>
      <c r="S1094" s="82" t="s">
        <v>254</v>
      </c>
      <c r="T1094" s="81" t="s">
        <v>144</v>
      </c>
      <c r="U1094" s="81" t="s">
        <v>144</v>
      </c>
    </row>
    <row r="1095" spans="1:21" ht="30" x14ac:dyDescent="0.25">
      <c r="A1095" s="81"/>
      <c r="B1095" s="81" t="s">
        <v>8</v>
      </c>
      <c r="C1095" s="81" t="s">
        <v>144</v>
      </c>
      <c r="D1095" s="81" t="s">
        <v>143</v>
      </c>
      <c r="E1095" s="81" t="s">
        <v>973</v>
      </c>
      <c r="F1095" s="81" t="s">
        <v>161</v>
      </c>
      <c r="G1095" s="81" t="s">
        <v>974</v>
      </c>
      <c r="H1095" s="81"/>
      <c r="I1095" s="81"/>
      <c r="J1095" s="81"/>
      <c r="K1095" s="81"/>
      <c r="L1095" s="81"/>
      <c r="M1095" s="82" t="s">
        <v>51</v>
      </c>
      <c r="N1095" s="82"/>
      <c r="O1095" s="82" t="s">
        <v>8</v>
      </c>
      <c r="P1095" s="82"/>
      <c r="Q1095" s="82" t="s">
        <v>975</v>
      </c>
      <c r="R1095" s="111">
        <v>45680</v>
      </c>
      <c r="S1095" s="82" t="s">
        <v>9</v>
      </c>
      <c r="T1095" s="81" t="s">
        <v>144</v>
      </c>
      <c r="U1095" s="81" t="s">
        <v>144</v>
      </c>
    </row>
    <row r="1096" spans="1:21" ht="45" x14ac:dyDescent="0.25">
      <c r="A1096" s="81"/>
      <c r="B1096" s="81" t="s">
        <v>8</v>
      </c>
      <c r="C1096" s="81" t="s">
        <v>144</v>
      </c>
      <c r="D1096" s="81" t="s">
        <v>143</v>
      </c>
      <c r="E1096" s="81" t="s">
        <v>976</v>
      </c>
      <c r="F1096" s="81" t="s">
        <v>161</v>
      </c>
      <c r="G1096" s="81" t="s">
        <v>977</v>
      </c>
      <c r="H1096" s="81"/>
      <c r="I1096" s="81"/>
      <c r="J1096" s="81"/>
      <c r="K1096" s="81"/>
      <c r="L1096" s="81"/>
      <c r="M1096" s="82" t="s">
        <v>51</v>
      </c>
      <c r="N1096" s="82"/>
      <c r="O1096" s="82" t="s">
        <v>8</v>
      </c>
      <c r="P1096" s="82"/>
      <c r="Q1096" s="82" t="s">
        <v>978</v>
      </c>
      <c r="R1096" s="111">
        <v>45644</v>
      </c>
      <c r="S1096" s="82" t="s">
        <v>535</v>
      </c>
      <c r="T1096" s="81" t="s">
        <v>144</v>
      </c>
      <c r="U1096" s="81" t="s">
        <v>144</v>
      </c>
    </row>
    <row r="1097" spans="1:21" ht="30" x14ac:dyDescent="0.25">
      <c r="A1097" s="81"/>
      <c r="B1097" s="81"/>
      <c r="C1097" s="81" t="s">
        <v>144</v>
      </c>
      <c r="D1097" s="81" t="s">
        <v>143</v>
      </c>
      <c r="E1097" s="81" t="s">
        <v>979</v>
      </c>
      <c r="F1097" s="81" t="s">
        <v>148</v>
      </c>
      <c r="G1097" s="81" t="s">
        <v>980</v>
      </c>
      <c r="H1097" s="81"/>
      <c r="I1097" s="81"/>
      <c r="J1097" s="81"/>
      <c r="K1097" s="81"/>
      <c r="L1097" s="81"/>
      <c r="M1097" s="82" t="s">
        <v>51</v>
      </c>
      <c r="N1097" s="82"/>
      <c r="O1097" s="82" t="s">
        <v>8</v>
      </c>
      <c r="P1097" s="82"/>
      <c r="Q1097" s="82" t="s">
        <v>981</v>
      </c>
      <c r="R1097" s="111">
        <v>45930</v>
      </c>
      <c r="S1097" s="82" t="s">
        <v>23</v>
      </c>
      <c r="T1097" s="81" t="s">
        <v>144</v>
      </c>
      <c r="U1097" s="81"/>
    </row>
    <row r="1098" spans="1:21" ht="60" x14ac:dyDescent="0.25">
      <c r="A1098" s="81"/>
      <c r="B1098" s="81"/>
      <c r="C1098" s="81" t="s">
        <v>144</v>
      </c>
      <c r="D1098" s="81" t="s">
        <v>147</v>
      </c>
      <c r="E1098" s="81" t="s">
        <v>1427</v>
      </c>
      <c r="F1098" s="81" t="s">
        <v>165</v>
      </c>
      <c r="G1098" s="81" t="s">
        <v>1428</v>
      </c>
      <c r="H1098" s="81"/>
      <c r="I1098" s="81"/>
      <c r="J1098" s="81"/>
      <c r="K1098" s="81"/>
      <c r="L1098" s="81"/>
      <c r="M1098" s="82" t="s">
        <v>51</v>
      </c>
      <c r="N1098" s="82"/>
      <c r="O1098" s="82"/>
      <c r="P1098" s="82"/>
      <c r="Q1098" s="82" t="s">
        <v>1429</v>
      </c>
      <c r="R1098" s="111"/>
      <c r="S1098" s="82" t="s">
        <v>9</v>
      </c>
      <c r="T1098" s="81" t="s">
        <v>144</v>
      </c>
      <c r="U1098" s="81"/>
    </row>
    <row r="1099" spans="1:21" ht="30" x14ac:dyDescent="0.25">
      <c r="A1099" s="81"/>
      <c r="B1099" s="81"/>
      <c r="C1099" s="81" t="s">
        <v>144</v>
      </c>
      <c r="D1099" s="81" t="s">
        <v>147</v>
      </c>
      <c r="E1099" s="81" t="s">
        <v>1430</v>
      </c>
      <c r="F1099" s="81" t="s">
        <v>149</v>
      </c>
      <c r="G1099" s="81" t="s">
        <v>1431</v>
      </c>
      <c r="H1099" s="81"/>
      <c r="I1099" s="81"/>
      <c r="J1099" s="81"/>
      <c r="K1099" s="81"/>
      <c r="L1099" s="81"/>
      <c r="M1099" s="82" t="s">
        <v>51</v>
      </c>
      <c r="N1099" s="82"/>
      <c r="O1099" s="82"/>
      <c r="P1099" s="82"/>
      <c r="Q1099" s="82" t="s">
        <v>1432</v>
      </c>
      <c r="R1099" s="111">
        <v>45897</v>
      </c>
      <c r="S1099" s="82" t="s">
        <v>535</v>
      </c>
      <c r="T1099" s="81" t="s">
        <v>144</v>
      </c>
      <c r="U1099" s="81"/>
    </row>
    <row r="1100" spans="1:21" x14ac:dyDescent="0.25">
      <c r="A1100" s="81"/>
      <c r="B1100" s="81"/>
      <c r="C1100" s="81" t="s">
        <v>144</v>
      </c>
      <c r="D1100" s="81" t="s">
        <v>147</v>
      </c>
      <c r="E1100" s="81" t="s">
        <v>1433</v>
      </c>
      <c r="F1100" s="81" t="s">
        <v>149</v>
      </c>
      <c r="G1100" s="81" t="s">
        <v>1434</v>
      </c>
      <c r="H1100" s="81"/>
      <c r="I1100" s="81"/>
      <c r="J1100" s="81"/>
      <c r="K1100" s="81"/>
      <c r="L1100" s="81"/>
      <c r="M1100" s="82" t="s">
        <v>51</v>
      </c>
      <c r="N1100" s="82"/>
      <c r="O1100" s="82"/>
      <c r="P1100" s="82"/>
      <c r="Q1100" s="82" t="s">
        <v>1435</v>
      </c>
      <c r="R1100" s="111">
        <v>45891</v>
      </c>
      <c r="S1100" s="82" t="s">
        <v>20</v>
      </c>
      <c r="T1100" s="81" t="s">
        <v>144</v>
      </c>
      <c r="U1100" s="81"/>
    </row>
    <row r="1101" spans="1:21" ht="30" x14ac:dyDescent="0.25">
      <c r="A1101" s="81"/>
      <c r="B1101" s="81"/>
      <c r="C1101" s="81" t="s">
        <v>144</v>
      </c>
      <c r="D1101" s="81" t="s">
        <v>147</v>
      </c>
      <c r="E1101" s="81" t="s">
        <v>1436</v>
      </c>
      <c r="F1101" s="81" t="s">
        <v>164</v>
      </c>
      <c r="G1101" s="81" t="s">
        <v>1437</v>
      </c>
      <c r="H1101" s="81"/>
      <c r="I1101" s="81"/>
      <c r="J1101" s="81"/>
      <c r="K1101" s="81"/>
      <c r="L1101" s="81"/>
      <c r="M1101" s="82" t="s">
        <v>51</v>
      </c>
      <c r="N1101" s="82"/>
      <c r="O1101" s="82"/>
      <c r="P1101" s="82"/>
      <c r="Q1101" s="82" t="s">
        <v>1438</v>
      </c>
      <c r="R1101" s="111">
        <v>45883</v>
      </c>
      <c r="S1101" s="82" t="s">
        <v>20</v>
      </c>
      <c r="T1101" s="81" t="s">
        <v>144</v>
      </c>
      <c r="U1101" s="81"/>
    </row>
    <row r="1102" spans="1:21" ht="30" x14ac:dyDescent="0.25">
      <c r="A1102" s="81"/>
      <c r="B1102" s="81"/>
      <c r="C1102" s="81" t="s">
        <v>144</v>
      </c>
      <c r="D1102" s="81" t="s">
        <v>147</v>
      </c>
      <c r="E1102" s="81" t="s">
        <v>1439</v>
      </c>
      <c r="F1102" s="81" t="s">
        <v>165</v>
      </c>
      <c r="G1102" s="81" t="s">
        <v>1440</v>
      </c>
      <c r="H1102" s="81"/>
      <c r="I1102" s="81"/>
      <c r="J1102" s="81"/>
      <c r="K1102" s="81"/>
      <c r="L1102" s="81"/>
      <c r="M1102" s="82" t="s">
        <v>51</v>
      </c>
      <c r="N1102" s="82"/>
      <c r="O1102" s="82" t="s">
        <v>8</v>
      </c>
      <c r="P1102" s="82" t="s">
        <v>8</v>
      </c>
      <c r="Q1102" s="82" t="s">
        <v>1441</v>
      </c>
      <c r="R1102" s="111">
        <v>45888</v>
      </c>
      <c r="S1102" s="82" t="s">
        <v>20</v>
      </c>
      <c r="T1102" s="81" t="s">
        <v>144</v>
      </c>
      <c r="U1102" s="81"/>
    </row>
    <row r="1103" spans="1:21" ht="45" x14ac:dyDescent="0.25">
      <c r="A1103" s="81"/>
      <c r="B1103" s="81"/>
      <c r="C1103" s="81" t="s">
        <v>144</v>
      </c>
      <c r="D1103" s="81" t="s">
        <v>147</v>
      </c>
      <c r="E1103" s="81" t="s">
        <v>1442</v>
      </c>
      <c r="F1103" s="81" t="s">
        <v>149</v>
      </c>
      <c r="G1103" s="81" t="s">
        <v>1443</v>
      </c>
      <c r="H1103" s="81"/>
      <c r="I1103" s="81"/>
      <c r="J1103" s="81"/>
      <c r="K1103" s="81"/>
      <c r="L1103" s="81"/>
      <c r="M1103" s="82" t="s">
        <v>51</v>
      </c>
      <c r="N1103" s="82"/>
      <c r="O1103" s="82"/>
      <c r="P1103" s="82"/>
      <c r="Q1103" s="82" t="s">
        <v>1444</v>
      </c>
      <c r="R1103" s="111">
        <v>45856</v>
      </c>
      <c r="S1103" s="82" t="s">
        <v>45</v>
      </c>
      <c r="T1103" s="81" t="s">
        <v>144</v>
      </c>
      <c r="U1103" s="81"/>
    </row>
    <row r="1104" spans="1:21" ht="45" x14ac:dyDescent="0.25">
      <c r="A1104" s="81"/>
      <c r="B1104" s="81"/>
      <c r="C1104" s="81" t="s">
        <v>144</v>
      </c>
      <c r="D1104" s="81" t="s">
        <v>147</v>
      </c>
      <c r="E1104" s="81" t="s">
        <v>1445</v>
      </c>
      <c r="F1104" s="81" t="s">
        <v>164</v>
      </c>
      <c r="G1104" s="81" t="s">
        <v>1446</v>
      </c>
      <c r="H1104" s="81"/>
      <c r="I1104" s="81"/>
      <c r="J1104" s="81"/>
      <c r="K1104" s="81"/>
      <c r="L1104" s="81"/>
      <c r="M1104" s="82" t="s">
        <v>51</v>
      </c>
      <c r="N1104" s="82"/>
      <c r="O1104" s="82"/>
      <c r="P1104" s="82"/>
      <c r="Q1104" s="82" t="s">
        <v>1447</v>
      </c>
      <c r="R1104" s="111">
        <v>45839</v>
      </c>
      <c r="S1104" s="82" t="s">
        <v>20</v>
      </c>
      <c r="T1104" s="81" t="s">
        <v>144</v>
      </c>
      <c r="U1104" s="81" t="s">
        <v>144</v>
      </c>
    </row>
    <row r="1105" spans="1:21" ht="30" x14ac:dyDescent="0.25">
      <c r="A1105" s="81"/>
      <c r="B1105" s="81"/>
      <c r="C1105" s="81" t="s">
        <v>144</v>
      </c>
      <c r="D1105" s="81" t="s">
        <v>147</v>
      </c>
      <c r="E1105" s="81" t="s">
        <v>1448</v>
      </c>
      <c r="F1105" s="81" t="s">
        <v>149</v>
      </c>
      <c r="G1105" s="81" t="s">
        <v>1449</v>
      </c>
      <c r="H1105" s="81"/>
      <c r="I1105" s="81"/>
      <c r="J1105" s="81"/>
      <c r="K1105" s="81"/>
      <c r="L1105" s="81"/>
      <c r="M1105" s="82" t="s">
        <v>51</v>
      </c>
      <c r="N1105" s="82"/>
      <c r="O1105" s="82"/>
      <c r="P1105" s="82"/>
      <c r="Q1105" s="82" t="s">
        <v>1450</v>
      </c>
      <c r="R1105" s="111">
        <v>45797</v>
      </c>
      <c r="S1105" s="82" t="s">
        <v>20</v>
      </c>
      <c r="T1105" s="81" t="s">
        <v>144</v>
      </c>
      <c r="U1105" s="81" t="s">
        <v>144</v>
      </c>
    </row>
    <row r="1106" spans="1:21" ht="30" x14ac:dyDescent="0.25">
      <c r="A1106" s="81"/>
      <c r="B1106" s="81" t="s">
        <v>8</v>
      </c>
      <c r="C1106" s="81" t="s">
        <v>144</v>
      </c>
      <c r="D1106" s="81" t="s">
        <v>147</v>
      </c>
      <c r="E1106" s="81" t="s">
        <v>1451</v>
      </c>
      <c r="F1106" s="81" t="s">
        <v>149</v>
      </c>
      <c r="G1106" s="81" t="s">
        <v>1452</v>
      </c>
      <c r="H1106" s="81"/>
      <c r="I1106" s="81"/>
      <c r="J1106" s="81"/>
      <c r="K1106" s="81"/>
      <c r="L1106" s="81"/>
      <c r="M1106" s="82" t="s">
        <v>51</v>
      </c>
      <c r="N1106" s="82"/>
      <c r="O1106" s="82"/>
      <c r="P1106" s="82"/>
      <c r="Q1106" s="82" t="s">
        <v>1453</v>
      </c>
      <c r="R1106" s="111">
        <v>45791</v>
      </c>
      <c r="S1106" s="82" t="s">
        <v>20</v>
      </c>
      <c r="T1106" s="81" t="s">
        <v>144</v>
      </c>
      <c r="U1106" s="81" t="s">
        <v>144</v>
      </c>
    </row>
    <row r="1107" spans="1:21" ht="30" x14ac:dyDescent="0.25">
      <c r="A1107" s="81"/>
      <c r="B1107" s="81" t="s">
        <v>8</v>
      </c>
      <c r="C1107" s="81" t="s">
        <v>144</v>
      </c>
      <c r="D1107" s="81" t="s">
        <v>147</v>
      </c>
      <c r="E1107" s="81" t="s">
        <v>1454</v>
      </c>
      <c r="F1107" s="81" t="s">
        <v>149</v>
      </c>
      <c r="G1107" s="81" t="s">
        <v>1455</v>
      </c>
      <c r="H1107" s="81"/>
      <c r="I1107" s="81"/>
      <c r="J1107" s="81"/>
      <c r="K1107" s="81"/>
      <c r="L1107" s="81"/>
      <c r="M1107" s="82" t="s">
        <v>51</v>
      </c>
      <c r="N1107" s="82"/>
      <c r="O1107" s="82"/>
      <c r="P1107" s="82"/>
      <c r="Q1107" s="82" t="s">
        <v>1456</v>
      </c>
      <c r="R1107" s="111">
        <v>45791</v>
      </c>
      <c r="S1107" s="82" t="s">
        <v>20</v>
      </c>
      <c r="T1107" s="81" t="s">
        <v>144</v>
      </c>
      <c r="U1107" s="81" t="s">
        <v>144</v>
      </c>
    </row>
    <row r="1108" spans="1:21" ht="45" x14ac:dyDescent="0.25">
      <c r="A1108" s="81"/>
      <c r="B1108" s="81" t="s">
        <v>8</v>
      </c>
      <c r="C1108" s="81" t="s">
        <v>144</v>
      </c>
      <c r="D1108" s="81" t="s">
        <v>147</v>
      </c>
      <c r="E1108" s="81" t="s">
        <v>1457</v>
      </c>
      <c r="F1108" s="81" t="s">
        <v>165</v>
      </c>
      <c r="G1108" s="81" t="s">
        <v>1458</v>
      </c>
      <c r="H1108" s="81"/>
      <c r="I1108" s="81"/>
      <c r="J1108" s="81"/>
      <c r="K1108" s="81"/>
      <c r="L1108" s="81"/>
      <c r="M1108" s="82" t="s">
        <v>51</v>
      </c>
      <c r="N1108" s="82"/>
      <c r="O1108" s="82" t="s">
        <v>8</v>
      </c>
      <c r="P1108" s="82"/>
      <c r="Q1108" s="82" t="s">
        <v>1459</v>
      </c>
      <c r="R1108" s="111">
        <v>45784</v>
      </c>
      <c r="S1108" s="82" t="s">
        <v>9</v>
      </c>
      <c r="T1108" s="81" t="s">
        <v>144</v>
      </c>
      <c r="U1108" s="81" t="s">
        <v>144</v>
      </c>
    </row>
    <row r="1109" spans="1:21" ht="60" x14ac:dyDescent="0.25">
      <c r="A1109" s="81"/>
      <c r="B1109" s="81" t="s">
        <v>8</v>
      </c>
      <c r="C1109" s="81" t="s">
        <v>144</v>
      </c>
      <c r="D1109" s="81" t="s">
        <v>147</v>
      </c>
      <c r="E1109" s="81" t="s">
        <v>1460</v>
      </c>
      <c r="F1109" s="81" t="s">
        <v>149</v>
      </c>
      <c r="G1109" s="81" t="s">
        <v>1461</v>
      </c>
      <c r="H1109" s="81"/>
      <c r="I1109" s="81"/>
      <c r="J1109" s="81"/>
      <c r="K1109" s="81"/>
      <c r="L1109" s="81"/>
      <c r="M1109" s="82" t="s">
        <v>51</v>
      </c>
      <c r="N1109" s="82"/>
      <c r="O1109" s="82"/>
      <c r="P1109" s="82"/>
      <c r="Q1109" s="82" t="s">
        <v>1462</v>
      </c>
      <c r="R1109" s="111">
        <v>45782</v>
      </c>
      <c r="S1109" s="82" t="s">
        <v>20</v>
      </c>
      <c r="T1109" s="81" t="s">
        <v>144</v>
      </c>
      <c r="U1109" s="81" t="s">
        <v>144</v>
      </c>
    </row>
    <row r="1110" spans="1:21" x14ac:dyDescent="0.25">
      <c r="A1110" s="81"/>
      <c r="B1110" s="81" t="s">
        <v>8</v>
      </c>
      <c r="C1110" s="81" t="s">
        <v>144</v>
      </c>
      <c r="D1110" s="81" t="s">
        <v>147</v>
      </c>
      <c r="E1110" s="81" t="s">
        <v>1463</v>
      </c>
      <c r="F1110" s="81" t="s">
        <v>149</v>
      </c>
      <c r="G1110" s="81" t="s">
        <v>1184</v>
      </c>
      <c r="H1110" s="81"/>
      <c r="I1110" s="81"/>
      <c r="J1110" s="81"/>
      <c r="K1110" s="81"/>
      <c r="L1110" s="81"/>
      <c r="M1110" s="82" t="s">
        <v>51</v>
      </c>
      <c r="N1110" s="82"/>
      <c r="O1110" s="82" t="s">
        <v>8</v>
      </c>
      <c r="P1110" s="82"/>
      <c r="Q1110" s="82" t="s">
        <v>1435</v>
      </c>
      <c r="R1110" s="111">
        <v>45782</v>
      </c>
      <c r="S1110" s="82" t="s">
        <v>20</v>
      </c>
      <c r="T1110" s="81" t="s">
        <v>144</v>
      </c>
      <c r="U1110" s="81" t="s">
        <v>144</v>
      </c>
    </row>
    <row r="1111" spans="1:21" ht="30" x14ac:dyDescent="0.25">
      <c r="A1111" s="81"/>
      <c r="B1111" s="81" t="s">
        <v>8</v>
      </c>
      <c r="C1111" s="81" t="s">
        <v>144</v>
      </c>
      <c r="D1111" s="81" t="s">
        <v>147</v>
      </c>
      <c r="E1111" s="81" t="s">
        <v>1464</v>
      </c>
      <c r="F1111" s="81" t="s">
        <v>164</v>
      </c>
      <c r="G1111" s="81" t="s">
        <v>1465</v>
      </c>
      <c r="H1111" s="81"/>
      <c r="I1111" s="81"/>
      <c r="J1111" s="81"/>
      <c r="K1111" s="81"/>
      <c r="L1111" s="81"/>
      <c r="M1111" s="82" t="s">
        <v>51</v>
      </c>
      <c r="N1111" s="82"/>
      <c r="O1111" s="82"/>
      <c r="P1111" s="82"/>
      <c r="Q1111" s="82" t="s">
        <v>1466</v>
      </c>
      <c r="R1111" s="111">
        <v>45779</v>
      </c>
      <c r="S1111" s="82" t="s">
        <v>20</v>
      </c>
      <c r="T1111" s="81" t="s">
        <v>144</v>
      </c>
      <c r="U1111" s="81" t="s">
        <v>144</v>
      </c>
    </row>
    <row r="1112" spans="1:21" ht="30" x14ac:dyDescent="0.25">
      <c r="A1112" s="81"/>
      <c r="B1112" s="81" t="s">
        <v>8</v>
      </c>
      <c r="C1112" s="81" t="s">
        <v>144</v>
      </c>
      <c r="D1112" s="81" t="s">
        <v>147</v>
      </c>
      <c r="E1112" s="81" t="s">
        <v>1467</v>
      </c>
      <c r="F1112" s="81" t="s">
        <v>165</v>
      </c>
      <c r="G1112" s="81" t="s">
        <v>1468</v>
      </c>
      <c r="H1112" s="81"/>
      <c r="I1112" s="81"/>
      <c r="J1112" s="81"/>
      <c r="K1112" s="81"/>
      <c r="L1112" s="81"/>
      <c r="M1112" s="82" t="s">
        <v>51</v>
      </c>
      <c r="N1112" s="82"/>
      <c r="O1112" s="82"/>
      <c r="P1112" s="82"/>
      <c r="Q1112" s="82" t="s">
        <v>1469</v>
      </c>
      <c r="R1112" s="111">
        <v>45782</v>
      </c>
      <c r="S1112" s="82" t="s">
        <v>1470</v>
      </c>
      <c r="T1112" s="81" t="s">
        <v>144</v>
      </c>
      <c r="U1112" s="81" t="s">
        <v>144</v>
      </c>
    </row>
    <row r="1113" spans="1:21" ht="30" x14ac:dyDescent="0.25">
      <c r="A1113" s="81"/>
      <c r="B1113" s="81" t="s">
        <v>8</v>
      </c>
      <c r="C1113" s="81" t="s">
        <v>144</v>
      </c>
      <c r="D1113" s="81" t="s">
        <v>147</v>
      </c>
      <c r="E1113" s="81" t="s">
        <v>1471</v>
      </c>
      <c r="F1113" s="81" t="s">
        <v>164</v>
      </c>
      <c r="G1113" s="81" t="s">
        <v>1472</v>
      </c>
      <c r="H1113" s="81"/>
      <c r="I1113" s="81"/>
      <c r="J1113" s="81"/>
      <c r="K1113" s="81"/>
      <c r="L1113" s="81"/>
      <c r="M1113" s="82" t="s">
        <v>51</v>
      </c>
      <c r="N1113" s="82"/>
      <c r="O1113" s="82"/>
      <c r="P1113" s="82"/>
      <c r="Q1113" s="82" t="s">
        <v>1473</v>
      </c>
      <c r="R1113" s="111">
        <v>45715</v>
      </c>
      <c r="S1113" s="82" t="s">
        <v>9</v>
      </c>
      <c r="T1113" s="81" t="s">
        <v>144</v>
      </c>
      <c r="U1113" s="81" t="s">
        <v>144</v>
      </c>
    </row>
    <row r="1114" spans="1:21" x14ac:dyDescent="0.25">
      <c r="A1114" s="81"/>
      <c r="B1114" s="81" t="s">
        <v>8</v>
      </c>
      <c r="C1114" s="81" t="s">
        <v>144</v>
      </c>
      <c r="D1114" s="81" t="s">
        <v>147</v>
      </c>
      <c r="E1114" s="81" t="s">
        <v>1474</v>
      </c>
      <c r="F1114" s="81" t="s">
        <v>164</v>
      </c>
      <c r="G1114" s="81" t="s">
        <v>1475</v>
      </c>
      <c r="H1114" s="81"/>
      <c r="I1114" s="81"/>
      <c r="J1114" s="81"/>
      <c r="K1114" s="81"/>
      <c r="L1114" s="81"/>
      <c r="M1114" s="82" t="s">
        <v>51</v>
      </c>
      <c r="N1114" s="82"/>
      <c r="O1114" s="82"/>
      <c r="P1114" s="82"/>
      <c r="Q1114" s="82" t="s">
        <v>1476</v>
      </c>
      <c r="R1114" s="111">
        <v>45715</v>
      </c>
      <c r="S1114" s="82" t="s">
        <v>227</v>
      </c>
      <c r="T1114" s="81" t="s">
        <v>144</v>
      </c>
      <c r="U1114" s="81" t="s">
        <v>144</v>
      </c>
    </row>
    <row r="1115" spans="1:21" ht="30" x14ac:dyDescent="0.25">
      <c r="A1115" s="81"/>
      <c r="B1115" s="81" t="s">
        <v>8</v>
      </c>
      <c r="C1115" s="81" t="s">
        <v>144</v>
      </c>
      <c r="D1115" s="81" t="s">
        <v>147</v>
      </c>
      <c r="E1115" s="81" t="s">
        <v>1477</v>
      </c>
      <c r="F1115" s="81" t="s">
        <v>165</v>
      </c>
      <c r="G1115" s="81" t="s">
        <v>1478</v>
      </c>
      <c r="H1115" s="81"/>
      <c r="I1115" s="81"/>
      <c r="J1115" s="81"/>
      <c r="K1115" s="81"/>
      <c r="L1115" s="81"/>
      <c r="M1115" s="82" t="s">
        <v>51</v>
      </c>
      <c r="N1115" s="82"/>
      <c r="O1115" s="82"/>
      <c r="P1115" s="82"/>
      <c r="Q1115" s="82" t="s">
        <v>1479</v>
      </c>
      <c r="R1115" s="111">
        <v>45707</v>
      </c>
      <c r="S1115" s="82" t="s">
        <v>9</v>
      </c>
      <c r="T1115" s="81" t="s">
        <v>144</v>
      </c>
      <c r="U1115" s="81" t="s">
        <v>144</v>
      </c>
    </row>
    <row r="1116" spans="1:21" ht="30" x14ac:dyDescent="0.25">
      <c r="A1116" s="81"/>
      <c r="B1116" s="81" t="s">
        <v>8</v>
      </c>
      <c r="C1116" s="81" t="s">
        <v>144</v>
      </c>
      <c r="D1116" s="81" t="s">
        <v>147</v>
      </c>
      <c r="E1116" s="81" t="s">
        <v>1480</v>
      </c>
      <c r="F1116" s="81" t="s">
        <v>149</v>
      </c>
      <c r="G1116" s="81" t="s">
        <v>1481</v>
      </c>
      <c r="H1116" s="81"/>
      <c r="I1116" s="81"/>
      <c r="J1116" s="81"/>
      <c r="K1116" s="81"/>
      <c r="L1116" s="81"/>
      <c r="M1116" s="82" t="s">
        <v>51</v>
      </c>
      <c r="N1116" s="82"/>
      <c r="O1116" s="82" t="s">
        <v>8</v>
      </c>
      <c r="P1116" s="82"/>
      <c r="Q1116" s="82" t="s">
        <v>1482</v>
      </c>
      <c r="R1116" s="111">
        <v>45705</v>
      </c>
      <c r="S1116" s="82" t="s">
        <v>1483</v>
      </c>
      <c r="T1116" s="81" t="s">
        <v>144</v>
      </c>
      <c r="U1116" s="81" t="s">
        <v>144</v>
      </c>
    </row>
    <row r="1117" spans="1:21" ht="30" x14ac:dyDescent="0.25">
      <c r="A1117" s="81"/>
      <c r="B1117" s="81" t="s">
        <v>8</v>
      </c>
      <c r="C1117" s="81" t="s">
        <v>144</v>
      </c>
      <c r="D1117" s="81" t="s">
        <v>147</v>
      </c>
      <c r="E1117" s="81" t="s">
        <v>1484</v>
      </c>
      <c r="F1117" s="81" t="s">
        <v>164</v>
      </c>
      <c r="G1117" s="81" t="s">
        <v>1485</v>
      </c>
      <c r="H1117" s="81"/>
      <c r="I1117" s="81"/>
      <c r="J1117" s="81"/>
      <c r="K1117" s="81"/>
      <c r="L1117" s="81"/>
      <c r="M1117" s="82" t="s">
        <v>51</v>
      </c>
      <c r="N1117" s="82"/>
      <c r="O1117" s="82" t="s">
        <v>8</v>
      </c>
      <c r="P1117" s="82"/>
      <c r="Q1117" s="82" t="s">
        <v>1486</v>
      </c>
      <c r="R1117" s="111">
        <v>45687</v>
      </c>
      <c r="S1117" s="82" t="s">
        <v>238</v>
      </c>
      <c r="T1117" s="81" t="s">
        <v>144</v>
      </c>
      <c r="U1117" s="81" t="s">
        <v>144</v>
      </c>
    </row>
    <row r="1118" spans="1:21" x14ac:dyDescent="0.25">
      <c r="A1118" s="81"/>
      <c r="B1118" s="81"/>
      <c r="C1118" s="81" t="s">
        <v>144</v>
      </c>
      <c r="D1118" s="81" t="s">
        <v>147</v>
      </c>
      <c r="E1118" s="81" t="s">
        <v>1487</v>
      </c>
      <c r="F1118" s="81" t="s">
        <v>165</v>
      </c>
      <c r="G1118" s="81" t="s">
        <v>1488</v>
      </c>
      <c r="H1118" s="81"/>
      <c r="I1118" s="81"/>
      <c r="J1118" s="81"/>
      <c r="K1118" s="81"/>
      <c r="L1118" s="81"/>
      <c r="M1118" s="82" t="s">
        <v>51</v>
      </c>
      <c r="N1118" s="82"/>
      <c r="O1118" s="82"/>
      <c r="P1118" s="82"/>
      <c r="Q1118" s="82" t="s">
        <v>1489</v>
      </c>
      <c r="R1118" s="111">
        <v>45898</v>
      </c>
      <c r="S1118" s="82" t="s">
        <v>45</v>
      </c>
      <c r="T1118" s="81" t="s">
        <v>144</v>
      </c>
      <c r="U1118" s="81"/>
    </row>
    <row r="1119" spans="1:21" x14ac:dyDescent="0.25">
      <c r="A1119" s="81"/>
      <c r="B1119" s="81"/>
      <c r="C1119" s="81" t="s">
        <v>144</v>
      </c>
      <c r="D1119" s="81" t="s">
        <v>147</v>
      </c>
      <c r="E1119" s="81" t="s">
        <v>1490</v>
      </c>
      <c r="F1119" s="81" t="s">
        <v>165</v>
      </c>
      <c r="G1119" s="81" t="s">
        <v>1491</v>
      </c>
      <c r="H1119" s="81"/>
      <c r="I1119" s="81"/>
      <c r="J1119" s="81"/>
      <c r="K1119" s="81"/>
      <c r="L1119" s="81"/>
      <c r="M1119" s="82" t="s">
        <v>51</v>
      </c>
      <c r="N1119" s="82"/>
      <c r="O1119" s="82"/>
      <c r="P1119" s="82"/>
      <c r="Q1119" s="82" t="s">
        <v>1492</v>
      </c>
      <c r="R1119" s="111">
        <v>45903</v>
      </c>
      <c r="S1119" s="82" t="s">
        <v>20</v>
      </c>
      <c r="T1119" s="81" t="s">
        <v>144</v>
      </c>
      <c r="U1119" s="81"/>
    </row>
    <row r="1120" spans="1:21" ht="30" x14ac:dyDescent="0.25">
      <c r="A1120" s="81"/>
      <c r="B1120" s="81"/>
      <c r="C1120" s="81" t="s">
        <v>144</v>
      </c>
      <c r="D1120" s="81" t="s">
        <v>10</v>
      </c>
      <c r="E1120" s="81" t="s">
        <v>2491</v>
      </c>
      <c r="F1120" s="81" t="s">
        <v>106</v>
      </c>
      <c r="G1120" s="81" t="s">
        <v>2492</v>
      </c>
      <c r="H1120" s="81"/>
      <c r="I1120" s="81"/>
      <c r="J1120" s="81"/>
      <c r="K1120" s="81"/>
      <c r="L1120" s="81"/>
      <c r="M1120" s="82" t="s">
        <v>51</v>
      </c>
      <c r="N1120" s="82"/>
      <c r="O1120" s="82" t="s">
        <v>8</v>
      </c>
      <c r="P1120" s="82"/>
      <c r="Q1120" s="82" t="s">
        <v>2493</v>
      </c>
      <c r="R1120" s="111"/>
      <c r="S1120" s="82"/>
      <c r="T1120" s="81" t="s">
        <v>144</v>
      </c>
      <c r="U1120" s="81" t="s">
        <v>3495</v>
      </c>
    </row>
    <row r="1121" spans="1:21" ht="45" x14ac:dyDescent="0.25">
      <c r="A1121" s="81"/>
      <c r="B1121" s="81"/>
      <c r="C1121" s="81" t="s">
        <v>144</v>
      </c>
      <c r="D1121" s="81" t="s">
        <v>10</v>
      </c>
      <c r="E1121" s="81" t="s">
        <v>2494</v>
      </c>
      <c r="F1121" s="81" t="s">
        <v>160</v>
      </c>
      <c r="G1121" s="81" t="s">
        <v>2495</v>
      </c>
      <c r="H1121" s="81"/>
      <c r="I1121" s="81"/>
      <c r="J1121" s="81"/>
      <c r="K1121" s="81"/>
      <c r="L1121" s="81"/>
      <c r="M1121" s="82" t="s">
        <v>51</v>
      </c>
      <c r="N1121" s="82"/>
      <c r="O1121" s="82" t="s">
        <v>8</v>
      </c>
      <c r="P1121" s="82"/>
      <c r="Q1121" s="82" t="s">
        <v>2496</v>
      </c>
      <c r="R1121" s="111">
        <v>45952</v>
      </c>
      <c r="S1121" s="82" t="s">
        <v>238</v>
      </c>
      <c r="T1121" s="81" t="s">
        <v>144</v>
      </c>
      <c r="U1121" s="81" t="s">
        <v>3408</v>
      </c>
    </row>
    <row r="1122" spans="1:21" x14ac:dyDescent="0.25">
      <c r="A1122" s="81"/>
      <c r="B1122" s="81"/>
      <c r="C1122" s="81" t="s">
        <v>144</v>
      </c>
      <c r="D1122" s="81" t="s">
        <v>10</v>
      </c>
      <c r="E1122" s="81" t="s">
        <v>2497</v>
      </c>
      <c r="F1122" s="81" t="s">
        <v>150</v>
      </c>
      <c r="G1122" s="81" t="s">
        <v>2498</v>
      </c>
      <c r="H1122" s="81"/>
      <c r="I1122" s="81"/>
      <c r="J1122" s="81"/>
      <c r="K1122" s="81"/>
      <c r="L1122" s="81"/>
      <c r="M1122" s="82" t="s">
        <v>51</v>
      </c>
      <c r="N1122" s="82"/>
      <c r="O1122" s="82"/>
      <c r="P1122" s="82"/>
      <c r="Q1122" s="82" t="s">
        <v>2499</v>
      </c>
      <c r="R1122" s="111">
        <v>45947</v>
      </c>
      <c r="S1122" s="82" t="s">
        <v>238</v>
      </c>
      <c r="T1122" s="81" t="s">
        <v>144</v>
      </c>
      <c r="U1122" s="81" t="s">
        <v>3437</v>
      </c>
    </row>
    <row r="1123" spans="1:21" x14ac:dyDescent="0.25">
      <c r="A1123" s="81"/>
      <c r="B1123" s="81"/>
      <c r="C1123" s="81" t="s">
        <v>144</v>
      </c>
      <c r="D1123" s="81" t="s">
        <v>10</v>
      </c>
      <c r="E1123" s="81" t="s">
        <v>2500</v>
      </c>
      <c r="F1123" s="81" t="s">
        <v>150</v>
      </c>
      <c r="G1123" s="81" t="s">
        <v>2501</v>
      </c>
      <c r="H1123" s="81"/>
      <c r="I1123" s="81"/>
      <c r="J1123" s="81"/>
      <c r="K1123" s="81"/>
      <c r="L1123" s="81"/>
      <c r="M1123" s="82" t="s">
        <v>51</v>
      </c>
      <c r="N1123" s="82"/>
      <c r="O1123" s="82"/>
      <c r="P1123" s="82"/>
      <c r="Q1123" s="82" t="s">
        <v>2502</v>
      </c>
      <c r="R1123" s="111">
        <v>45951</v>
      </c>
      <c r="S1123" s="82" t="s">
        <v>238</v>
      </c>
      <c r="T1123" s="81" t="s">
        <v>144</v>
      </c>
      <c r="U1123" s="81" t="s">
        <v>3437</v>
      </c>
    </row>
    <row r="1124" spans="1:21" ht="45" x14ac:dyDescent="0.25">
      <c r="A1124" s="81"/>
      <c r="B1124" s="81"/>
      <c r="C1124" s="81" t="s">
        <v>144</v>
      </c>
      <c r="D1124" s="81" t="s">
        <v>10</v>
      </c>
      <c r="E1124" s="81" t="s">
        <v>2503</v>
      </c>
      <c r="F1124" s="81" t="s">
        <v>3264</v>
      </c>
      <c r="G1124" s="81" t="s">
        <v>2504</v>
      </c>
      <c r="H1124" s="81"/>
      <c r="I1124" s="81"/>
      <c r="J1124" s="81"/>
      <c r="K1124" s="81"/>
      <c r="L1124" s="81"/>
      <c r="M1124" s="82" t="s">
        <v>51</v>
      </c>
      <c r="N1124" s="82"/>
      <c r="O1124" s="82" t="s">
        <v>8</v>
      </c>
      <c r="P1124" s="82"/>
      <c r="Q1124" s="82" t="s">
        <v>2505</v>
      </c>
      <c r="R1124" s="111">
        <v>45946</v>
      </c>
      <c r="S1124" s="82" t="s">
        <v>238</v>
      </c>
      <c r="T1124" s="81" t="s">
        <v>144</v>
      </c>
      <c r="U1124" s="81" t="s">
        <v>3496</v>
      </c>
    </row>
    <row r="1125" spans="1:21" ht="30" x14ac:dyDescent="0.25">
      <c r="A1125" s="81"/>
      <c r="B1125" s="81"/>
      <c r="C1125" s="81" t="s">
        <v>144</v>
      </c>
      <c r="D1125" s="81" t="s">
        <v>10</v>
      </c>
      <c r="E1125" s="81" t="s">
        <v>2506</v>
      </c>
      <c r="F1125" s="81" t="s">
        <v>3313</v>
      </c>
      <c r="G1125" s="81" t="s">
        <v>2507</v>
      </c>
      <c r="H1125" s="81"/>
      <c r="I1125" s="81"/>
      <c r="J1125" s="81"/>
      <c r="K1125" s="81"/>
      <c r="L1125" s="81"/>
      <c r="M1125" s="82" t="s">
        <v>51</v>
      </c>
      <c r="N1125" s="82"/>
      <c r="O1125" s="82"/>
      <c r="P1125" s="82"/>
      <c r="Q1125" s="82" t="s">
        <v>2508</v>
      </c>
      <c r="R1125" s="111">
        <v>45939</v>
      </c>
      <c r="S1125" s="82" t="s">
        <v>238</v>
      </c>
      <c r="T1125" s="81" t="s">
        <v>144</v>
      </c>
      <c r="U1125" s="81" t="s">
        <v>144</v>
      </c>
    </row>
    <row r="1126" spans="1:21" x14ac:dyDescent="0.25">
      <c r="A1126" s="81"/>
      <c r="B1126" s="81"/>
      <c r="C1126" s="81" t="s">
        <v>144</v>
      </c>
      <c r="D1126" s="81" t="s">
        <v>10</v>
      </c>
      <c r="E1126" s="81" t="s">
        <v>2509</v>
      </c>
      <c r="F1126" s="81" t="s">
        <v>150</v>
      </c>
      <c r="G1126" s="81" t="s">
        <v>2510</v>
      </c>
      <c r="H1126" s="81"/>
      <c r="I1126" s="81"/>
      <c r="J1126" s="81"/>
      <c r="K1126" s="81"/>
      <c r="L1126" s="81"/>
      <c r="M1126" s="82" t="s">
        <v>51</v>
      </c>
      <c r="N1126" s="82"/>
      <c r="O1126" s="82"/>
      <c r="P1126" s="82"/>
      <c r="Q1126" s="82" t="s">
        <v>2511</v>
      </c>
      <c r="R1126" s="111">
        <v>45944</v>
      </c>
      <c r="S1126" s="82"/>
      <c r="T1126" s="81" t="s">
        <v>144</v>
      </c>
      <c r="U1126" s="81" t="s">
        <v>3497</v>
      </c>
    </row>
    <row r="1127" spans="1:21" ht="45" x14ac:dyDescent="0.25">
      <c r="A1127" s="81"/>
      <c r="B1127" s="81"/>
      <c r="C1127" s="81" t="s">
        <v>144</v>
      </c>
      <c r="D1127" s="81" t="s">
        <v>10</v>
      </c>
      <c r="E1127" s="81" t="s">
        <v>2512</v>
      </c>
      <c r="F1127" s="81" t="s">
        <v>106</v>
      </c>
      <c r="G1127" s="81" t="s">
        <v>2513</v>
      </c>
      <c r="H1127" s="81"/>
      <c r="I1127" s="81"/>
      <c r="J1127" s="81"/>
      <c r="K1127" s="81"/>
      <c r="L1127" s="81"/>
      <c r="M1127" s="82" t="s">
        <v>51</v>
      </c>
      <c r="N1127" s="82"/>
      <c r="O1127" s="82"/>
      <c r="P1127" s="82"/>
      <c r="Q1127" s="82" t="s">
        <v>2514</v>
      </c>
      <c r="R1127" s="111">
        <v>45937</v>
      </c>
      <c r="S1127" s="82"/>
      <c r="T1127" s="81" t="s">
        <v>144</v>
      </c>
      <c r="U1127" s="81" t="s">
        <v>3438</v>
      </c>
    </row>
    <row r="1128" spans="1:21" x14ac:dyDescent="0.25">
      <c r="A1128" s="81"/>
      <c r="B1128" s="81"/>
      <c r="C1128" s="81" t="s">
        <v>144</v>
      </c>
      <c r="D1128" s="81" t="s">
        <v>10</v>
      </c>
      <c r="E1128" s="81" t="s">
        <v>2515</v>
      </c>
      <c r="F1128" s="81" t="s">
        <v>106</v>
      </c>
      <c r="G1128" s="81" t="s">
        <v>2516</v>
      </c>
      <c r="H1128" s="81"/>
      <c r="I1128" s="81"/>
      <c r="J1128" s="81"/>
      <c r="K1128" s="81"/>
      <c r="L1128" s="81"/>
      <c r="M1128" s="82" t="s">
        <v>51</v>
      </c>
      <c r="N1128" s="82"/>
      <c r="O1128" s="82"/>
      <c r="P1128" s="82"/>
      <c r="Q1128" s="82" t="s">
        <v>2517</v>
      </c>
      <c r="R1128" s="111">
        <v>45937</v>
      </c>
      <c r="S1128" s="82"/>
      <c r="T1128" s="81" t="s">
        <v>144</v>
      </c>
      <c r="U1128" s="81" t="s">
        <v>3439</v>
      </c>
    </row>
    <row r="1129" spans="1:21" ht="30" x14ac:dyDescent="0.25">
      <c r="A1129" s="81"/>
      <c r="B1129" s="81"/>
      <c r="C1129" s="81" t="s">
        <v>144</v>
      </c>
      <c r="D1129" s="81" t="s">
        <v>10</v>
      </c>
      <c r="E1129" s="81" t="s">
        <v>2518</v>
      </c>
      <c r="F1129" s="81" t="s">
        <v>106</v>
      </c>
      <c r="G1129" s="81" t="s">
        <v>2519</v>
      </c>
      <c r="H1129" s="81"/>
      <c r="I1129" s="81"/>
      <c r="J1129" s="81"/>
      <c r="K1129" s="81"/>
      <c r="L1129" s="81"/>
      <c r="M1129" s="82" t="s">
        <v>51</v>
      </c>
      <c r="N1129" s="82"/>
      <c r="O1129" s="82"/>
      <c r="P1129" s="82"/>
      <c r="Q1129" s="82" t="s">
        <v>2520</v>
      </c>
      <c r="R1129" s="111">
        <v>45937</v>
      </c>
      <c r="S1129" s="82"/>
      <c r="T1129" s="81" t="s">
        <v>144</v>
      </c>
      <c r="U1129" s="81" t="s">
        <v>3440</v>
      </c>
    </row>
    <row r="1130" spans="1:21" x14ac:dyDescent="0.25">
      <c r="A1130" s="81"/>
      <c r="B1130" s="81"/>
      <c r="C1130" s="81" t="s">
        <v>144</v>
      </c>
      <c r="D1130" s="81" t="s">
        <v>10</v>
      </c>
      <c r="E1130" s="81" t="s">
        <v>2521</v>
      </c>
      <c r="F1130" s="81" t="s">
        <v>3264</v>
      </c>
      <c r="G1130" s="81" t="s">
        <v>2522</v>
      </c>
      <c r="H1130" s="81"/>
      <c r="I1130" s="81"/>
      <c r="J1130" s="81"/>
      <c r="K1130" s="81"/>
      <c r="L1130" s="81"/>
      <c r="M1130" s="82" t="s">
        <v>51</v>
      </c>
      <c r="N1130" s="82"/>
      <c r="O1130" s="82"/>
      <c r="P1130" s="82"/>
      <c r="Q1130" s="82"/>
      <c r="R1130" s="111"/>
      <c r="S1130" s="82"/>
      <c r="T1130" s="81" t="s">
        <v>144</v>
      </c>
      <c r="U1130" s="81" t="s">
        <v>144</v>
      </c>
    </row>
    <row r="1131" spans="1:21" x14ac:dyDescent="0.25">
      <c r="A1131" s="81"/>
      <c r="B1131" s="81"/>
      <c r="C1131" s="81" t="s">
        <v>144</v>
      </c>
      <c r="D1131" s="81" t="s">
        <v>10</v>
      </c>
      <c r="E1131" s="81" t="s">
        <v>2523</v>
      </c>
      <c r="F1131" s="81" t="s">
        <v>159</v>
      </c>
      <c r="G1131" s="81" t="s">
        <v>2524</v>
      </c>
      <c r="H1131" s="81"/>
      <c r="I1131" s="81"/>
      <c r="J1131" s="81"/>
      <c r="K1131" s="81"/>
      <c r="L1131" s="81"/>
      <c r="M1131" s="82" t="s">
        <v>51</v>
      </c>
      <c r="N1131" s="82"/>
      <c r="O1131" s="82" t="s">
        <v>8</v>
      </c>
      <c r="P1131" s="82"/>
      <c r="Q1131" s="82" t="s">
        <v>2525</v>
      </c>
      <c r="R1131" s="111">
        <v>45929</v>
      </c>
      <c r="S1131" s="82" t="s">
        <v>238</v>
      </c>
      <c r="T1131" s="81" t="s">
        <v>144</v>
      </c>
      <c r="U1131" s="81" t="s">
        <v>3441</v>
      </c>
    </row>
    <row r="1132" spans="1:21" ht="30" x14ac:dyDescent="0.25">
      <c r="A1132" s="81"/>
      <c r="B1132" s="81"/>
      <c r="C1132" s="81" t="s">
        <v>144</v>
      </c>
      <c r="D1132" s="81" t="s">
        <v>10</v>
      </c>
      <c r="E1132" s="81" t="s">
        <v>2526</v>
      </c>
      <c r="F1132" s="81" t="s">
        <v>150</v>
      </c>
      <c r="G1132" s="81" t="s">
        <v>2527</v>
      </c>
      <c r="H1132" s="81"/>
      <c r="I1132" s="81"/>
      <c r="J1132" s="81"/>
      <c r="K1132" s="81"/>
      <c r="L1132" s="81"/>
      <c r="M1132" s="82" t="s">
        <v>51</v>
      </c>
      <c r="N1132" s="82"/>
      <c r="O1132" s="82"/>
      <c r="P1132" s="82"/>
      <c r="Q1132" s="82" t="s">
        <v>2528</v>
      </c>
      <c r="R1132" s="111">
        <v>45915</v>
      </c>
      <c r="S1132" s="82" t="s">
        <v>238</v>
      </c>
      <c r="T1132" s="81" t="s">
        <v>144</v>
      </c>
      <c r="U1132" s="81" t="s">
        <v>3442</v>
      </c>
    </row>
    <row r="1133" spans="1:21" ht="30" x14ac:dyDescent="0.25">
      <c r="A1133" s="81"/>
      <c r="B1133" s="81"/>
      <c r="C1133" s="81" t="s">
        <v>144</v>
      </c>
      <c r="D1133" s="81" t="s">
        <v>10</v>
      </c>
      <c r="E1133" s="81" t="s">
        <v>2529</v>
      </c>
      <c r="F1133" s="81" t="s">
        <v>150</v>
      </c>
      <c r="G1133" s="81" t="s">
        <v>2530</v>
      </c>
      <c r="H1133" s="81"/>
      <c r="I1133" s="81"/>
      <c r="J1133" s="81"/>
      <c r="K1133" s="81"/>
      <c r="L1133" s="81"/>
      <c r="M1133" s="82" t="s">
        <v>51</v>
      </c>
      <c r="N1133" s="82"/>
      <c r="O1133" s="82"/>
      <c r="P1133" s="82"/>
      <c r="Q1133" s="82" t="s">
        <v>2528</v>
      </c>
      <c r="R1133" s="111">
        <v>45915</v>
      </c>
      <c r="S1133" s="82" t="s">
        <v>238</v>
      </c>
      <c r="T1133" s="81" t="s">
        <v>144</v>
      </c>
      <c r="U1133" s="81" t="s">
        <v>3443</v>
      </c>
    </row>
    <row r="1134" spans="1:21" ht="30" x14ac:dyDescent="0.25">
      <c r="A1134" s="81"/>
      <c r="B1134" s="81"/>
      <c r="C1134" s="81" t="s">
        <v>144</v>
      </c>
      <c r="D1134" s="81" t="s">
        <v>10</v>
      </c>
      <c r="E1134" s="81" t="s">
        <v>2531</v>
      </c>
      <c r="F1134" s="81" t="s">
        <v>157</v>
      </c>
      <c r="G1134" s="81" t="s">
        <v>2532</v>
      </c>
      <c r="H1134" s="81"/>
      <c r="I1134" s="81"/>
      <c r="J1134" s="81"/>
      <c r="K1134" s="81"/>
      <c r="L1134" s="81"/>
      <c r="M1134" s="82" t="s">
        <v>51</v>
      </c>
      <c r="N1134" s="82"/>
      <c r="O1134" s="82"/>
      <c r="P1134" s="82"/>
      <c r="Q1134" s="82" t="s">
        <v>2533</v>
      </c>
      <c r="R1134" s="111">
        <v>45917</v>
      </c>
      <c r="S1134" s="82" t="s">
        <v>238</v>
      </c>
      <c r="T1134" s="81" t="s">
        <v>144</v>
      </c>
      <c r="U1134" s="81" t="s">
        <v>3444</v>
      </c>
    </row>
    <row r="1135" spans="1:21" ht="60" x14ac:dyDescent="0.25">
      <c r="A1135" s="81"/>
      <c r="B1135" s="81"/>
      <c r="C1135" s="81" t="s">
        <v>144</v>
      </c>
      <c r="D1135" s="81" t="s">
        <v>10</v>
      </c>
      <c r="E1135" s="81" t="s">
        <v>2534</v>
      </c>
      <c r="F1135" s="81" t="s">
        <v>3264</v>
      </c>
      <c r="G1135" s="81" t="s">
        <v>2535</v>
      </c>
      <c r="H1135" s="81"/>
      <c r="I1135" s="81"/>
      <c r="J1135" s="81"/>
      <c r="K1135" s="81"/>
      <c r="L1135" s="81"/>
      <c r="M1135" s="82" t="s">
        <v>51</v>
      </c>
      <c r="N1135" s="82"/>
      <c r="O1135" s="82"/>
      <c r="P1135" s="82"/>
      <c r="Q1135" s="82" t="s">
        <v>2536</v>
      </c>
      <c r="R1135" s="111">
        <v>45916</v>
      </c>
      <c r="S1135" s="82" t="s">
        <v>238</v>
      </c>
      <c r="T1135" s="81" t="s">
        <v>144</v>
      </c>
      <c r="U1135" s="81" t="s">
        <v>144</v>
      </c>
    </row>
    <row r="1136" spans="1:21" ht="45" x14ac:dyDescent="0.25">
      <c r="A1136" s="81"/>
      <c r="B1136" s="81"/>
      <c r="C1136" s="81" t="s">
        <v>144</v>
      </c>
      <c r="D1136" s="81" t="s">
        <v>10</v>
      </c>
      <c r="E1136" s="81" t="s">
        <v>2537</v>
      </c>
      <c r="F1136" s="81" t="s">
        <v>3264</v>
      </c>
      <c r="G1136" s="81" t="s">
        <v>2538</v>
      </c>
      <c r="H1136" s="81"/>
      <c r="I1136" s="81"/>
      <c r="J1136" s="81"/>
      <c r="K1136" s="81"/>
      <c r="L1136" s="81"/>
      <c r="M1136" s="82" t="s">
        <v>51</v>
      </c>
      <c r="N1136" s="82"/>
      <c r="O1136" s="82"/>
      <c r="P1136" s="82"/>
      <c r="Q1136" s="82" t="s">
        <v>2539</v>
      </c>
      <c r="R1136" s="111">
        <v>45912</v>
      </c>
      <c r="S1136" s="82" t="s">
        <v>238</v>
      </c>
      <c r="T1136" s="81" t="s">
        <v>144</v>
      </c>
      <c r="U1136" s="81" t="s">
        <v>3445</v>
      </c>
    </row>
    <row r="1137" spans="1:21" x14ac:dyDescent="0.25">
      <c r="A1137" s="81"/>
      <c r="B1137" s="81"/>
      <c r="C1137" s="81" t="s">
        <v>144</v>
      </c>
      <c r="D1137" s="81" t="s">
        <v>10</v>
      </c>
      <c r="E1137" s="81" t="s">
        <v>2540</v>
      </c>
      <c r="F1137" s="81" t="s">
        <v>3264</v>
      </c>
      <c r="G1137" s="81" t="s">
        <v>2541</v>
      </c>
      <c r="H1137" s="81"/>
      <c r="I1137" s="81"/>
      <c r="J1137" s="81"/>
      <c r="K1137" s="81"/>
      <c r="L1137" s="81"/>
      <c r="M1137" s="82" t="s">
        <v>51</v>
      </c>
      <c r="N1137" s="82"/>
      <c r="O1137" s="82"/>
      <c r="P1137" s="82"/>
      <c r="Q1137" s="82" t="s">
        <v>2542</v>
      </c>
      <c r="R1137" s="111">
        <v>45905</v>
      </c>
      <c r="S1137" s="82" t="s">
        <v>238</v>
      </c>
      <c r="T1137" s="81" t="s">
        <v>144</v>
      </c>
      <c r="U1137" s="81" t="s">
        <v>144</v>
      </c>
    </row>
    <row r="1138" spans="1:21" x14ac:dyDescent="0.25">
      <c r="A1138" s="81"/>
      <c r="B1138" s="81"/>
      <c r="C1138" s="81" t="s">
        <v>144</v>
      </c>
      <c r="D1138" s="81" t="s">
        <v>10</v>
      </c>
      <c r="E1138" s="81" t="s">
        <v>2543</v>
      </c>
      <c r="F1138" s="81" t="s">
        <v>150</v>
      </c>
      <c r="G1138" s="81" t="s">
        <v>2544</v>
      </c>
      <c r="H1138" s="81"/>
      <c r="I1138" s="81"/>
      <c r="J1138" s="81"/>
      <c r="K1138" s="81"/>
      <c r="L1138" s="81"/>
      <c r="M1138" s="82" t="s">
        <v>51</v>
      </c>
      <c r="N1138" s="82"/>
      <c r="O1138" s="82"/>
      <c r="P1138" s="82"/>
      <c r="Q1138" s="82"/>
      <c r="R1138" s="111">
        <v>45905</v>
      </c>
      <c r="S1138" s="82" t="s">
        <v>238</v>
      </c>
      <c r="T1138" s="81" t="s">
        <v>144</v>
      </c>
      <c r="U1138" s="81" t="s">
        <v>3446</v>
      </c>
    </row>
    <row r="1139" spans="1:21" ht="30" x14ac:dyDescent="0.25">
      <c r="A1139" s="81"/>
      <c r="B1139" s="81"/>
      <c r="C1139" s="81" t="s">
        <v>144</v>
      </c>
      <c r="D1139" s="81" t="s">
        <v>10</v>
      </c>
      <c r="E1139" s="81" t="s">
        <v>2545</v>
      </c>
      <c r="F1139" s="81" t="s">
        <v>3264</v>
      </c>
      <c r="G1139" s="81" t="s">
        <v>2546</v>
      </c>
      <c r="H1139" s="81"/>
      <c r="I1139" s="81"/>
      <c r="J1139" s="81"/>
      <c r="K1139" s="81"/>
      <c r="L1139" s="81"/>
      <c r="M1139" s="82" t="s">
        <v>51</v>
      </c>
      <c r="N1139" s="82"/>
      <c r="O1139" s="82"/>
      <c r="P1139" s="82"/>
      <c r="Q1139" s="82" t="s">
        <v>2547</v>
      </c>
      <c r="R1139" s="111">
        <v>45896</v>
      </c>
      <c r="S1139" s="82" t="s">
        <v>238</v>
      </c>
      <c r="T1139" s="81" t="s">
        <v>144</v>
      </c>
      <c r="U1139" s="81" t="s">
        <v>144</v>
      </c>
    </row>
    <row r="1140" spans="1:21" ht="60" x14ac:dyDescent="0.25">
      <c r="A1140" s="81"/>
      <c r="B1140" s="81"/>
      <c r="C1140" s="81" t="s">
        <v>144</v>
      </c>
      <c r="D1140" s="81" t="s">
        <v>10</v>
      </c>
      <c r="E1140" s="81" t="s">
        <v>2548</v>
      </c>
      <c r="F1140" s="81" t="s">
        <v>160</v>
      </c>
      <c r="G1140" s="81" t="s">
        <v>2549</v>
      </c>
      <c r="H1140" s="81"/>
      <c r="I1140" s="81"/>
      <c r="J1140" s="81"/>
      <c r="K1140" s="81"/>
      <c r="L1140" s="81"/>
      <c r="M1140" s="82" t="s">
        <v>51</v>
      </c>
      <c r="N1140" s="82"/>
      <c r="O1140" s="82" t="s">
        <v>8</v>
      </c>
      <c r="P1140" s="82"/>
      <c r="Q1140" s="82" t="s">
        <v>2550</v>
      </c>
      <c r="R1140" s="111">
        <v>45866</v>
      </c>
      <c r="S1140" s="82" t="s">
        <v>9</v>
      </c>
      <c r="T1140" s="81" t="s">
        <v>144</v>
      </c>
      <c r="U1140" s="81" t="s">
        <v>144</v>
      </c>
    </row>
    <row r="1141" spans="1:21" ht="30" x14ac:dyDescent="0.25">
      <c r="A1141" s="81"/>
      <c r="B1141" s="81">
        <v>3</v>
      </c>
      <c r="C1141" s="81" t="s">
        <v>144</v>
      </c>
      <c r="D1141" s="81" t="s">
        <v>10</v>
      </c>
      <c r="E1141" s="81" t="s">
        <v>2551</v>
      </c>
      <c r="F1141" s="81" t="s">
        <v>203</v>
      </c>
      <c r="G1141" s="81" t="s">
        <v>2552</v>
      </c>
      <c r="H1141" s="81"/>
      <c r="I1141" s="81"/>
      <c r="J1141" s="81"/>
      <c r="K1141" s="81"/>
      <c r="L1141" s="81"/>
      <c r="M1141" s="82" t="s">
        <v>51</v>
      </c>
      <c r="N1141" s="82" t="s">
        <v>8</v>
      </c>
      <c r="O1141" s="82"/>
      <c r="P1141" s="82"/>
      <c r="Q1141" s="82" t="s">
        <v>2553</v>
      </c>
      <c r="R1141" s="111">
        <v>45856</v>
      </c>
      <c r="S1141" s="82" t="s">
        <v>23</v>
      </c>
      <c r="T1141" s="81" t="s">
        <v>144</v>
      </c>
      <c r="U1141" s="81" t="s">
        <v>3409</v>
      </c>
    </row>
    <row r="1142" spans="1:21" ht="30" x14ac:dyDescent="0.25">
      <c r="A1142" s="81"/>
      <c r="B1142" s="81"/>
      <c r="C1142" s="81" t="s">
        <v>144</v>
      </c>
      <c r="D1142" s="81" t="s">
        <v>10</v>
      </c>
      <c r="E1142" s="81" t="s">
        <v>119</v>
      </c>
      <c r="F1142" s="81" t="s">
        <v>160</v>
      </c>
      <c r="G1142" s="81" t="s">
        <v>2554</v>
      </c>
      <c r="H1142" s="81"/>
      <c r="I1142" s="81"/>
      <c r="J1142" s="81"/>
      <c r="K1142" s="81"/>
      <c r="L1142" s="81"/>
      <c r="M1142" s="82" t="s">
        <v>51</v>
      </c>
      <c r="N1142" s="82"/>
      <c r="O1142" s="82" t="s">
        <v>8</v>
      </c>
      <c r="P1142" s="82"/>
      <c r="Q1142" s="82" t="s">
        <v>124</v>
      </c>
      <c r="R1142" s="111">
        <v>45846</v>
      </c>
      <c r="S1142" s="82" t="s">
        <v>45</v>
      </c>
      <c r="T1142" s="81" t="s">
        <v>144</v>
      </c>
      <c r="U1142" s="81" t="s">
        <v>3447</v>
      </c>
    </row>
    <row r="1143" spans="1:21" ht="30" x14ac:dyDescent="0.25">
      <c r="A1143" s="81"/>
      <c r="B1143" s="81">
        <v>2</v>
      </c>
      <c r="C1143" s="81" t="s">
        <v>144</v>
      </c>
      <c r="D1143" s="81" t="s">
        <v>10</v>
      </c>
      <c r="E1143" s="81" t="s">
        <v>68</v>
      </c>
      <c r="F1143" s="81" t="s">
        <v>159</v>
      </c>
      <c r="G1143" s="81" t="s">
        <v>2555</v>
      </c>
      <c r="H1143" s="81"/>
      <c r="I1143" s="81"/>
      <c r="J1143" s="81"/>
      <c r="K1143" s="81"/>
      <c r="L1143" s="81"/>
      <c r="M1143" s="82" t="s">
        <v>51</v>
      </c>
      <c r="N1143" s="82"/>
      <c r="O1143" s="82"/>
      <c r="P1143" s="82"/>
      <c r="Q1143" s="82" t="s">
        <v>128</v>
      </c>
      <c r="R1143" s="111">
        <v>45855</v>
      </c>
      <c r="S1143" s="82" t="s">
        <v>20</v>
      </c>
      <c r="T1143" s="81" t="s">
        <v>144</v>
      </c>
      <c r="U1143" s="81" t="s">
        <v>3448</v>
      </c>
    </row>
    <row r="1144" spans="1:21" ht="75" x14ac:dyDescent="0.25">
      <c r="A1144" s="81"/>
      <c r="B1144" s="81"/>
      <c r="C1144" s="81" t="s">
        <v>144</v>
      </c>
      <c r="D1144" s="81" t="s">
        <v>10</v>
      </c>
      <c r="E1144" s="81" t="s">
        <v>2556</v>
      </c>
      <c r="F1144" s="81" t="s">
        <v>150</v>
      </c>
      <c r="G1144" s="81" t="s">
        <v>2557</v>
      </c>
      <c r="H1144" s="81"/>
      <c r="I1144" s="81"/>
      <c r="J1144" s="81"/>
      <c r="K1144" s="81"/>
      <c r="L1144" s="81"/>
      <c r="M1144" s="82" t="s">
        <v>51</v>
      </c>
      <c r="N1144" s="82"/>
      <c r="O1144" s="82"/>
      <c r="P1144" s="82"/>
      <c r="Q1144" s="82" t="s">
        <v>2558</v>
      </c>
      <c r="R1144" s="111">
        <v>45846</v>
      </c>
      <c r="S1144" s="82" t="s">
        <v>23</v>
      </c>
      <c r="T1144" s="81" t="s">
        <v>144</v>
      </c>
      <c r="U1144" s="81" t="s">
        <v>3449</v>
      </c>
    </row>
    <row r="1145" spans="1:21" ht="120" x14ac:dyDescent="0.25">
      <c r="A1145" s="81"/>
      <c r="B1145" s="81"/>
      <c r="C1145" s="81" t="s">
        <v>144</v>
      </c>
      <c r="D1145" s="81" t="s">
        <v>10</v>
      </c>
      <c r="E1145" s="81" t="s">
        <v>2559</v>
      </c>
      <c r="F1145" s="81" t="s">
        <v>167</v>
      </c>
      <c r="G1145" s="81" t="s">
        <v>2560</v>
      </c>
      <c r="H1145" s="81"/>
      <c r="I1145" s="81"/>
      <c r="J1145" s="81"/>
      <c r="K1145" s="81"/>
      <c r="L1145" s="81"/>
      <c r="M1145" s="82" t="s">
        <v>51</v>
      </c>
      <c r="N1145" s="82"/>
      <c r="O1145" s="82"/>
      <c r="P1145" s="82"/>
      <c r="Q1145" s="82" t="s">
        <v>2561</v>
      </c>
      <c r="R1145" s="111">
        <v>45838</v>
      </c>
      <c r="S1145" s="82" t="s">
        <v>2562</v>
      </c>
      <c r="T1145" s="81" t="s">
        <v>144</v>
      </c>
      <c r="U1145" s="81" t="s">
        <v>3450</v>
      </c>
    </row>
    <row r="1146" spans="1:21" ht="30" x14ac:dyDescent="0.25">
      <c r="A1146" s="81"/>
      <c r="B1146" s="81">
        <v>2</v>
      </c>
      <c r="C1146" s="81" t="s">
        <v>144</v>
      </c>
      <c r="D1146" s="81" t="s">
        <v>10</v>
      </c>
      <c r="E1146" s="81" t="s">
        <v>2563</v>
      </c>
      <c r="F1146" s="81" t="s">
        <v>159</v>
      </c>
      <c r="G1146" s="81" t="s">
        <v>2564</v>
      </c>
      <c r="H1146" s="81"/>
      <c r="I1146" s="81"/>
      <c r="J1146" s="81"/>
      <c r="K1146" s="81"/>
      <c r="L1146" s="81"/>
      <c r="M1146" s="82" t="s">
        <v>51</v>
      </c>
      <c r="N1146" s="82"/>
      <c r="O1146" s="82"/>
      <c r="P1146" s="82"/>
      <c r="Q1146" s="82" t="s">
        <v>2565</v>
      </c>
      <c r="R1146" s="111">
        <v>45824</v>
      </c>
      <c r="S1146" s="82" t="s">
        <v>45</v>
      </c>
      <c r="T1146" s="81" t="s">
        <v>144</v>
      </c>
      <c r="U1146" s="81" t="s">
        <v>3451</v>
      </c>
    </row>
    <row r="1147" spans="1:21" ht="45" x14ac:dyDescent="0.25">
      <c r="A1147" s="81"/>
      <c r="B1147" s="81">
        <v>3</v>
      </c>
      <c r="C1147" s="81" t="s">
        <v>144</v>
      </c>
      <c r="D1147" s="81" t="s">
        <v>10</v>
      </c>
      <c r="E1147" s="81" t="s">
        <v>2566</v>
      </c>
      <c r="F1147" s="81" t="s">
        <v>168</v>
      </c>
      <c r="G1147" s="81" t="s">
        <v>2567</v>
      </c>
      <c r="H1147" s="81"/>
      <c r="I1147" s="81"/>
      <c r="J1147" s="81"/>
      <c r="K1147" s="81"/>
      <c r="L1147" s="81"/>
      <c r="M1147" s="82" t="s">
        <v>51</v>
      </c>
      <c r="N1147" s="82"/>
      <c r="O1147" s="82" t="s">
        <v>8</v>
      </c>
      <c r="P1147" s="82" t="s">
        <v>8</v>
      </c>
      <c r="Q1147" s="82" t="s">
        <v>2568</v>
      </c>
      <c r="R1147" s="111">
        <v>45824</v>
      </c>
      <c r="S1147" s="82" t="s">
        <v>9</v>
      </c>
      <c r="T1147" s="81" t="s">
        <v>144</v>
      </c>
      <c r="U1147" s="81" t="s">
        <v>3452</v>
      </c>
    </row>
    <row r="1148" spans="1:21" ht="30" x14ac:dyDescent="0.25">
      <c r="A1148" s="81"/>
      <c r="B1148" s="81">
        <v>2</v>
      </c>
      <c r="C1148" s="81" t="s">
        <v>144</v>
      </c>
      <c r="D1148" s="81" t="s">
        <v>10</v>
      </c>
      <c r="E1148" s="81" t="s">
        <v>2569</v>
      </c>
      <c r="F1148" s="81" t="s">
        <v>160</v>
      </c>
      <c r="G1148" s="81" t="s">
        <v>2570</v>
      </c>
      <c r="H1148" s="81"/>
      <c r="I1148" s="81"/>
      <c r="J1148" s="81"/>
      <c r="K1148" s="81"/>
      <c r="L1148" s="81"/>
      <c r="M1148" s="82" t="s">
        <v>51</v>
      </c>
      <c r="N1148" s="82" t="s">
        <v>8</v>
      </c>
      <c r="O1148" s="82"/>
      <c r="P1148" s="82"/>
      <c r="Q1148" s="82" t="s">
        <v>2571</v>
      </c>
      <c r="R1148" s="111">
        <v>45782</v>
      </c>
      <c r="S1148" s="82" t="s">
        <v>623</v>
      </c>
      <c r="T1148" s="81" t="s">
        <v>144</v>
      </c>
      <c r="U1148" s="81" t="s">
        <v>3453</v>
      </c>
    </row>
    <row r="1149" spans="1:21" ht="30" x14ac:dyDescent="0.25">
      <c r="A1149" s="81"/>
      <c r="B1149" s="81">
        <v>2</v>
      </c>
      <c r="C1149" s="81" t="s">
        <v>144</v>
      </c>
      <c r="D1149" s="81" t="s">
        <v>10</v>
      </c>
      <c r="E1149" s="81" t="s">
        <v>2572</v>
      </c>
      <c r="F1149" s="81" t="s">
        <v>160</v>
      </c>
      <c r="G1149" s="81" t="s">
        <v>2573</v>
      </c>
      <c r="H1149" s="81"/>
      <c r="I1149" s="81"/>
      <c r="J1149" s="81"/>
      <c r="K1149" s="81"/>
      <c r="L1149" s="81"/>
      <c r="M1149" s="82" t="s">
        <v>51</v>
      </c>
      <c r="N1149" s="82" t="s">
        <v>8</v>
      </c>
      <c r="O1149" s="82"/>
      <c r="P1149" s="82"/>
      <c r="Q1149" s="82" t="s">
        <v>2571</v>
      </c>
      <c r="R1149" s="111">
        <v>45782</v>
      </c>
      <c r="S1149" s="82" t="s">
        <v>623</v>
      </c>
      <c r="T1149" s="81" t="s">
        <v>144</v>
      </c>
      <c r="U1149" s="81" t="s">
        <v>3454</v>
      </c>
    </row>
    <row r="1150" spans="1:21" ht="135" x14ac:dyDescent="0.25">
      <c r="A1150" s="81"/>
      <c r="B1150" s="81">
        <v>1</v>
      </c>
      <c r="C1150" s="81" t="s">
        <v>144</v>
      </c>
      <c r="D1150" s="81" t="s">
        <v>10</v>
      </c>
      <c r="E1150" s="81" t="s">
        <v>2574</v>
      </c>
      <c r="F1150" s="81" t="s">
        <v>160</v>
      </c>
      <c r="G1150" s="81" t="s">
        <v>2575</v>
      </c>
      <c r="H1150" s="81"/>
      <c r="I1150" s="81"/>
      <c r="J1150" s="81"/>
      <c r="K1150" s="81"/>
      <c r="L1150" s="81"/>
      <c r="M1150" s="82" t="s">
        <v>51</v>
      </c>
      <c r="N1150" s="82" t="s">
        <v>8</v>
      </c>
      <c r="O1150" s="82"/>
      <c r="P1150" s="82"/>
      <c r="Q1150" s="82" t="s">
        <v>108</v>
      </c>
      <c r="R1150" s="111">
        <v>45817</v>
      </c>
      <c r="S1150" s="82" t="s">
        <v>107</v>
      </c>
      <c r="T1150" s="81" t="s">
        <v>144</v>
      </c>
      <c r="U1150" s="81" t="s">
        <v>144</v>
      </c>
    </row>
    <row r="1151" spans="1:21" ht="30" x14ac:dyDescent="0.25">
      <c r="A1151" s="81"/>
      <c r="B1151" s="81">
        <v>2</v>
      </c>
      <c r="C1151" s="81" t="s">
        <v>144</v>
      </c>
      <c r="D1151" s="81" t="s">
        <v>10</v>
      </c>
      <c r="E1151" s="81" t="s">
        <v>59</v>
      </c>
      <c r="F1151" s="81" t="s">
        <v>157</v>
      </c>
      <c r="G1151" s="81" t="s">
        <v>2576</v>
      </c>
      <c r="H1151" s="81"/>
      <c r="I1151" s="81"/>
      <c r="J1151" s="81"/>
      <c r="K1151" s="81"/>
      <c r="L1151" s="81"/>
      <c r="M1151" s="82" t="s">
        <v>51</v>
      </c>
      <c r="N1151" s="82"/>
      <c r="O1151" s="82" t="s">
        <v>8</v>
      </c>
      <c r="P1151" s="82" t="s">
        <v>8</v>
      </c>
      <c r="Q1151" s="82" t="s">
        <v>104</v>
      </c>
      <c r="R1151" s="111">
        <v>45814</v>
      </c>
      <c r="S1151" s="82" t="s">
        <v>9</v>
      </c>
      <c r="T1151" s="81" t="s">
        <v>144</v>
      </c>
      <c r="U1151" s="81" t="s">
        <v>3455</v>
      </c>
    </row>
    <row r="1152" spans="1:21" ht="45" x14ac:dyDescent="0.25">
      <c r="A1152" s="81"/>
      <c r="B1152" s="81">
        <v>3</v>
      </c>
      <c r="C1152" s="81" t="s">
        <v>144</v>
      </c>
      <c r="D1152" s="81" t="s">
        <v>10</v>
      </c>
      <c r="E1152" s="81" t="s">
        <v>2577</v>
      </c>
      <c r="F1152" s="81" t="s">
        <v>200</v>
      </c>
      <c r="G1152" s="81" t="s">
        <v>2578</v>
      </c>
      <c r="H1152" s="81"/>
      <c r="I1152" s="81"/>
      <c r="J1152" s="81"/>
      <c r="K1152" s="81"/>
      <c r="L1152" s="81"/>
      <c r="M1152" s="82" t="s">
        <v>51</v>
      </c>
      <c r="N1152" s="82"/>
      <c r="O1152" s="82"/>
      <c r="P1152" s="82"/>
      <c r="Q1152" s="82" t="s">
        <v>2579</v>
      </c>
      <c r="R1152" s="111"/>
      <c r="S1152" s="82"/>
      <c r="T1152" s="81" t="s">
        <v>144</v>
      </c>
      <c r="U1152" s="81" t="s">
        <v>3456</v>
      </c>
    </row>
    <row r="1153" spans="1:21" ht="30" x14ac:dyDescent="0.25">
      <c r="A1153" s="81"/>
      <c r="B1153" s="81">
        <v>4</v>
      </c>
      <c r="C1153" s="81" t="s">
        <v>144</v>
      </c>
      <c r="D1153" s="81" t="s">
        <v>10</v>
      </c>
      <c r="E1153" s="81" t="s">
        <v>2580</v>
      </c>
      <c r="F1153" s="81" t="s">
        <v>199</v>
      </c>
      <c r="G1153" s="81" t="s">
        <v>2581</v>
      </c>
      <c r="H1153" s="81"/>
      <c r="I1153" s="81"/>
      <c r="J1153" s="81"/>
      <c r="K1153" s="81"/>
      <c r="L1153" s="81"/>
      <c r="M1153" s="82" t="s">
        <v>51</v>
      </c>
      <c r="N1153" s="82"/>
      <c r="O1153" s="82"/>
      <c r="P1153" s="82"/>
      <c r="Q1153" s="82" t="s">
        <v>2582</v>
      </c>
      <c r="R1153" s="111">
        <v>45791</v>
      </c>
      <c r="S1153" s="82" t="s">
        <v>23</v>
      </c>
      <c r="T1153" s="81" t="s">
        <v>144</v>
      </c>
      <c r="U1153" s="81" t="s">
        <v>3457</v>
      </c>
    </row>
    <row r="1154" spans="1:21" ht="30" x14ac:dyDescent="0.25">
      <c r="A1154" s="81"/>
      <c r="B1154" s="81">
        <v>4</v>
      </c>
      <c r="C1154" s="81" t="s">
        <v>144</v>
      </c>
      <c r="D1154" s="81" t="s">
        <v>10</v>
      </c>
      <c r="E1154" s="81" t="s">
        <v>2583</v>
      </c>
      <c r="F1154" s="81" t="s">
        <v>168</v>
      </c>
      <c r="G1154" s="81" t="s">
        <v>2584</v>
      </c>
      <c r="H1154" s="81"/>
      <c r="I1154" s="81"/>
      <c r="J1154" s="81"/>
      <c r="K1154" s="81"/>
      <c r="L1154" s="81"/>
      <c r="M1154" s="82" t="s">
        <v>51</v>
      </c>
      <c r="N1154" s="82" t="s">
        <v>8</v>
      </c>
      <c r="O1154" s="82"/>
      <c r="P1154" s="82"/>
      <c r="Q1154" s="82" t="s">
        <v>2585</v>
      </c>
      <c r="R1154" s="111"/>
      <c r="S1154" s="82"/>
      <c r="T1154" s="81" t="s">
        <v>144</v>
      </c>
      <c r="U1154" s="81" t="s">
        <v>3458</v>
      </c>
    </row>
    <row r="1155" spans="1:21" ht="30" x14ac:dyDescent="0.25">
      <c r="A1155" s="81"/>
      <c r="B1155" s="81">
        <v>4</v>
      </c>
      <c r="C1155" s="81" t="s">
        <v>144</v>
      </c>
      <c r="D1155" s="81" t="s">
        <v>10</v>
      </c>
      <c r="E1155" s="81" t="s">
        <v>2586</v>
      </c>
      <c r="F1155" s="81" t="s">
        <v>167</v>
      </c>
      <c r="G1155" s="81" t="s">
        <v>2587</v>
      </c>
      <c r="H1155" s="81"/>
      <c r="I1155" s="81"/>
      <c r="J1155" s="81"/>
      <c r="K1155" s="81"/>
      <c r="L1155" s="81"/>
      <c r="M1155" s="82" t="s">
        <v>51</v>
      </c>
      <c r="N1155" s="82"/>
      <c r="O1155" s="82"/>
      <c r="P1155" s="82"/>
      <c r="Q1155" s="82"/>
      <c r="R1155" s="111"/>
      <c r="S1155" s="82"/>
      <c r="T1155" s="81" t="s">
        <v>144</v>
      </c>
      <c r="U1155" s="81" t="s">
        <v>3459</v>
      </c>
    </row>
    <row r="1156" spans="1:21" ht="30" x14ac:dyDescent="0.25">
      <c r="A1156" s="81"/>
      <c r="B1156" s="81">
        <v>4</v>
      </c>
      <c r="C1156" s="81" t="s">
        <v>144</v>
      </c>
      <c r="D1156" s="81" t="s">
        <v>10</v>
      </c>
      <c r="E1156" s="81" t="s">
        <v>2588</v>
      </c>
      <c r="F1156" s="81" t="s">
        <v>201</v>
      </c>
      <c r="G1156" s="81" t="s">
        <v>2589</v>
      </c>
      <c r="H1156" s="81"/>
      <c r="I1156" s="81"/>
      <c r="J1156" s="81"/>
      <c r="K1156" s="81"/>
      <c r="L1156" s="81"/>
      <c r="M1156" s="82" t="s">
        <v>51</v>
      </c>
      <c r="N1156" s="82" t="s">
        <v>8</v>
      </c>
      <c r="O1156" s="82"/>
      <c r="P1156" s="82"/>
      <c r="Q1156" s="82" t="s">
        <v>2590</v>
      </c>
      <c r="R1156" s="111">
        <v>45775</v>
      </c>
      <c r="S1156" s="82" t="s">
        <v>242</v>
      </c>
      <c r="T1156" s="81" t="s">
        <v>144</v>
      </c>
      <c r="U1156" s="81" t="s">
        <v>3460</v>
      </c>
    </row>
    <row r="1157" spans="1:21" x14ac:dyDescent="0.25">
      <c r="A1157" s="81"/>
      <c r="B1157" s="81">
        <v>4</v>
      </c>
      <c r="C1157" s="81" t="s">
        <v>144</v>
      </c>
      <c r="D1157" s="81" t="s">
        <v>10</v>
      </c>
      <c r="E1157" s="81" t="s">
        <v>2591</v>
      </c>
      <c r="F1157" s="81" t="s">
        <v>203</v>
      </c>
      <c r="G1157" s="81" t="s">
        <v>2592</v>
      </c>
      <c r="H1157" s="81"/>
      <c r="I1157" s="81"/>
      <c r="J1157" s="81"/>
      <c r="K1157" s="81"/>
      <c r="L1157" s="81"/>
      <c r="M1157" s="82" t="s">
        <v>51</v>
      </c>
      <c r="N1157" s="82"/>
      <c r="O1157" s="82"/>
      <c r="P1157" s="82"/>
      <c r="Q1157" s="82" t="s">
        <v>2593</v>
      </c>
      <c r="R1157" s="111"/>
      <c r="S1157" s="82"/>
      <c r="T1157" s="81" t="s">
        <v>144</v>
      </c>
      <c r="U1157" s="81" t="s">
        <v>3358</v>
      </c>
    </row>
    <row r="1158" spans="1:21" ht="30" x14ac:dyDescent="0.25">
      <c r="A1158" s="81"/>
      <c r="B1158" s="81">
        <v>4</v>
      </c>
      <c r="C1158" s="81" t="s">
        <v>144</v>
      </c>
      <c r="D1158" s="81" t="s">
        <v>10</v>
      </c>
      <c r="E1158" s="81" t="s">
        <v>2594</v>
      </c>
      <c r="F1158" s="81" t="s">
        <v>159</v>
      </c>
      <c r="G1158" s="81" t="s">
        <v>2595</v>
      </c>
      <c r="H1158" s="81"/>
      <c r="I1158" s="81"/>
      <c r="J1158" s="81"/>
      <c r="K1158" s="81"/>
      <c r="L1158" s="81"/>
      <c r="M1158" s="82" t="s">
        <v>51</v>
      </c>
      <c r="N1158" s="82"/>
      <c r="O1158" s="82"/>
      <c r="P1158" s="82"/>
      <c r="Q1158" s="82" t="s">
        <v>2596</v>
      </c>
      <c r="R1158" s="111">
        <v>45715</v>
      </c>
      <c r="S1158" s="82" t="s">
        <v>11</v>
      </c>
      <c r="T1158" s="81" t="s">
        <v>144</v>
      </c>
      <c r="U1158" s="81" t="s">
        <v>144</v>
      </c>
    </row>
    <row r="1159" spans="1:21" ht="45" x14ac:dyDescent="0.25">
      <c r="A1159" s="81"/>
      <c r="B1159" s="81">
        <v>4</v>
      </c>
      <c r="C1159" s="81" t="s">
        <v>144</v>
      </c>
      <c r="D1159" s="81" t="s">
        <v>10</v>
      </c>
      <c r="E1159" s="81" t="s">
        <v>2597</v>
      </c>
      <c r="F1159" s="81" t="s">
        <v>159</v>
      </c>
      <c r="G1159" s="81" t="s">
        <v>2598</v>
      </c>
      <c r="H1159" s="81"/>
      <c r="I1159" s="81"/>
      <c r="J1159" s="81"/>
      <c r="K1159" s="81"/>
      <c r="L1159" s="81"/>
      <c r="M1159" s="82" t="s">
        <v>51</v>
      </c>
      <c r="N1159" s="82"/>
      <c r="O1159" s="82"/>
      <c r="P1159" s="82"/>
      <c r="Q1159" s="82" t="s">
        <v>2599</v>
      </c>
      <c r="R1159" s="111">
        <v>45756</v>
      </c>
      <c r="S1159" s="82" t="s">
        <v>674</v>
      </c>
      <c r="T1159" s="81" t="s">
        <v>144</v>
      </c>
      <c r="U1159" s="81" t="s">
        <v>144</v>
      </c>
    </row>
    <row r="1160" spans="1:21" ht="30" x14ac:dyDescent="0.25">
      <c r="A1160" s="81"/>
      <c r="B1160" s="81">
        <v>4</v>
      </c>
      <c r="C1160" s="81" t="s">
        <v>144</v>
      </c>
      <c r="D1160" s="81" t="s">
        <v>10</v>
      </c>
      <c r="E1160" s="81" t="s">
        <v>2600</v>
      </c>
      <c r="F1160" s="81" t="s">
        <v>199</v>
      </c>
      <c r="G1160" s="81" t="s">
        <v>2601</v>
      </c>
      <c r="H1160" s="81"/>
      <c r="I1160" s="81"/>
      <c r="J1160" s="81"/>
      <c r="K1160" s="81"/>
      <c r="L1160" s="81"/>
      <c r="M1160" s="82" t="s">
        <v>51</v>
      </c>
      <c r="N1160" s="82"/>
      <c r="O1160" s="82"/>
      <c r="P1160" s="82"/>
      <c r="Q1160" s="82" t="s">
        <v>2602</v>
      </c>
      <c r="R1160" s="111">
        <v>45726</v>
      </c>
      <c r="S1160" s="82" t="s">
        <v>238</v>
      </c>
      <c r="T1160" s="81" t="s">
        <v>144</v>
      </c>
      <c r="U1160" s="81" t="s">
        <v>144</v>
      </c>
    </row>
    <row r="1161" spans="1:21" ht="30" x14ac:dyDescent="0.25">
      <c r="A1161" s="81"/>
      <c r="B1161" s="81">
        <v>4</v>
      </c>
      <c r="C1161" s="81" t="s">
        <v>144</v>
      </c>
      <c r="D1161" s="81" t="s">
        <v>10</v>
      </c>
      <c r="E1161" s="81" t="s">
        <v>2603</v>
      </c>
      <c r="F1161" s="81" t="s">
        <v>157</v>
      </c>
      <c r="G1161" s="81" t="s">
        <v>2604</v>
      </c>
      <c r="H1161" s="81"/>
      <c r="I1161" s="81"/>
      <c r="J1161" s="81"/>
      <c r="K1161" s="81"/>
      <c r="L1161" s="81"/>
      <c r="M1161" s="82" t="s">
        <v>51</v>
      </c>
      <c r="N1161" s="82"/>
      <c r="O1161" s="82"/>
      <c r="P1161" s="82"/>
      <c r="Q1161" s="82" t="s">
        <v>2605</v>
      </c>
      <c r="R1161" s="111">
        <v>45720</v>
      </c>
      <c r="S1161" s="82" t="s">
        <v>1690</v>
      </c>
      <c r="T1161" s="81" t="s">
        <v>144</v>
      </c>
      <c r="U1161" s="81" t="s">
        <v>144</v>
      </c>
    </row>
    <row r="1162" spans="1:21" ht="30" x14ac:dyDescent="0.25">
      <c r="A1162" s="81"/>
      <c r="B1162" s="81">
        <v>4</v>
      </c>
      <c r="C1162" s="81" t="s">
        <v>144</v>
      </c>
      <c r="D1162" s="81" t="s">
        <v>10</v>
      </c>
      <c r="E1162" s="81" t="s">
        <v>2606</v>
      </c>
      <c r="F1162" s="81" t="s">
        <v>167</v>
      </c>
      <c r="G1162" s="81" t="s">
        <v>2607</v>
      </c>
      <c r="H1162" s="81"/>
      <c r="I1162" s="81"/>
      <c r="J1162" s="81"/>
      <c r="K1162" s="81"/>
      <c r="L1162" s="81"/>
      <c r="M1162" s="82" t="s">
        <v>51</v>
      </c>
      <c r="N1162" s="82"/>
      <c r="O1162" s="82"/>
      <c r="P1162" s="82"/>
      <c r="Q1162" s="82" t="s">
        <v>2608</v>
      </c>
      <c r="R1162" s="111">
        <v>45719</v>
      </c>
      <c r="S1162" s="82" t="s">
        <v>1690</v>
      </c>
      <c r="T1162" s="81" t="s">
        <v>144</v>
      </c>
      <c r="U1162" s="81" t="s">
        <v>144</v>
      </c>
    </row>
    <row r="1163" spans="1:21" ht="30" x14ac:dyDescent="0.25">
      <c r="A1163" s="81"/>
      <c r="B1163" s="81">
        <v>4</v>
      </c>
      <c r="C1163" s="81" t="s">
        <v>144</v>
      </c>
      <c r="D1163" s="81" t="s">
        <v>10</v>
      </c>
      <c r="E1163" s="81" t="s">
        <v>2609</v>
      </c>
      <c r="F1163" s="81" t="s">
        <v>167</v>
      </c>
      <c r="G1163" s="81" t="s">
        <v>2610</v>
      </c>
      <c r="H1163" s="81"/>
      <c r="I1163" s="81"/>
      <c r="J1163" s="81"/>
      <c r="K1163" s="81"/>
      <c r="L1163" s="81"/>
      <c r="M1163" s="82" t="s">
        <v>51</v>
      </c>
      <c r="N1163" s="82" t="s">
        <v>8</v>
      </c>
      <c r="O1163" s="82"/>
      <c r="P1163" s="82"/>
      <c r="Q1163" s="82" t="s">
        <v>2611</v>
      </c>
      <c r="R1163" s="111">
        <v>45707</v>
      </c>
      <c r="S1163" s="82" t="s">
        <v>1750</v>
      </c>
      <c r="T1163" s="81" t="s">
        <v>144</v>
      </c>
      <c r="U1163" s="81" t="s">
        <v>144</v>
      </c>
    </row>
    <row r="1164" spans="1:21" ht="30" x14ac:dyDescent="0.25">
      <c r="A1164" s="81"/>
      <c r="B1164" s="81">
        <v>4</v>
      </c>
      <c r="C1164" s="81" t="s">
        <v>144</v>
      </c>
      <c r="D1164" s="81" t="s">
        <v>10</v>
      </c>
      <c r="E1164" s="81" t="s">
        <v>2612</v>
      </c>
      <c r="F1164" s="81" t="s">
        <v>202</v>
      </c>
      <c r="G1164" s="81" t="s">
        <v>2613</v>
      </c>
      <c r="H1164" s="81"/>
      <c r="I1164" s="81"/>
      <c r="J1164" s="81"/>
      <c r="K1164" s="81"/>
      <c r="L1164" s="81"/>
      <c r="M1164" s="82" t="s">
        <v>51</v>
      </c>
      <c r="N1164" s="82" t="s">
        <v>8</v>
      </c>
      <c r="O1164" s="82" t="s">
        <v>8</v>
      </c>
      <c r="P1164" s="82"/>
      <c r="Q1164" s="82" t="s">
        <v>2614</v>
      </c>
      <c r="R1164" s="111">
        <v>45694</v>
      </c>
      <c r="S1164" s="82" t="s">
        <v>9</v>
      </c>
      <c r="T1164" s="81" t="s">
        <v>144</v>
      </c>
      <c r="U1164" s="81" t="s">
        <v>144</v>
      </c>
    </row>
    <row r="1165" spans="1:21" ht="30" x14ac:dyDescent="0.25">
      <c r="A1165" s="81"/>
      <c r="B1165" s="81">
        <v>4</v>
      </c>
      <c r="C1165" s="81" t="s">
        <v>144</v>
      </c>
      <c r="D1165" s="81" t="s">
        <v>10</v>
      </c>
      <c r="E1165" s="81" t="s">
        <v>2615</v>
      </c>
      <c r="F1165" s="81" t="s">
        <v>200</v>
      </c>
      <c r="G1165" s="81" t="s">
        <v>2616</v>
      </c>
      <c r="H1165" s="81"/>
      <c r="I1165" s="81"/>
      <c r="J1165" s="81"/>
      <c r="K1165" s="81"/>
      <c r="L1165" s="81"/>
      <c r="M1165" s="82" t="s">
        <v>51</v>
      </c>
      <c r="N1165" s="82"/>
      <c r="O1165" s="82" t="s">
        <v>8</v>
      </c>
      <c r="P1165" s="82"/>
      <c r="Q1165" s="82" t="s">
        <v>2617</v>
      </c>
      <c r="R1165" s="111">
        <v>45694</v>
      </c>
      <c r="S1165" s="82" t="s">
        <v>9</v>
      </c>
      <c r="T1165" s="81" t="s">
        <v>144</v>
      </c>
      <c r="U1165" s="81" t="s">
        <v>144</v>
      </c>
    </row>
    <row r="1166" spans="1:21" ht="30" x14ac:dyDescent="0.25">
      <c r="A1166" s="81"/>
      <c r="B1166" s="81">
        <v>4</v>
      </c>
      <c r="C1166" s="81" t="s">
        <v>144</v>
      </c>
      <c r="D1166" s="81" t="s">
        <v>10</v>
      </c>
      <c r="E1166" s="81" t="s">
        <v>2618</v>
      </c>
      <c r="F1166" s="81" t="s">
        <v>200</v>
      </c>
      <c r="G1166" s="81" t="s">
        <v>2619</v>
      </c>
      <c r="H1166" s="81"/>
      <c r="I1166" s="81"/>
      <c r="J1166" s="81"/>
      <c r="K1166" s="81"/>
      <c r="L1166" s="81"/>
      <c r="M1166" s="82" t="s">
        <v>51</v>
      </c>
      <c r="N1166" s="82" t="s">
        <v>8</v>
      </c>
      <c r="O1166" s="82" t="s">
        <v>8</v>
      </c>
      <c r="P1166" s="82"/>
      <c r="Q1166" s="82" t="s">
        <v>2620</v>
      </c>
      <c r="R1166" s="111">
        <v>45694</v>
      </c>
      <c r="S1166" s="82" t="s">
        <v>9</v>
      </c>
      <c r="T1166" s="81" t="s">
        <v>144</v>
      </c>
      <c r="U1166" s="81" t="s">
        <v>144</v>
      </c>
    </row>
    <row r="1167" spans="1:21" ht="30" x14ac:dyDescent="0.25">
      <c r="A1167" s="81"/>
      <c r="B1167" s="81">
        <v>4</v>
      </c>
      <c r="C1167" s="81" t="s">
        <v>144</v>
      </c>
      <c r="D1167" s="81" t="s">
        <v>10</v>
      </c>
      <c r="E1167" s="81" t="s">
        <v>2621</v>
      </c>
      <c r="F1167" s="81" t="s">
        <v>203</v>
      </c>
      <c r="G1167" s="81" t="s">
        <v>2622</v>
      </c>
      <c r="H1167" s="81"/>
      <c r="I1167" s="81"/>
      <c r="J1167" s="81"/>
      <c r="K1167" s="81"/>
      <c r="L1167" s="81"/>
      <c r="M1167" s="82" t="s">
        <v>51</v>
      </c>
      <c r="N1167" s="82"/>
      <c r="O1167" s="82"/>
      <c r="P1167" s="82" t="s">
        <v>8</v>
      </c>
      <c r="Q1167" s="82" t="s">
        <v>2623</v>
      </c>
      <c r="R1167" s="111">
        <v>45694</v>
      </c>
      <c r="S1167" s="82" t="s">
        <v>9</v>
      </c>
      <c r="T1167" s="81" t="s">
        <v>144</v>
      </c>
      <c r="U1167" s="81" t="s">
        <v>144</v>
      </c>
    </row>
    <row r="1168" spans="1:21" ht="45" x14ac:dyDescent="0.25">
      <c r="A1168" s="81"/>
      <c r="B1168" s="81">
        <v>4</v>
      </c>
      <c r="C1168" s="81" t="s">
        <v>144</v>
      </c>
      <c r="D1168" s="81" t="s">
        <v>10</v>
      </c>
      <c r="E1168" s="81" t="s">
        <v>2624</v>
      </c>
      <c r="F1168" s="81" t="s">
        <v>200</v>
      </c>
      <c r="G1168" s="81" t="s">
        <v>2625</v>
      </c>
      <c r="H1168" s="81"/>
      <c r="I1168" s="81"/>
      <c r="J1168" s="81"/>
      <c r="K1168" s="81"/>
      <c r="L1168" s="81"/>
      <c r="M1168" s="82" t="s">
        <v>51</v>
      </c>
      <c r="N1168" s="82" t="s">
        <v>8</v>
      </c>
      <c r="O1168" s="82"/>
      <c r="P1168" s="82"/>
      <c r="Q1168" s="82" t="s">
        <v>2626</v>
      </c>
      <c r="R1168" s="111">
        <v>45673</v>
      </c>
      <c r="S1168" s="82" t="s">
        <v>1750</v>
      </c>
      <c r="T1168" s="81" t="s">
        <v>144</v>
      </c>
      <c r="U1168" s="81" t="s">
        <v>144</v>
      </c>
    </row>
    <row r="1169" spans="1:21" ht="45" x14ac:dyDescent="0.25">
      <c r="A1169" s="81"/>
      <c r="B1169" s="81">
        <v>4</v>
      </c>
      <c r="C1169" s="81" t="s">
        <v>144</v>
      </c>
      <c r="D1169" s="81" t="s">
        <v>10</v>
      </c>
      <c r="E1169" s="81" t="s">
        <v>2627</v>
      </c>
      <c r="F1169" s="81" t="s">
        <v>201</v>
      </c>
      <c r="G1169" s="81" t="s">
        <v>2628</v>
      </c>
      <c r="H1169" s="81"/>
      <c r="I1169" s="81"/>
      <c r="J1169" s="81"/>
      <c r="K1169" s="81"/>
      <c r="L1169" s="81"/>
      <c r="M1169" s="82" t="s">
        <v>51</v>
      </c>
      <c r="N1169" s="82"/>
      <c r="O1169" s="82"/>
      <c r="P1169" s="82" t="s">
        <v>8</v>
      </c>
      <c r="Q1169" s="82" t="s">
        <v>2629</v>
      </c>
      <c r="R1169" s="111">
        <v>45621</v>
      </c>
      <c r="S1169" s="82" t="s">
        <v>546</v>
      </c>
      <c r="T1169" s="81" t="s">
        <v>144</v>
      </c>
      <c r="U1169" s="81" t="s">
        <v>144</v>
      </c>
    </row>
    <row r="1170" spans="1:21" ht="30" x14ac:dyDescent="0.25">
      <c r="A1170" s="81"/>
      <c r="B1170" s="81">
        <v>4</v>
      </c>
      <c r="C1170" s="81" t="s">
        <v>144</v>
      </c>
      <c r="D1170" s="81" t="s">
        <v>10</v>
      </c>
      <c r="E1170" s="81" t="s">
        <v>2630</v>
      </c>
      <c r="F1170" s="81" t="s">
        <v>157</v>
      </c>
      <c r="G1170" s="81" t="s">
        <v>2631</v>
      </c>
      <c r="H1170" s="81"/>
      <c r="I1170" s="81"/>
      <c r="J1170" s="81"/>
      <c r="K1170" s="81"/>
      <c r="L1170" s="81"/>
      <c r="M1170" s="82" t="s">
        <v>51</v>
      </c>
      <c r="N1170" s="82"/>
      <c r="O1170" s="82" t="s">
        <v>8</v>
      </c>
      <c r="P1170" s="82" t="s">
        <v>8</v>
      </c>
      <c r="Q1170" s="82" t="s">
        <v>2632</v>
      </c>
      <c r="R1170" s="111">
        <v>45693</v>
      </c>
      <c r="S1170" s="82" t="s">
        <v>9</v>
      </c>
      <c r="T1170" s="81" t="s">
        <v>144</v>
      </c>
      <c r="U1170" s="81" t="s">
        <v>144</v>
      </c>
    </row>
    <row r="1171" spans="1:21" ht="30" x14ac:dyDescent="0.25">
      <c r="A1171" s="81"/>
      <c r="B1171" s="81">
        <v>4</v>
      </c>
      <c r="C1171" s="81" t="s">
        <v>144</v>
      </c>
      <c r="D1171" s="81" t="s">
        <v>10</v>
      </c>
      <c r="E1171" s="81" t="s">
        <v>2633</v>
      </c>
      <c r="F1171" s="81" t="s">
        <v>157</v>
      </c>
      <c r="G1171" s="81" t="s">
        <v>2634</v>
      </c>
      <c r="H1171" s="81"/>
      <c r="I1171" s="81"/>
      <c r="J1171" s="81"/>
      <c r="K1171" s="81"/>
      <c r="L1171" s="81"/>
      <c r="M1171" s="82" t="s">
        <v>51</v>
      </c>
      <c r="N1171" s="82"/>
      <c r="O1171" s="82" t="s">
        <v>8</v>
      </c>
      <c r="P1171" s="82" t="s">
        <v>8</v>
      </c>
      <c r="Q1171" s="82" t="s">
        <v>2632</v>
      </c>
      <c r="R1171" s="111">
        <v>45693</v>
      </c>
      <c r="S1171" s="82" t="s">
        <v>9</v>
      </c>
      <c r="T1171" s="81" t="s">
        <v>144</v>
      </c>
      <c r="U1171" s="81" t="s">
        <v>144</v>
      </c>
    </row>
    <row r="1172" spans="1:21" ht="45" x14ac:dyDescent="0.25">
      <c r="A1172" s="81"/>
      <c r="B1172" s="81">
        <v>4</v>
      </c>
      <c r="C1172" s="81" t="s">
        <v>144</v>
      </c>
      <c r="D1172" s="81" t="s">
        <v>10</v>
      </c>
      <c r="E1172" s="81" t="s">
        <v>2635</v>
      </c>
      <c r="F1172" s="81" t="s">
        <v>168</v>
      </c>
      <c r="G1172" s="81" t="s">
        <v>2636</v>
      </c>
      <c r="H1172" s="81"/>
      <c r="I1172" s="81"/>
      <c r="J1172" s="81"/>
      <c r="K1172" s="81"/>
      <c r="L1172" s="81"/>
      <c r="M1172" s="82" t="s">
        <v>51</v>
      </c>
      <c r="N1172" s="82"/>
      <c r="O1172" s="82"/>
      <c r="P1172" s="82" t="s">
        <v>8</v>
      </c>
      <c r="Q1172" s="82" t="s">
        <v>2637</v>
      </c>
      <c r="R1172" s="111">
        <v>45688</v>
      </c>
      <c r="S1172" s="82" t="s">
        <v>9</v>
      </c>
      <c r="T1172" s="81" t="s">
        <v>144</v>
      </c>
      <c r="U1172" s="81" t="s">
        <v>144</v>
      </c>
    </row>
    <row r="1173" spans="1:21" ht="30" x14ac:dyDescent="0.25">
      <c r="A1173" s="81"/>
      <c r="B1173" s="81">
        <v>4</v>
      </c>
      <c r="C1173" s="81" t="s">
        <v>144</v>
      </c>
      <c r="D1173" s="81" t="s">
        <v>10</v>
      </c>
      <c r="E1173" s="81" t="s">
        <v>2638</v>
      </c>
      <c r="F1173" s="81" t="s">
        <v>159</v>
      </c>
      <c r="G1173" s="81" t="s">
        <v>2639</v>
      </c>
      <c r="H1173" s="81"/>
      <c r="I1173" s="81"/>
      <c r="J1173" s="81"/>
      <c r="K1173" s="81"/>
      <c r="L1173" s="81"/>
      <c r="M1173" s="82" t="s">
        <v>51</v>
      </c>
      <c r="N1173" s="82"/>
      <c r="O1173" s="82" t="s">
        <v>8</v>
      </c>
      <c r="P1173" s="82"/>
      <c r="Q1173" s="82" t="s">
        <v>2640</v>
      </c>
      <c r="R1173" s="111">
        <v>45687</v>
      </c>
      <c r="S1173" s="82" t="s">
        <v>20</v>
      </c>
      <c r="T1173" s="81" t="s">
        <v>144</v>
      </c>
      <c r="U1173" s="81" t="s">
        <v>144</v>
      </c>
    </row>
    <row r="1174" spans="1:21" ht="30" x14ac:dyDescent="0.25">
      <c r="A1174" s="81"/>
      <c r="B1174" s="81">
        <v>4</v>
      </c>
      <c r="C1174" s="81" t="s">
        <v>144</v>
      </c>
      <c r="D1174" s="81" t="s">
        <v>10</v>
      </c>
      <c r="E1174" s="81" t="s">
        <v>2641</v>
      </c>
      <c r="F1174" s="81" t="s">
        <v>159</v>
      </c>
      <c r="G1174" s="81" t="s">
        <v>2642</v>
      </c>
      <c r="H1174" s="81"/>
      <c r="I1174" s="81"/>
      <c r="J1174" s="81"/>
      <c r="K1174" s="81"/>
      <c r="L1174" s="81"/>
      <c r="M1174" s="82" t="s">
        <v>51</v>
      </c>
      <c r="N1174" s="82"/>
      <c r="O1174" s="82" t="s">
        <v>8</v>
      </c>
      <c r="P1174" s="82"/>
      <c r="Q1174" s="82" t="s">
        <v>2640</v>
      </c>
      <c r="R1174" s="111">
        <v>45687</v>
      </c>
      <c r="S1174" s="82" t="s">
        <v>20</v>
      </c>
      <c r="T1174" s="81" t="s">
        <v>144</v>
      </c>
      <c r="U1174" s="81" t="s">
        <v>144</v>
      </c>
    </row>
    <row r="1175" spans="1:21" ht="30" x14ac:dyDescent="0.25">
      <c r="A1175" s="81"/>
      <c r="B1175" s="81">
        <v>4</v>
      </c>
      <c r="C1175" s="81" t="s">
        <v>144</v>
      </c>
      <c r="D1175" s="81" t="s">
        <v>10</v>
      </c>
      <c r="E1175" s="81" t="s">
        <v>2643</v>
      </c>
      <c r="F1175" s="81" t="s">
        <v>159</v>
      </c>
      <c r="G1175" s="81" t="s">
        <v>2644</v>
      </c>
      <c r="H1175" s="81"/>
      <c r="I1175" s="81"/>
      <c r="J1175" s="81"/>
      <c r="K1175" s="81"/>
      <c r="L1175" s="81"/>
      <c r="M1175" s="82" t="s">
        <v>51</v>
      </c>
      <c r="N1175" s="82"/>
      <c r="O1175" s="82" t="s">
        <v>8</v>
      </c>
      <c r="P1175" s="82"/>
      <c r="Q1175" s="82" t="s">
        <v>2640</v>
      </c>
      <c r="R1175" s="111">
        <v>45687</v>
      </c>
      <c r="S1175" s="82" t="s">
        <v>20</v>
      </c>
      <c r="T1175" s="81" t="s">
        <v>144</v>
      </c>
      <c r="U1175" s="81" t="s">
        <v>144</v>
      </c>
    </row>
    <row r="1176" spans="1:21" ht="45" x14ac:dyDescent="0.25">
      <c r="A1176" s="81"/>
      <c r="B1176" s="81">
        <v>4</v>
      </c>
      <c r="C1176" s="81" t="s">
        <v>144</v>
      </c>
      <c r="D1176" s="81" t="s">
        <v>10</v>
      </c>
      <c r="E1176" s="81" t="s">
        <v>2645</v>
      </c>
      <c r="F1176" s="81" t="s">
        <v>168</v>
      </c>
      <c r="G1176" s="81" t="s">
        <v>2646</v>
      </c>
      <c r="H1176" s="81"/>
      <c r="I1176" s="81"/>
      <c r="J1176" s="81"/>
      <c r="K1176" s="81"/>
      <c r="L1176" s="81"/>
      <c r="M1176" s="82" t="s">
        <v>51</v>
      </c>
      <c r="N1176" s="82"/>
      <c r="O1176" s="82"/>
      <c r="P1176" s="82" t="s">
        <v>8</v>
      </c>
      <c r="Q1176" s="82" t="s">
        <v>2647</v>
      </c>
      <c r="R1176" s="111">
        <v>45686</v>
      </c>
      <c r="S1176" s="82" t="s">
        <v>238</v>
      </c>
      <c r="T1176" s="81" t="s">
        <v>144</v>
      </c>
      <c r="U1176" s="81" t="s">
        <v>144</v>
      </c>
    </row>
    <row r="1177" spans="1:21" ht="45" x14ac:dyDescent="0.25">
      <c r="A1177" s="81"/>
      <c r="B1177" s="81">
        <v>4</v>
      </c>
      <c r="C1177" s="81" t="s">
        <v>144</v>
      </c>
      <c r="D1177" s="81" t="s">
        <v>10</v>
      </c>
      <c r="E1177" s="81" t="s">
        <v>2648</v>
      </c>
      <c r="F1177" s="81" t="s">
        <v>160</v>
      </c>
      <c r="G1177" s="81" t="s">
        <v>2649</v>
      </c>
      <c r="H1177" s="81"/>
      <c r="I1177" s="81"/>
      <c r="J1177" s="81"/>
      <c r="K1177" s="81"/>
      <c r="L1177" s="81"/>
      <c r="M1177" s="82" t="s">
        <v>51</v>
      </c>
      <c r="N1177" s="82" t="s">
        <v>8</v>
      </c>
      <c r="O1177" s="82"/>
      <c r="P1177" s="82"/>
      <c r="Q1177" s="82" t="s">
        <v>2650</v>
      </c>
      <c r="R1177" s="111">
        <v>45674</v>
      </c>
      <c r="S1177" s="82" t="s">
        <v>20</v>
      </c>
      <c r="T1177" s="81" t="s">
        <v>144</v>
      </c>
      <c r="U1177" s="81" t="s">
        <v>144</v>
      </c>
    </row>
    <row r="1178" spans="1:21" ht="60" x14ac:dyDescent="0.25">
      <c r="A1178" s="81"/>
      <c r="B1178" s="81">
        <v>4</v>
      </c>
      <c r="C1178" s="81" t="s">
        <v>144</v>
      </c>
      <c r="D1178" s="81" t="s">
        <v>10</v>
      </c>
      <c r="E1178" s="81" t="s">
        <v>2651</v>
      </c>
      <c r="F1178" s="81" t="s">
        <v>2652</v>
      </c>
      <c r="G1178" s="81" t="s">
        <v>2653</v>
      </c>
      <c r="H1178" s="81"/>
      <c r="I1178" s="81"/>
      <c r="J1178" s="81"/>
      <c r="K1178" s="81"/>
      <c r="L1178" s="81"/>
      <c r="M1178" s="82" t="s">
        <v>51</v>
      </c>
      <c r="N1178" s="82" t="s">
        <v>8</v>
      </c>
      <c r="O1178" s="82"/>
      <c r="P1178" s="82"/>
      <c r="Q1178" s="82" t="s">
        <v>2654</v>
      </c>
      <c r="R1178" s="111">
        <v>45679</v>
      </c>
      <c r="S1178" s="82" t="s">
        <v>20</v>
      </c>
      <c r="T1178" s="81" t="s">
        <v>144</v>
      </c>
      <c r="U1178" s="81" t="s">
        <v>3461</v>
      </c>
    </row>
    <row r="1179" spans="1:21" ht="90" x14ac:dyDescent="0.25">
      <c r="A1179" s="81"/>
      <c r="B1179" s="81">
        <v>4</v>
      </c>
      <c r="C1179" s="81" t="s">
        <v>144</v>
      </c>
      <c r="D1179" s="81" t="s">
        <v>10</v>
      </c>
      <c r="E1179" s="81" t="s">
        <v>2655</v>
      </c>
      <c r="F1179" s="81" t="s">
        <v>167</v>
      </c>
      <c r="G1179" s="81" t="s">
        <v>2656</v>
      </c>
      <c r="H1179" s="81"/>
      <c r="I1179" s="81"/>
      <c r="J1179" s="81"/>
      <c r="K1179" s="81"/>
      <c r="L1179" s="81"/>
      <c r="M1179" s="82" t="s">
        <v>51</v>
      </c>
      <c r="N1179" s="82"/>
      <c r="O1179" s="82" t="s">
        <v>8</v>
      </c>
      <c r="P1179" s="82"/>
      <c r="Q1179" s="82" t="s">
        <v>2657</v>
      </c>
      <c r="R1179" s="111">
        <v>45679</v>
      </c>
      <c r="S1179" s="82" t="s">
        <v>20</v>
      </c>
      <c r="T1179" s="81" t="s">
        <v>144</v>
      </c>
      <c r="U1179" s="81" t="s">
        <v>144</v>
      </c>
    </row>
    <row r="1180" spans="1:21" ht="30" x14ac:dyDescent="0.25">
      <c r="A1180" s="81"/>
      <c r="B1180" s="81">
        <v>4</v>
      </c>
      <c r="C1180" s="81" t="s">
        <v>144</v>
      </c>
      <c r="D1180" s="81" t="s">
        <v>10</v>
      </c>
      <c r="E1180" s="81" t="s">
        <v>2658</v>
      </c>
      <c r="F1180" s="81" t="s">
        <v>3313</v>
      </c>
      <c r="G1180" s="81" t="s">
        <v>2659</v>
      </c>
      <c r="H1180" s="81"/>
      <c r="I1180" s="81"/>
      <c r="J1180" s="81"/>
      <c r="K1180" s="81"/>
      <c r="L1180" s="81"/>
      <c r="M1180" s="82" t="s">
        <v>51</v>
      </c>
      <c r="N1180" s="82" t="s">
        <v>8</v>
      </c>
      <c r="O1180" s="82"/>
      <c r="P1180" s="82"/>
      <c r="Q1180" s="82" t="s">
        <v>2660</v>
      </c>
      <c r="R1180" s="111"/>
      <c r="S1180" s="82"/>
      <c r="T1180" s="81" t="s">
        <v>144</v>
      </c>
      <c r="U1180" s="81" t="s">
        <v>3462</v>
      </c>
    </row>
    <row r="1181" spans="1:21" ht="45" x14ac:dyDescent="0.25">
      <c r="A1181" s="81"/>
      <c r="B1181" s="81">
        <v>4</v>
      </c>
      <c r="C1181" s="81" t="s">
        <v>144</v>
      </c>
      <c r="D1181" s="81" t="s">
        <v>10</v>
      </c>
      <c r="E1181" s="81" t="s">
        <v>2661</v>
      </c>
      <c r="F1181" s="81" t="s">
        <v>203</v>
      </c>
      <c r="G1181" s="81" t="s">
        <v>2662</v>
      </c>
      <c r="H1181" s="81"/>
      <c r="I1181" s="81"/>
      <c r="J1181" s="81"/>
      <c r="K1181" s="81"/>
      <c r="L1181" s="81"/>
      <c r="M1181" s="82" t="s">
        <v>51</v>
      </c>
      <c r="N1181" s="82"/>
      <c r="O1181" s="82" t="s">
        <v>8</v>
      </c>
      <c r="P1181" s="82" t="s">
        <v>8</v>
      </c>
      <c r="Q1181" s="82" t="s">
        <v>2663</v>
      </c>
      <c r="R1181" s="111">
        <v>45645</v>
      </c>
      <c r="S1181" s="82" t="s">
        <v>20</v>
      </c>
      <c r="T1181" s="81" t="s">
        <v>144</v>
      </c>
      <c r="U1181" s="81" t="s">
        <v>144</v>
      </c>
    </row>
    <row r="1182" spans="1:21" x14ac:dyDescent="0.25">
      <c r="A1182" s="81"/>
      <c r="B1182" s="81">
        <v>4</v>
      </c>
      <c r="C1182" s="81" t="s">
        <v>144</v>
      </c>
      <c r="D1182" s="81" t="s">
        <v>10</v>
      </c>
      <c r="E1182" s="81" t="s">
        <v>2664</v>
      </c>
      <c r="F1182" s="81" t="s">
        <v>199</v>
      </c>
      <c r="G1182" s="81" t="s">
        <v>2665</v>
      </c>
      <c r="H1182" s="81"/>
      <c r="I1182" s="81"/>
      <c r="J1182" s="81"/>
      <c r="K1182" s="81"/>
      <c r="L1182" s="81"/>
      <c r="M1182" s="82" t="s">
        <v>51</v>
      </c>
      <c r="N1182" s="82" t="s">
        <v>8</v>
      </c>
      <c r="O1182" s="82"/>
      <c r="P1182" s="82"/>
      <c r="Q1182" s="82" t="s">
        <v>2666</v>
      </c>
      <c r="R1182" s="111">
        <v>45642</v>
      </c>
      <c r="S1182" s="82" t="s">
        <v>1838</v>
      </c>
      <c r="T1182" s="81" t="s">
        <v>144</v>
      </c>
      <c r="U1182" s="81" t="s">
        <v>144</v>
      </c>
    </row>
    <row r="1183" spans="1:21" ht="45" x14ac:dyDescent="0.25">
      <c r="A1183" s="81"/>
      <c r="B1183" s="81">
        <v>4</v>
      </c>
      <c r="C1183" s="81" t="s">
        <v>144</v>
      </c>
      <c r="D1183" s="81" t="s">
        <v>10</v>
      </c>
      <c r="E1183" s="81" t="s">
        <v>2667</v>
      </c>
      <c r="F1183" s="81" t="s">
        <v>200</v>
      </c>
      <c r="G1183" s="81" t="s">
        <v>2668</v>
      </c>
      <c r="H1183" s="81"/>
      <c r="I1183" s="81"/>
      <c r="J1183" s="81"/>
      <c r="K1183" s="81"/>
      <c r="L1183" s="81"/>
      <c r="M1183" s="82" t="s">
        <v>51</v>
      </c>
      <c r="N1183" s="82" t="s">
        <v>8</v>
      </c>
      <c r="O1183" s="82"/>
      <c r="P1183" s="82"/>
      <c r="Q1183" s="82" t="s">
        <v>2669</v>
      </c>
      <c r="R1183" s="111">
        <v>45629</v>
      </c>
      <c r="S1183" s="82" t="s">
        <v>1750</v>
      </c>
      <c r="T1183" s="81" t="s">
        <v>144</v>
      </c>
      <c r="U1183" s="81" t="s">
        <v>144</v>
      </c>
    </row>
    <row r="1184" spans="1:21" ht="45" x14ac:dyDescent="0.25">
      <c r="A1184" s="81"/>
      <c r="B1184" s="81">
        <v>4</v>
      </c>
      <c r="C1184" s="81" t="s">
        <v>144</v>
      </c>
      <c r="D1184" s="81" t="s">
        <v>10</v>
      </c>
      <c r="E1184" s="81" t="s">
        <v>2670</v>
      </c>
      <c r="F1184" s="81" t="s">
        <v>200</v>
      </c>
      <c r="G1184" s="81" t="s">
        <v>2671</v>
      </c>
      <c r="H1184" s="81"/>
      <c r="I1184" s="81"/>
      <c r="J1184" s="81"/>
      <c r="K1184" s="81"/>
      <c r="L1184" s="81"/>
      <c r="M1184" s="82" t="s">
        <v>51</v>
      </c>
      <c r="N1184" s="82" t="s">
        <v>8</v>
      </c>
      <c r="O1184" s="82"/>
      <c r="P1184" s="82"/>
      <c r="Q1184" s="82" t="s">
        <v>2669</v>
      </c>
      <c r="R1184" s="111">
        <v>45636</v>
      </c>
      <c r="S1184" s="82" t="s">
        <v>1750</v>
      </c>
      <c r="T1184" s="81" t="s">
        <v>144</v>
      </c>
      <c r="U1184" s="81" t="s">
        <v>144</v>
      </c>
    </row>
    <row r="1185" spans="1:21" ht="45" x14ac:dyDescent="0.25">
      <c r="A1185" s="81"/>
      <c r="B1185" s="81">
        <v>4</v>
      </c>
      <c r="C1185" s="81" t="s">
        <v>144</v>
      </c>
      <c r="D1185" s="81" t="s">
        <v>10</v>
      </c>
      <c r="E1185" s="81" t="s">
        <v>2672</v>
      </c>
      <c r="F1185" s="81" t="s">
        <v>200</v>
      </c>
      <c r="G1185" s="81" t="s">
        <v>2673</v>
      </c>
      <c r="H1185" s="81"/>
      <c r="I1185" s="81"/>
      <c r="J1185" s="81"/>
      <c r="K1185" s="81"/>
      <c r="L1185" s="81"/>
      <c r="M1185" s="82" t="s">
        <v>51</v>
      </c>
      <c r="N1185" s="82" t="s">
        <v>8</v>
      </c>
      <c r="O1185" s="82"/>
      <c r="P1185" s="82"/>
      <c r="Q1185" s="82" t="s">
        <v>2669</v>
      </c>
      <c r="R1185" s="111">
        <v>45629</v>
      </c>
      <c r="S1185" s="82" t="s">
        <v>1750</v>
      </c>
      <c r="T1185" s="81" t="s">
        <v>144</v>
      </c>
      <c r="U1185" s="81" t="s">
        <v>144</v>
      </c>
    </row>
    <row r="1186" spans="1:21" ht="45" x14ac:dyDescent="0.25">
      <c r="A1186" s="81"/>
      <c r="B1186" s="81">
        <v>4</v>
      </c>
      <c r="C1186" s="81" t="s">
        <v>144</v>
      </c>
      <c r="D1186" s="81" t="s">
        <v>10</v>
      </c>
      <c r="E1186" s="81" t="s">
        <v>2674</v>
      </c>
      <c r="F1186" s="81" t="s">
        <v>200</v>
      </c>
      <c r="G1186" s="81" t="s">
        <v>2675</v>
      </c>
      <c r="H1186" s="81"/>
      <c r="I1186" s="81"/>
      <c r="J1186" s="81"/>
      <c r="K1186" s="81"/>
      <c r="L1186" s="81"/>
      <c r="M1186" s="82" t="s">
        <v>51</v>
      </c>
      <c r="N1186" s="82" t="s">
        <v>8</v>
      </c>
      <c r="O1186" s="82"/>
      <c r="P1186" s="82"/>
      <c r="Q1186" s="82" t="s">
        <v>2669</v>
      </c>
      <c r="R1186" s="111">
        <v>45636</v>
      </c>
      <c r="S1186" s="82" t="s">
        <v>1750</v>
      </c>
      <c r="T1186" s="81" t="s">
        <v>144</v>
      </c>
      <c r="U1186" s="81" t="s">
        <v>144</v>
      </c>
    </row>
    <row r="1187" spans="1:21" x14ac:dyDescent="0.25">
      <c r="A1187" s="81"/>
      <c r="B1187" s="81">
        <v>4</v>
      </c>
      <c r="C1187" s="81" t="s">
        <v>144</v>
      </c>
      <c r="D1187" s="81" t="s">
        <v>10</v>
      </c>
      <c r="E1187" s="81" t="s">
        <v>2676</v>
      </c>
      <c r="F1187" s="81" t="s">
        <v>150</v>
      </c>
      <c r="G1187" s="81" t="s">
        <v>2677</v>
      </c>
      <c r="H1187" s="81"/>
      <c r="I1187" s="81"/>
      <c r="J1187" s="81"/>
      <c r="K1187" s="81"/>
      <c r="L1187" s="81"/>
      <c r="M1187" s="82" t="s">
        <v>51</v>
      </c>
      <c r="N1187" s="82"/>
      <c r="O1187" s="82" t="s">
        <v>8</v>
      </c>
      <c r="P1187" s="82"/>
      <c r="Q1187" s="82" t="s">
        <v>2678</v>
      </c>
      <c r="R1187" s="111">
        <v>45579</v>
      </c>
      <c r="S1187" s="82"/>
      <c r="T1187" s="81" t="s">
        <v>144</v>
      </c>
      <c r="U1187" s="81" t="s">
        <v>144</v>
      </c>
    </row>
    <row r="1188" spans="1:21" ht="60" x14ac:dyDescent="0.25">
      <c r="A1188" s="81"/>
      <c r="B1188" s="81">
        <v>4</v>
      </c>
      <c r="C1188" s="81" t="s">
        <v>144</v>
      </c>
      <c r="D1188" s="81" t="s">
        <v>10</v>
      </c>
      <c r="E1188" s="81" t="s">
        <v>2679</v>
      </c>
      <c r="F1188" s="81" t="s">
        <v>150</v>
      </c>
      <c r="G1188" s="81" t="s">
        <v>2680</v>
      </c>
      <c r="H1188" s="81"/>
      <c r="I1188" s="81"/>
      <c r="J1188" s="81"/>
      <c r="K1188" s="81"/>
      <c r="L1188" s="81"/>
      <c r="M1188" s="82" t="s">
        <v>51</v>
      </c>
      <c r="N1188" s="82" t="s">
        <v>8</v>
      </c>
      <c r="O1188" s="82"/>
      <c r="P1188" s="82"/>
      <c r="Q1188" s="82" t="s">
        <v>2681</v>
      </c>
      <c r="R1188" s="111">
        <v>45582</v>
      </c>
      <c r="S1188" s="82" t="s">
        <v>813</v>
      </c>
      <c r="T1188" s="81" t="s">
        <v>144</v>
      </c>
      <c r="U1188" s="81" t="s">
        <v>144</v>
      </c>
    </row>
    <row r="1189" spans="1:21" x14ac:dyDescent="0.25">
      <c r="A1189" s="81"/>
      <c r="B1189" s="81">
        <v>4</v>
      </c>
      <c r="C1189" s="81" t="s">
        <v>144</v>
      </c>
      <c r="D1189" s="81" t="s">
        <v>10</v>
      </c>
      <c r="E1189" s="81" t="s">
        <v>2682</v>
      </c>
      <c r="F1189" s="81" t="s">
        <v>159</v>
      </c>
      <c r="G1189" s="81" t="s">
        <v>2683</v>
      </c>
      <c r="H1189" s="81"/>
      <c r="I1189" s="81"/>
      <c r="J1189" s="81"/>
      <c r="K1189" s="81"/>
      <c r="L1189" s="81"/>
      <c r="M1189" s="82" t="s">
        <v>51</v>
      </c>
      <c r="N1189" s="82"/>
      <c r="O1189" s="82" t="s">
        <v>8</v>
      </c>
      <c r="P1189" s="82"/>
      <c r="Q1189" s="82" t="s">
        <v>2684</v>
      </c>
      <c r="R1189" s="111">
        <v>45580</v>
      </c>
      <c r="S1189" s="82"/>
      <c r="T1189" s="81" t="s">
        <v>144</v>
      </c>
      <c r="U1189" s="81" t="s">
        <v>144</v>
      </c>
    </row>
    <row r="1190" spans="1:21" x14ac:dyDescent="0.25">
      <c r="A1190" s="81"/>
      <c r="B1190" s="81">
        <v>4</v>
      </c>
      <c r="C1190" s="81" t="s">
        <v>144</v>
      </c>
      <c r="D1190" s="81" t="s">
        <v>10</v>
      </c>
      <c r="E1190" s="81" t="s">
        <v>2685</v>
      </c>
      <c r="F1190" s="81" t="s">
        <v>201</v>
      </c>
      <c r="G1190" s="81" t="s">
        <v>2686</v>
      </c>
      <c r="H1190" s="81"/>
      <c r="I1190" s="81"/>
      <c r="J1190" s="81"/>
      <c r="K1190" s="81"/>
      <c r="L1190" s="81"/>
      <c r="M1190" s="82" t="s">
        <v>51</v>
      </c>
      <c r="N1190" s="82"/>
      <c r="O1190" s="82" t="s">
        <v>8</v>
      </c>
      <c r="P1190" s="82"/>
      <c r="Q1190" s="82" t="s">
        <v>2687</v>
      </c>
      <c r="R1190" s="111">
        <v>45616</v>
      </c>
      <c r="S1190" s="82"/>
      <c r="T1190" s="81" t="s">
        <v>144</v>
      </c>
      <c r="U1190" s="81" t="s">
        <v>3463</v>
      </c>
    </row>
    <row r="1191" spans="1:21" ht="30" x14ac:dyDescent="0.25">
      <c r="A1191" s="81"/>
      <c r="B1191" s="81">
        <v>4</v>
      </c>
      <c r="C1191" s="81" t="s">
        <v>144</v>
      </c>
      <c r="D1191" s="81" t="s">
        <v>10</v>
      </c>
      <c r="E1191" s="81" t="s">
        <v>2688</v>
      </c>
      <c r="F1191" s="81" t="s">
        <v>203</v>
      </c>
      <c r="G1191" s="81" t="s">
        <v>2689</v>
      </c>
      <c r="H1191" s="81"/>
      <c r="I1191" s="81"/>
      <c r="J1191" s="81"/>
      <c r="K1191" s="81"/>
      <c r="L1191" s="81"/>
      <c r="M1191" s="82" t="s">
        <v>51</v>
      </c>
      <c r="N1191" s="82"/>
      <c r="O1191" s="82"/>
      <c r="P1191" s="82" t="s">
        <v>8</v>
      </c>
      <c r="Q1191" s="82" t="s">
        <v>2690</v>
      </c>
      <c r="R1191" s="111">
        <v>45615</v>
      </c>
      <c r="S1191" s="82" t="s">
        <v>9</v>
      </c>
      <c r="T1191" s="81" t="s">
        <v>144</v>
      </c>
      <c r="U1191" s="81" t="s">
        <v>144</v>
      </c>
    </row>
    <row r="1192" spans="1:21" ht="30" x14ac:dyDescent="0.25">
      <c r="A1192" s="81"/>
      <c r="B1192" s="81">
        <v>4</v>
      </c>
      <c r="C1192" s="81" t="s">
        <v>144</v>
      </c>
      <c r="D1192" s="81" t="s">
        <v>10</v>
      </c>
      <c r="E1192" s="81" t="s">
        <v>2691</v>
      </c>
      <c r="F1192" s="81" t="s">
        <v>198</v>
      </c>
      <c r="G1192" s="81" t="s">
        <v>2692</v>
      </c>
      <c r="H1192" s="81"/>
      <c r="I1192" s="81"/>
      <c r="J1192" s="81"/>
      <c r="K1192" s="81"/>
      <c r="L1192" s="81"/>
      <c r="M1192" s="82" t="s">
        <v>51</v>
      </c>
      <c r="N1192" s="82" t="s">
        <v>8</v>
      </c>
      <c r="O1192" s="82"/>
      <c r="P1192" s="82"/>
      <c r="Q1192" s="82" t="s">
        <v>2693</v>
      </c>
      <c r="R1192" s="111">
        <v>45595</v>
      </c>
      <c r="S1192" s="82" t="s">
        <v>9</v>
      </c>
      <c r="T1192" s="81" t="s">
        <v>144</v>
      </c>
      <c r="U1192" s="81" t="s">
        <v>3464</v>
      </c>
    </row>
    <row r="1193" spans="1:21" ht="45" x14ac:dyDescent="0.25">
      <c r="A1193" s="81"/>
      <c r="B1193" s="81">
        <v>4</v>
      </c>
      <c r="C1193" s="81" t="s">
        <v>144</v>
      </c>
      <c r="D1193" s="81" t="s">
        <v>10</v>
      </c>
      <c r="E1193" s="81" t="s">
        <v>2694</v>
      </c>
      <c r="F1193" s="81" t="s">
        <v>201</v>
      </c>
      <c r="G1193" s="81" t="s">
        <v>2695</v>
      </c>
      <c r="H1193" s="81"/>
      <c r="I1193" s="81"/>
      <c r="J1193" s="81"/>
      <c r="K1193" s="81"/>
      <c r="L1193" s="81"/>
      <c r="M1193" s="82" t="s">
        <v>51</v>
      </c>
      <c r="N1193" s="82" t="s">
        <v>8</v>
      </c>
      <c r="O1193" s="82"/>
      <c r="P1193" s="82"/>
      <c r="Q1193" s="82" t="s">
        <v>2696</v>
      </c>
      <c r="R1193" s="111">
        <v>45664</v>
      </c>
      <c r="S1193" s="82" t="s">
        <v>623</v>
      </c>
      <c r="T1193" s="81" t="s">
        <v>144</v>
      </c>
      <c r="U1193" s="81" t="s">
        <v>3465</v>
      </c>
    </row>
    <row r="1194" spans="1:21" ht="30" x14ac:dyDescent="0.25">
      <c r="A1194" s="81"/>
      <c r="B1194" s="81"/>
      <c r="C1194" s="81" t="s">
        <v>144</v>
      </c>
      <c r="D1194" s="81" t="s">
        <v>10</v>
      </c>
      <c r="E1194" s="81" t="s">
        <v>2697</v>
      </c>
      <c r="F1194" s="81" t="s">
        <v>167</v>
      </c>
      <c r="G1194" s="81" t="s">
        <v>2698</v>
      </c>
      <c r="H1194" s="81"/>
      <c r="I1194" s="81"/>
      <c r="J1194" s="81"/>
      <c r="K1194" s="81"/>
      <c r="L1194" s="81"/>
      <c r="M1194" s="82" t="s">
        <v>51</v>
      </c>
      <c r="N1194" s="82"/>
      <c r="O1194" s="82"/>
      <c r="P1194" s="82"/>
      <c r="Q1194" s="82" t="s">
        <v>2372</v>
      </c>
      <c r="R1194" s="111">
        <v>45848</v>
      </c>
      <c r="S1194" s="82" t="s">
        <v>23</v>
      </c>
      <c r="T1194" s="81" t="s">
        <v>144</v>
      </c>
      <c r="U1194" s="81" t="s">
        <v>3466</v>
      </c>
    </row>
    <row r="1195" spans="1:21" ht="45" x14ac:dyDescent="0.25">
      <c r="A1195" s="81"/>
      <c r="B1195" s="81">
        <v>3</v>
      </c>
      <c r="C1195" s="81" t="s">
        <v>144</v>
      </c>
      <c r="D1195" s="81" t="s">
        <v>10</v>
      </c>
      <c r="E1195" s="81" t="s">
        <v>2699</v>
      </c>
      <c r="F1195" s="81" t="s">
        <v>168</v>
      </c>
      <c r="G1195" s="81" t="s">
        <v>2700</v>
      </c>
      <c r="H1195" s="81"/>
      <c r="I1195" s="81"/>
      <c r="J1195" s="81"/>
      <c r="K1195" s="81"/>
      <c r="L1195" s="81"/>
      <c r="M1195" s="82" t="s">
        <v>51</v>
      </c>
      <c r="N1195" s="82"/>
      <c r="O1195" s="82" t="s">
        <v>8</v>
      </c>
      <c r="P1195" s="82" t="s">
        <v>8</v>
      </c>
      <c r="Q1195" s="82" t="s">
        <v>2568</v>
      </c>
      <c r="R1195" s="111">
        <v>45824</v>
      </c>
      <c r="S1195" s="82" t="s">
        <v>9</v>
      </c>
      <c r="T1195" s="81" t="s">
        <v>144</v>
      </c>
      <c r="U1195" s="81" t="s">
        <v>3467</v>
      </c>
    </row>
    <row r="1196" spans="1:21" ht="30" x14ac:dyDescent="0.25">
      <c r="A1196" s="81"/>
      <c r="B1196" s="81" t="s">
        <v>8</v>
      </c>
      <c r="C1196" s="81" t="s">
        <v>144</v>
      </c>
      <c r="D1196" s="81" t="s">
        <v>30</v>
      </c>
      <c r="E1196" s="81" t="s">
        <v>3182</v>
      </c>
      <c r="F1196" s="81" t="s">
        <v>2815</v>
      </c>
      <c r="G1196" s="81" t="s">
        <v>3183</v>
      </c>
      <c r="H1196" s="81"/>
      <c r="I1196" s="81"/>
      <c r="J1196" s="81"/>
      <c r="K1196" s="81"/>
      <c r="L1196" s="81"/>
      <c r="M1196" s="82" t="s">
        <v>51</v>
      </c>
      <c r="N1196" s="82"/>
      <c r="O1196" s="82"/>
      <c r="P1196" s="82"/>
      <c r="Q1196" s="82" t="s">
        <v>3184</v>
      </c>
      <c r="R1196" s="111">
        <v>45712</v>
      </c>
      <c r="S1196" s="82" t="s">
        <v>38</v>
      </c>
      <c r="T1196" s="81" t="s">
        <v>144</v>
      </c>
      <c r="U1196" s="81" t="s">
        <v>144</v>
      </c>
    </row>
    <row r="1197" spans="1:21" ht="30" x14ac:dyDescent="0.25">
      <c r="A1197" s="81"/>
      <c r="B1197" s="81" t="s">
        <v>8</v>
      </c>
      <c r="C1197" s="81" t="s">
        <v>144</v>
      </c>
      <c r="D1197" s="81" t="s">
        <v>30</v>
      </c>
      <c r="E1197" s="81" t="s">
        <v>3185</v>
      </c>
      <c r="F1197" s="81" t="s">
        <v>30</v>
      </c>
      <c r="G1197" s="81" t="s">
        <v>3186</v>
      </c>
      <c r="H1197" s="81"/>
      <c r="I1197" s="81"/>
      <c r="J1197" s="81"/>
      <c r="K1197" s="81"/>
      <c r="L1197" s="81"/>
      <c r="M1197" s="82" t="s">
        <v>51</v>
      </c>
      <c r="N1197" s="82"/>
      <c r="O1197" s="82"/>
      <c r="P1197" s="82"/>
      <c r="Q1197" s="82" t="s">
        <v>3187</v>
      </c>
      <c r="R1197" s="111">
        <v>45700</v>
      </c>
      <c r="S1197" s="82" t="s">
        <v>254</v>
      </c>
      <c r="T1197" s="81" t="s">
        <v>144</v>
      </c>
      <c r="U1197" s="81" t="s">
        <v>144</v>
      </c>
    </row>
    <row r="1198" spans="1:21" x14ac:dyDescent="0.25">
      <c r="A1198" s="81"/>
      <c r="B1198" s="81"/>
      <c r="C1198" s="81" t="s">
        <v>144</v>
      </c>
      <c r="D1198" s="81" t="s">
        <v>143</v>
      </c>
      <c r="E1198" s="81" t="s">
        <v>3566</v>
      </c>
      <c r="F1198" s="81" t="s">
        <v>163</v>
      </c>
      <c r="G1198" s="81" t="s">
        <v>3567</v>
      </c>
      <c r="H1198" s="81"/>
      <c r="I1198" s="81"/>
      <c r="J1198" s="81"/>
      <c r="K1198" s="81"/>
      <c r="L1198" s="81"/>
      <c r="M1198" s="82" t="s">
        <v>146</v>
      </c>
      <c r="N1198" s="82"/>
      <c r="O1198" s="82"/>
      <c r="P1198" s="82"/>
      <c r="Q1198" s="82"/>
      <c r="R1198" s="111"/>
      <c r="S1198" s="82"/>
      <c r="T1198" s="81" t="s">
        <v>144</v>
      </c>
      <c r="U1198" s="81"/>
    </row>
    <row r="1199" spans="1:21" x14ac:dyDescent="0.25">
      <c r="A1199" s="81"/>
      <c r="B1199" s="81"/>
      <c r="C1199" s="81" t="s">
        <v>8</v>
      </c>
      <c r="D1199" s="81" t="s">
        <v>10</v>
      </c>
      <c r="E1199" s="81" t="s">
        <v>3543</v>
      </c>
      <c r="F1199" s="81" t="s">
        <v>160</v>
      </c>
      <c r="G1199" s="81" t="s">
        <v>3544</v>
      </c>
      <c r="H1199" s="81"/>
      <c r="I1199" s="81"/>
      <c r="J1199" s="81"/>
      <c r="K1199" s="81"/>
      <c r="L1199" s="81" t="s">
        <v>8</v>
      </c>
      <c r="M1199" s="82" t="s">
        <v>146</v>
      </c>
      <c r="N1199" s="82"/>
      <c r="O1199" s="82"/>
      <c r="P1199" s="82"/>
      <c r="Q1199" s="82"/>
      <c r="R1199" s="111"/>
      <c r="S1199" s="82"/>
      <c r="T1199" s="81" t="s">
        <v>144</v>
      </c>
      <c r="U1199" s="81" t="s">
        <v>3549</v>
      </c>
    </row>
    <row r="1200" spans="1:21" x14ac:dyDescent="0.25">
      <c r="A1200" s="81"/>
      <c r="B1200" s="81"/>
      <c r="C1200" s="81" t="s">
        <v>144</v>
      </c>
      <c r="D1200" s="81" t="s">
        <v>10</v>
      </c>
      <c r="E1200" s="81" t="s">
        <v>3539</v>
      </c>
      <c r="F1200" s="81" t="s">
        <v>150</v>
      </c>
      <c r="G1200" s="81" t="s">
        <v>3542</v>
      </c>
      <c r="H1200" s="81"/>
      <c r="I1200" s="81"/>
      <c r="J1200" s="81"/>
      <c r="K1200" s="81"/>
      <c r="L1200" s="81"/>
      <c r="M1200" s="82" t="s">
        <v>146</v>
      </c>
      <c r="N1200" s="82"/>
      <c r="O1200" s="82"/>
      <c r="P1200" s="82"/>
      <c r="Q1200" s="82"/>
      <c r="R1200" s="111"/>
      <c r="S1200" s="82"/>
      <c r="T1200" s="81" t="s">
        <v>144</v>
      </c>
      <c r="U1200" s="81" t="s">
        <v>3541</v>
      </c>
    </row>
    <row r="1201" spans="1:21" x14ac:dyDescent="0.25">
      <c r="A1201" s="81"/>
      <c r="B1201" s="81"/>
      <c r="C1201" s="81" t="s">
        <v>8</v>
      </c>
      <c r="D1201" s="81" t="s">
        <v>10</v>
      </c>
      <c r="E1201" s="81" t="s">
        <v>3538</v>
      </c>
      <c r="F1201" s="81" t="s">
        <v>159</v>
      </c>
      <c r="G1201" s="81" t="s">
        <v>3537</v>
      </c>
      <c r="H1201" s="81"/>
      <c r="I1201" s="81"/>
      <c r="J1201" s="81" t="s">
        <v>8</v>
      </c>
      <c r="K1201" s="81"/>
      <c r="L1201" s="81" t="s">
        <v>8</v>
      </c>
      <c r="M1201" s="82" t="s">
        <v>146</v>
      </c>
      <c r="N1201" s="82"/>
      <c r="O1201" s="82"/>
      <c r="P1201" s="82"/>
      <c r="Q1201" s="82"/>
      <c r="R1201" s="111"/>
      <c r="S1201" s="82"/>
      <c r="T1201" s="81" t="s">
        <v>144</v>
      </c>
      <c r="U1201" s="81" t="s">
        <v>3540</v>
      </c>
    </row>
    <row r="1202" spans="1:21" x14ac:dyDescent="0.25">
      <c r="A1202" s="81"/>
      <c r="B1202" s="81"/>
      <c r="C1202" s="81" t="s">
        <v>144</v>
      </c>
      <c r="D1202" s="81" t="s">
        <v>10</v>
      </c>
      <c r="E1202" s="81" t="s">
        <v>3551</v>
      </c>
      <c r="F1202" s="81" t="s">
        <v>160</v>
      </c>
      <c r="G1202" s="81" t="s">
        <v>2335</v>
      </c>
      <c r="H1202" s="81"/>
      <c r="I1202" s="81"/>
      <c r="J1202" s="81"/>
      <c r="K1202" s="81"/>
      <c r="L1202" s="81"/>
      <c r="M1202" s="82" t="s">
        <v>146</v>
      </c>
      <c r="N1202" s="82"/>
      <c r="O1202" s="82"/>
      <c r="P1202" s="82"/>
      <c r="Q1202" s="82"/>
      <c r="R1202" s="111"/>
      <c r="S1202" s="82"/>
      <c r="T1202" s="81" t="s">
        <v>144</v>
      </c>
      <c r="U1202" s="81" t="s">
        <v>3408</v>
      </c>
    </row>
    <row r="1203" spans="1:21" x14ac:dyDescent="0.25">
      <c r="A1203" s="81"/>
      <c r="B1203" s="81"/>
      <c r="C1203" s="81" t="s">
        <v>144</v>
      </c>
      <c r="D1203" s="81" t="s">
        <v>10</v>
      </c>
      <c r="E1203" s="81" t="s">
        <v>3470</v>
      </c>
      <c r="F1203" s="81" t="s">
        <v>150</v>
      </c>
      <c r="G1203" s="81" t="s">
        <v>3471</v>
      </c>
      <c r="H1203" s="81"/>
      <c r="I1203" s="81"/>
      <c r="J1203" s="81"/>
      <c r="K1203" s="81"/>
      <c r="L1203" s="81"/>
      <c r="M1203" s="82" t="s">
        <v>146</v>
      </c>
      <c r="N1203" s="82"/>
      <c r="O1203" s="82"/>
      <c r="P1203" s="82"/>
      <c r="Q1203" s="82"/>
      <c r="R1203" s="111"/>
      <c r="S1203" s="82"/>
      <c r="T1203" s="81" t="s">
        <v>144</v>
      </c>
      <c r="U1203" s="81" t="s">
        <v>3490</v>
      </c>
    </row>
    <row r="1204" spans="1:21" x14ac:dyDescent="0.25">
      <c r="A1204" s="81"/>
      <c r="B1204" s="81"/>
      <c r="C1204" s="81" t="s">
        <v>144</v>
      </c>
      <c r="D1204" s="81" t="s">
        <v>10</v>
      </c>
      <c r="E1204" s="81" t="s">
        <v>3472</v>
      </c>
      <c r="F1204" s="81" t="s">
        <v>150</v>
      </c>
      <c r="G1204" s="81" t="s">
        <v>3473</v>
      </c>
      <c r="H1204" s="81"/>
      <c r="I1204" s="81"/>
      <c r="J1204" s="81"/>
      <c r="K1204" s="81"/>
      <c r="L1204" s="81"/>
      <c r="M1204" s="82" t="s">
        <v>146</v>
      </c>
      <c r="N1204" s="82"/>
      <c r="O1204" s="82"/>
      <c r="P1204" s="82"/>
      <c r="Q1204" s="82"/>
      <c r="R1204" s="111"/>
      <c r="S1204" s="82"/>
      <c r="T1204" s="81" t="s">
        <v>144</v>
      </c>
      <c r="U1204" s="81" t="s">
        <v>3391</v>
      </c>
    </row>
    <row r="1205" spans="1:21" x14ac:dyDescent="0.25">
      <c r="A1205" s="81"/>
      <c r="B1205" s="81"/>
      <c r="C1205" s="81" t="s">
        <v>144</v>
      </c>
      <c r="D1205" s="81" t="s">
        <v>10</v>
      </c>
      <c r="E1205" s="81" t="s">
        <v>3295</v>
      </c>
      <c r="F1205" s="81" t="s">
        <v>150</v>
      </c>
      <c r="G1205" s="81" t="s">
        <v>3296</v>
      </c>
      <c r="H1205" s="81"/>
      <c r="I1205" s="81"/>
      <c r="J1205" s="81"/>
      <c r="K1205" s="81"/>
      <c r="L1205" s="81"/>
      <c r="M1205" s="82" t="s">
        <v>146</v>
      </c>
      <c r="N1205" s="82"/>
      <c r="O1205" s="82"/>
      <c r="P1205" s="82"/>
      <c r="Q1205" s="82"/>
      <c r="R1205" s="111"/>
      <c r="S1205" s="82"/>
      <c r="T1205" s="81" t="s">
        <v>144</v>
      </c>
      <c r="U1205" s="81" t="s">
        <v>3500</v>
      </c>
    </row>
    <row r="1206" spans="1:21" ht="30" x14ac:dyDescent="0.25">
      <c r="A1206" s="81"/>
      <c r="B1206" s="81"/>
      <c r="C1206" s="81" t="s">
        <v>144</v>
      </c>
      <c r="D1206" s="81" t="s">
        <v>10</v>
      </c>
      <c r="E1206" s="81" t="s">
        <v>3552</v>
      </c>
      <c r="F1206" s="81" t="s">
        <v>150</v>
      </c>
      <c r="G1206" s="81" t="s">
        <v>3528</v>
      </c>
      <c r="H1206" s="81"/>
      <c r="I1206" s="81"/>
      <c r="J1206" s="81"/>
      <c r="K1206" s="81"/>
      <c r="L1206" s="81"/>
      <c r="M1206" s="82" t="s">
        <v>146</v>
      </c>
      <c r="N1206" s="82"/>
      <c r="O1206" s="82"/>
      <c r="P1206" s="82"/>
      <c r="Q1206" s="82" t="s">
        <v>2701</v>
      </c>
      <c r="R1206" s="111"/>
      <c r="S1206" s="82"/>
      <c r="T1206" s="81" t="s">
        <v>144</v>
      </c>
      <c r="U1206" s="81" t="s">
        <v>3407</v>
      </c>
    </row>
    <row r="1207" spans="1:21" x14ac:dyDescent="0.25">
      <c r="A1207" s="81"/>
      <c r="B1207" s="81"/>
      <c r="C1207" s="81" t="s">
        <v>144</v>
      </c>
      <c r="D1207" s="81" t="s">
        <v>10</v>
      </c>
      <c r="E1207" s="81" t="s">
        <v>2702</v>
      </c>
      <c r="F1207" s="81" t="s">
        <v>150</v>
      </c>
      <c r="G1207" s="81" t="s">
        <v>2703</v>
      </c>
      <c r="H1207" s="81"/>
      <c r="I1207" s="81"/>
      <c r="J1207" s="81"/>
      <c r="K1207" s="81"/>
      <c r="L1207" s="81"/>
      <c r="M1207" s="82" t="s">
        <v>146</v>
      </c>
      <c r="N1207" s="82"/>
      <c r="O1207" s="82"/>
      <c r="P1207" s="82"/>
      <c r="Q1207" s="82" t="s">
        <v>2704</v>
      </c>
      <c r="R1207" s="111"/>
      <c r="S1207" s="82"/>
      <c r="T1207" s="81" t="s">
        <v>144</v>
      </c>
      <c r="U1207" s="81" t="s">
        <v>3504</v>
      </c>
    </row>
    <row r="1208" spans="1:21" ht="30" x14ac:dyDescent="0.25">
      <c r="A1208" s="81"/>
      <c r="B1208" s="81" t="s">
        <v>8</v>
      </c>
      <c r="C1208" s="81" t="s">
        <v>144</v>
      </c>
      <c r="D1208" s="81" t="s">
        <v>193</v>
      </c>
      <c r="E1208" s="81" t="s">
        <v>3568</v>
      </c>
      <c r="F1208" s="81">
        <v>4200</v>
      </c>
      <c r="G1208" s="81" t="s">
        <v>3569</v>
      </c>
      <c r="H1208" s="81"/>
      <c r="I1208" s="81"/>
      <c r="J1208" s="81"/>
      <c r="K1208" s="81"/>
      <c r="L1208" s="81"/>
      <c r="M1208" s="82" t="s">
        <v>146</v>
      </c>
      <c r="N1208" s="82"/>
      <c r="O1208" s="82"/>
      <c r="P1208" s="82"/>
      <c r="Q1208" s="82"/>
      <c r="R1208" s="111"/>
      <c r="S1208" s="82"/>
      <c r="T1208" s="81" t="s">
        <v>144</v>
      </c>
      <c r="U1208" s="81">
        <v>5400256592</v>
      </c>
    </row>
    <row r="1209" spans="1:21" ht="30" x14ac:dyDescent="0.25">
      <c r="A1209" s="81"/>
      <c r="B1209" s="81" t="s">
        <v>8</v>
      </c>
      <c r="C1209" s="81" t="s">
        <v>144</v>
      </c>
      <c r="D1209" s="81" t="s">
        <v>193</v>
      </c>
      <c r="E1209" s="81" t="s">
        <v>3570</v>
      </c>
      <c r="F1209" s="81">
        <v>4200</v>
      </c>
      <c r="G1209" s="81" t="s">
        <v>3571</v>
      </c>
      <c r="H1209" s="81"/>
      <c r="I1209" s="81"/>
      <c r="J1209" s="81"/>
      <c r="K1209" s="81"/>
      <c r="L1209" s="81"/>
      <c r="M1209" s="82" t="s">
        <v>146</v>
      </c>
      <c r="N1209" s="82"/>
      <c r="O1209" s="82"/>
      <c r="P1209" s="82"/>
      <c r="Q1209" s="82"/>
      <c r="R1209" s="111"/>
      <c r="S1209" s="82"/>
      <c r="T1209" s="81" t="s">
        <v>144</v>
      </c>
      <c r="U1209" s="81">
        <v>5400256592</v>
      </c>
    </row>
    <row r="1210" spans="1:21" ht="30" x14ac:dyDescent="0.25">
      <c r="A1210" s="81"/>
      <c r="B1210" s="81" t="s">
        <v>8</v>
      </c>
      <c r="C1210" s="81" t="s">
        <v>144</v>
      </c>
      <c r="D1210" s="81" t="s">
        <v>193</v>
      </c>
      <c r="E1210" s="81" t="s">
        <v>3572</v>
      </c>
      <c r="F1210" s="81">
        <v>4200</v>
      </c>
      <c r="G1210" s="81" t="s">
        <v>3573</v>
      </c>
      <c r="H1210" s="81"/>
      <c r="I1210" s="81"/>
      <c r="J1210" s="81"/>
      <c r="K1210" s="81"/>
      <c r="L1210" s="81"/>
      <c r="M1210" s="82" t="s">
        <v>146</v>
      </c>
      <c r="N1210" s="82"/>
      <c r="O1210" s="82"/>
      <c r="P1210" s="82"/>
      <c r="Q1210" s="82"/>
      <c r="R1210" s="111"/>
      <c r="S1210" s="82"/>
      <c r="T1210" s="81" t="s">
        <v>144</v>
      </c>
      <c r="U1210" s="81">
        <v>5400256592</v>
      </c>
    </row>
    <row r="1211" spans="1:21" ht="30" x14ac:dyDescent="0.25">
      <c r="A1211" s="81"/>
      <c r="B1211" s="81" t="s">
        <v>8</v>
      </c>
      <c r="C1211" s="81" t="s">
        <v>144</v>
      </c>
      <c r="D1211" s="81" t="s">
        <v>193</v>
      </c>
      <c r="E1211" s="81" t="s">
        <v>3574</v>
      </c>
      <c r="F1211" s="81">
        <v>4200</v>
      </c>
      <c r="G1211" s="81" t="s">
        <v>3575</v>
      </c>
      <c r="H1211" s="81"/>
      <c r="I1211" s="81"/>
      <c r="J1211" s="81"/>
      <c r="K1211" s="81"/>
      <c r="L1211" s="81"/>
      <c r="M1211" s="82" t="s">
        <v>146</v>
      </c>
      <c r="N1211" s="82"/>
      <c r="O1211" s="82"/>
      <c r="P1211" s="82"/>
      <c r="Q1211" s="82"/>
      <c r="R1211" s="111"/>
      <c r="S1211" s="82"/>
      <c r="T1211" s="81" t="s">
        <v>144</v>
      </c>
      <c r="U1211" s="81">
        <v>5400256592</v>
      </c>
    </row>
    <row r="1212" spans="1:21" ht="30" x14ac:dyDescent="0.25">
      <c r="A1212" s="178"/>
      <c r="B1212" s="178" t="s">
        <v>8</v>
      </c>
      <c r="C1212" s="178" t="s">
        <v>144</v>
      </c>
      <c r="D1212" s="178" t="s">
        <v>193</v>
      </c>
      <c r="E1212" s="178" t="s">
        <v>3576</v>
      </c>
      <c r="F1212" s="178">
        <v>4200</v>
      </c>
      <c r="G1212" s="178" t="s">
        <v>3577</v>
      </c>
      <c r="H1212" s="178"/>
      <c r="I1212" s="178"/>
      <c r="J1212" s="178"/>
      <c r="K1212" s="178"/>
      <c r="L1212" s="178"/>
      <c r="M1212" s="179" t="s">
        <v>146</v>
      </c>
      <c r="N1212" s="179"/>
      <c r="O1212" s="179"/>
      <c r="P1212" s="179"/>
      <c r="Q1212" s="179"/>
      <c r="R1212" s="180"/>
      <c r="S1212" s="179"/>
      <c r="T1212" s="178" t="s">
        <v>144</v>
      </c>
      <c r="U1212" s="178">
        <v>5400256592</v>
      </c>
    </row>
    <row r="1213" spans="1:21" ht="30" x14ac:dyDescent="0.25">
      <c r="B1213" s="8" t="s">
        <v>8</v>
      </c>
      <c r="C1213" s="8" t="s">
        <v>144</v>
      </c>
      <c r="D1213" s="8" t="s">
        <v>193</v>
      </c>
      <c r="E1213" s="8" t="s">
        <v>3578</v>
      </c>
      <c r="F1213" s="8">
        <v>4200</v>
      </c>
      <c r="G1213" s="8" t="s">
        <v>3579</v>
      </c>
      <c r="H1213" s="8"/>
      <c r="I1213" s="8"/>
      <c r="J1213" s="8"/>
      <c r="K1213" s="8"/>
      <c r="L1213" s="8"/>
      <c r="M1213" s="41" t="s">
        <v>146</v>
      </c>
      <c r="N1213" s="41"/>
      <c r="O1213" s="41"/>
      <c r="P1213" s="41"/>
      <c r="Q1213" s="41"/>
      <c r="R1213" s="181"/>
      <c r="S1213" s="41"/>
      <c r="T1213" s="8" t="s">
        <v>144</v>
      </c>
      <c r="U1213" s="8">
        <v>5400256592</v>
      </c>
    </row>
    <row r="1214" spans="1:21" ht="30" x14ac:dyDescent="0.25">
      <c r="A1214" s="178"/>
      <c r="B1214" s="178" t="s">
        <v>8</v>
      </c>
      <c r="C1214" s="178" t="s">
        <v>144</v>
      </c>
      <c r="D1214" s="178" t="s">
        <v>193</v>
      </c>
      <c r="E1214" s="178" t="s">
        <v>3580</v>
      </c>
      <c r="F1214" s="178">
        <v>4200</v>
      </c>
      <c r="G1214" s="178" t="s">
        <v>3581</v>
      </c>
      <c r="H1214" s="178"/>
      <c r="I1214" s="178"/>
      <c r="J1214" s="178"/>
      <c r="K1214" s="178"/>
      <c r="L1214" s="178"/>
      <c r="M1214" s="179" t="s">
        <v>146</v>
      </c>
      <c r="N1214" s="179"/>
      <c r="O1214" s="179"/>
      <c r="P1214" s="179"/>
      <c r="Q1214" s="179"/>
      <c r="R1214" s="180"/>
      <c r="S1214" s="179"/>
      <c r="T1214" s="178" t="s">
        <v>144</v>
      </c>
      <c r="U1214" s="178">
        <v>5400256592</v>
      </c>
    </row>
    <row r="1215" spans="1:21" ht="30" x14ac:dyDescent="0.25">
      <c r="A1215" s="178"/>
      <c r="B1215" s="178" t="s">
        <v>8</v>
      </c>
      <c r="C1215" s="178" t="s">
        <v>8</v>
      </c>
      <c r="D1215" s="178" t="s">
        <v>193</v>
      </c>
      <c r="E1215" s="178" t="s">
        <v>3533</v>
      </c>
      <c r="F1215" s="178">
        <v>4740</v>
      </c>
      <c r="G1215" s="178" t="s">
        <v>3534</v>
      </c>
      <c r="H1215" s="178" t="s">
        <v>8</v>
      </c>
      <c r="I1215" s="178" t="s">
        <v>8</v>
      </c>
      <c r="J1215" s="178" t="s">
        <v>8</v>
      </c>
      <c r="K1215" s="178" t="s">
        <v>8</v>
      </c>
      <c r="L1215" s="178" t="s">
        <v>8</v>
      </c>
      <c r="M1215" s="179" t="s">
        <v>146</v>
      </c>
      <c r="N1215" s="179"/>
      <c r="O1215" s="179"/>
      <c r="P1215" s="179"/>
      <c r="Q1215" s="179"/>
      <c r="R1215" s="180"/>
      <c r="S1215" s="179"/>
      <c r="T1215" s="178" t="s">
        <v>144</v>
      </c>
      <c r="U1215" s="178">
        <v>5400263639</v>
      </c>
    </row>
    <row r="1216" spans="1:21" ht="30" x14ac:dyDescent="0.25">
      <c r="B1216" s="8" t="s">
        <v>8</v>
      </c>
      <c r="C1216" s="8" t="s">
        <v>8</v>
      </c>
      <c r="D1216" s="8" t="s">
        <v>193</v>
      </c>
      <c r="E1216" s="8" t="s">
        <v>3535</v>
      </c>
      <c r="F1216" s="8">
        <v>4300</v>
      </c>
      <c r="G1216" s="8" t="s">
        <v>3536</v>
      </c>
      <c r="H1216" s="8" t="s">
        <v>8</v>
      </c>
      <c r="I1216" s="8" t="s">
        <v>8</v>
      </c>
      <c r="J1216" s="8" t="s">
        <v>8</v>
      </c>
      <c r="K1216" s="8" t="s">
        <v>8</v>
      </c>
      <c r="L1216" s="8" t="s">
        <v>8</v>
      </c>
      <c r="M1216" s="41" t="s">
        <v>146</v>
      </c>
      <c r="N1216" s="41"/>
      <c r="O1216" s="41"/>
      <c r="P1216" s="41"/>
      <c r="Q1216" s="41"/>
      <c r="R1216" s="181"/>
      <c r="S1216" s="41"/>
      <c r="T1216" s="8" t="s">
        <v>144</v>
      </c>
      <c r="U1216" s="8">
        <v>5400264762</v>
      </c>
    </row>
    <row r="1217" spans="1:21" ht="30" x14ac:dyDescent="0.25">
      <c r="A1217" s="8" t="s">
        <v>8</v>
      </c>
      <c r="B1217" s="8" t="s">
        <v>144</v>
      </c>
      <c r="C1217" s="8" t="s">
        <v>8</v>
      </c>
      <c r="D1217" s="8" t="s">
        <v>193</v>
      </c>
      <c r="E1217" s="8" t="s">
        <v>3189</v>
      </c>
      <c r="F1217" s="8">
        <v>4400</v>
      </c>
      <c r="G1217" s="8" t="s">
        <v>3190</v>
      </c>
      <c r="H1217" s="8" t="s">
        <v>8</v>
      </c>
      <c r="I1217" s="8" t="s">
        <v>8</v>
      </c>
      <c r="J1217" s="8" t="s">
        <v>8</v>
      </c>
      <c r="K1217" s="8" t="s">
        <v>8</v>
      </c>
      <c r="L1217" s="8" t="s">
        <v>8</v>
      </c>
      <c r="M1217" s="41" t="s">
        <v>146</v>
      </c>
      <c r="N1217" s="41"/>
      <c r="O1217" s="41"/>
      <c r="P1217" s="41"/>
      <c r="Q1217" s="41"/>
      <c r="R1217" s="181"/>
      <c r="S1217" s="41"/>
      <c r="T1217" s="8" t="s">
        <v>144</v>
      </c>
      <c r="U1217" s="8">
        <v>5400263638</v>
      </c>
    </row>
    <row r="1218" spans="1:21" ht="30" x14ac:dyDescent="0.25">
      <c r="A1218" s="8" t="s">
        <v>8</v>
      </c>
      <c r="B1218" s="8" t="s">
        <v>144</v>
      </c>
      <c r="C1218" s="8" t="s">
        <v>8</v>
      </c>
      <c r="D1218" s="8" t="s">
        <v>193</v>
      </c>
      <c r="E1218" s="8" t="s">
        <v>3192</v>
      </c>
      <c r="F1218" s="8">
        <v>4400</v>
      </c>
      <c r="G1218" s="8" t="s">
        <v>3193</v>
      </c>
      <c r="H1218" s="8" t="s">
        <v>8</v>
      </c>
      <c r="I1218" s="8" t="s">
        <v>8</v>
      </c>
      <c r="J1218" s="8" t="s">
        <v>8</v>
      </c>
      <c r="K1218" s="8" t="s">
        <v>8</v>
      </c>
      <c r="L1218" s="8" t="s">
        <v>8</v>
      </c>
      <c r="M1218" s="41" t="s">
        <v>146</v>
      </c>
      <c r="N1218" s="41"/>
      <c r="O1218" s="41"/>
      <c r="P1218" s="41"/>
      <c r="Q1218" s="41"/>
      <c r="R1218" s="181"/>
      <c r="S1218" s="41"/>
      <c r="T1218" s="8" t="s">
        <v>144</v>
      </c>
      <c r="U1218" s="8">
        <v>5400263638</v>
      </c>
    </row>
    <row r="1219" spans="1:21" ht="30" x14ac:dyDescent="0.25">
      <c r="A1219" s="8" t="s">
        <v>8</v>
      </c>
      <c r="B1219" s="8" t="s">
        <v>144</v>
      </c>
      <c r="C1219" s="8" t="s">
        <v>8</v>
      </c>
      <c r="D1219" s="8" t="s">
        <v>193</v>
      </c>
      <c r="E1219" s="8" t="s">
        <v>3194</v>
      </c>
      <c r="F1219" s="8">
        <v>4400</v>
      </c>
      <c r="G1219" s="8" t="s">
        <v>3195</v>
      </c>
      <c r="H1219" s="8" t="s">
        <v>8</v>
      </c>
      <c r="I1219" s="8" t="s">
        <v>8</v>
      </c>
      <c r="J1219" s="8" t="s">
        <v>8</v>
      </c>
      <c r="K1219" s="8" t="s">
        <v>8</v>
      </c>
      <c r="L1219" s="8" t="s">
        <v>8</v>
      </c>
      <c r="M1219" s="41" t="s">
        <v>146</v>
      </c>
      <c r="N1219" s="41"/>
      <c r="O1219" s="41"/>
      <c r="P1219" s="41"/>
      <c r="Q1219" s="41"/>
      <c r="R1219" s="181"/>
      <c r="S1219" s="41"/>
      <c r="T1219" s="8" t="s">
        <v>144</v>
      </c>
      <c r="U1219" s="8">
        <v>5400263638</v>
      </c>
    </row>
    <row r="1220" spans="1:21" ht="30" x14ac:dyDescent="0.25">
      <c r="A1220" s="8" t="s">
        <v>8</v>
      </c>
      <c r="B1220" s="8" t="s">
        <v>144</v>
      </c>
      <c r="C1220" s="8" t="s">
        <v>8</v>
      </c>
      <c r="D1220" s="8" t="s">
        <v>193</v>
      </c>
      <c r="E1220" s="8" t="s">
        <v>3196</v>
      </c>
      <c r="F1220" s="8">
        <v>4400</v>
      </c>
      <c r="G1220" s="8" t="s">
        <v>3197</v>
      </c>
      <c r="H1220" s="8" t="s">
        <v>8</v>
      </c>
      <c r="I1220" s="8" t="s">
        <v>8</v>
      </c>
      <c r="J1220" s="8" t="s">
        <v>8</v>
      </c>
      <c r="K1220" s="8" t="s">
        <v>8</v>
      </c>
      <c r="L1220" s="8" t="s">
        <v>8</v>
      </c>
      <c r="M1220" s="41" t="s">
        <v>146</v>
      </c>
      <c r="N1220" s="41"/>
      <c r="O1220" s="41"/>
      <c r="P1220" s="41"/>
      <c r="Q1220" s="41"/>
      <c r="R1220" s="181"/>
      <c r="S1220" s="41"/>
      <c r="T1220" s="8" t="s">
        <v>144</v>
      </c>
      <c r="U1220" s="8">
        <v>5400263638</v>
      </c>
    </row>
    <row r="1221" spans="1:21" ht="30" x14ac:dyDescent="0.25">
      <c r="A1221" s="8" t="s">
        <v>8</v>
      </c>
      <c r="B1221" s="8" t="s">
        <v>144</v>
      </c>
      <c r="C1221" s="8" t="s">
        <v>8</v>
      </c>
      <c r="D1221" s="8" t="s">
        <v>193</v>
      </c>
      <c r="E1221" s="8" t="s">
        <v>3199</v>
      </c>
      <c r="F1221" s="8">
        <v>4400</v>
      </c>
      <c r="G1221" s="8" t="s">
        <v>3200</v>
      </c>
      <c r="H1221" s="8" t="s">
        <v>8</v>
      </c>
      <c r="I1221" s="8" t="s">
        <v>8</v>
      </c>
      <c r="J1221" s="8" t="s">
        <v>8</v>
      </c>
      <c r="K1221" s="8" t="s">
        <v>8</v>
      </c>
      <c r="L1221" s="8" t="s">
        <v>8</v>
      </c>
      <c r="M1221" s="41" t="s">
        <v>146</v>
      </c>
      <c r="N1221" s="41"/>
      <c r="O1221" s="41"/>
      <c r="P1221" s="41"/>
      <c r="Q1221" s="41"/>
      <c r="R1221" s="181"/>
      <c r="S1221" s="41"/>
      <c r="T1221" s="8" t="s">
        <v>144</v>
      </c>
      <c r="U1221" s="8">
        <v>5400263638</v>
      </c>
    </row>
    <row r="1222" spans="1:21" ht="30" x14ac:dyDescent="0.25">
      <c r="A1222" s="8" t="s">
        <v>8</v>
      </c>
      <c r="B1222" s="8" t="s">
        <v>144</v>
      </c>
      <c r="C1222" s="8" t="s">
        <v>8</v>
      </c>
      <c r="D1222" s="8" t="s">
        <v>193</v>
      </c>
      <c r="E1222" s="8" t="s">
        <v>3202</v>
      </c>
      <c r="F1222" s="8">
        <v>4400</v>
      </c>
      <c r="G1222" s="8" t="s">
        <v>3203</v>
      </c>
      <c r="H1222" s="8" t="s">
        <v>8</v>
      </c>
      <c r="I1222" s="8" t="s">
        <v>8</v>
      </c>
      <c r="J1222" s="8" t="s">
        <v>8</v>
      </c>
      <c r="K1222" s="8" t="s">
        <v>8</v>
      </c>
      <c r="L1222" s="8" t="s">
        <v>8</v>
      </c>
      <c r="M1222" s="41" t="s">
        <v>146</v>
      </c>
      <c r="N1222" s="41"/>
      <c r="O1222" s="41"/>
      <c r="P1222" s="41"/>
      <c r="Q1222" s="41"/>
      <c r="R1222" s="181"/>
      <c r="S1222" s="41"/>
      <c r="T1222" s="8" t="s">
        <v>144</v>
      </c>
      <c r="U1222" s="8">
        <v>5400263638</v>
      </c>
    </row>
    <row r="1223" spans="1:21" ht="30" x14ac:dyDescent="0.25">
      <c r="A1223" s="8" t="s">
        <v>8</v>
      </c>
      <c r="B1223" s="8" t="s">
        <v>144</v>
      </c>
      <c r="C1223" s="8" t="s">
        <v>8</v>
      </c>
      <c r="D1223" s="8" t="s">
        <v>193</v>
      </c>
      <c r="E1223" s="8" t="s">
        <v>3207</v>
      </c>
      <c r="F1223" s="8">
        <v>4200</v>
      </c>
      <c r="G1223" s="8" t="s">
        <v>3208</v>
      </c>
      <c r="H1223" s="8" t="s">
        <v>8</v>
      </c>
      <c r="I1223" s="8" t="s">
        <v>8</v>
      </c>
      <c r="J1223" s="8" t="s">
        <v>8</v>
      </c>
      <c r="K1223" s="8" t="s">
        <v>8</v>
      </c>
      <c r="L1223" s="8" t="s">
        <v>8</v>
      </c>
      <c r="M1223" s="41" t="s">
        <v>146</v>
      </c>
      <c r="N1223" s="41"/>
      <c r="O1223" s="41"/>
      <c r="P1223" s="41"/>
      <c r="Q1223" s="41"/>
      <c r="R1223" s="181"/>
      <c r="S1223" s="41"/>
      <c r="T1223" s="8" t="s">
        <v>144</v>
      </c>
      <c r="U1223" s="8">
        <v>5400256592</v>
      </c>
    </row>
    <row r="1224" spans="1:21" ht="30" x14ac:dyDescent="0.25">
      <c r="A1224" s="8" t="s">
        <v>8</v>
      </c>
      <c r="B1224" s="8" t="s">
        <v>144</v>
      </c>
      <c r="C1224" s="8" t="s">
        <v>8</v>
      </c>
      <c r="D1224" s="8" t="s">
        <v>193</v>
      </c>
      <c r="E1224" s="8" t="s">
        <v>3209</v>
      </c>
      <c r="F1224" s="8">
        <v>4200</v>
      </c>
      <c r="G1224" s="8" t="s">
        <v>3210</v>
      </c>
      <c r="H1224" s="8" t="s">
        <v>8</v>
      </c>
      <c r="I1224" s="8" t="s">
        <v>8</v>
      </c>
      <c r="J1224" s="8" t="s">
        <v>8</v>
      </c>
      <c r="K1224" s="8" t="s">
        <v>8</v>
      </c>
      <c r="L1224" s="8" t="s">
        <v>8</v>
      </c>
      <c r="M1224" s="41" t="s">
        <v>146</v>
      </c>
      <c r="N1224" s="41"/>
      <c r="O1224" s="41"/>
      <c r="P1224" s="41"/>
      <c r="Q1224" s="41"/>
      <c r="R1224" s="181"/>
      <c r="S1224" s="41"/>
      <c r="T1224" s="8" t="s">
        <v>144</v>
      </c>
      <c r="U1224" s="8">
        <v>5400256592</v>
      </c>
    </row>
    <row r="1225" spans="1:21" x14ac:dyDescent="0.25">
      <c r="A1225" s="178"/>
      <c r="B1225" s="178"/>
      <c r="C1225" s="178" t="s">
        <v>144</v>
      </c>
      <c r="D1225" s="178" t="s">
        <v>30</v>
      </c>
      <c r="E1225" s="178" t="s">
        <v>115</v>
      </c>
      <c r="F1225" s="178" t="s">
        <v>153</v>
      </c>
      <c r="G1225" s="178" t="s">
        <v>114</v>
      </c>
      <c r="H1225" s="178"/>
      <c r="I1225" s="178"/>
      <c r="J1225" s="178"/>
      <c r="K1225" s="178"/>
      <c r="L1225" s="178"/>
      <c r="M1225" s="179" t="s">
        <v>3188</v>
      </c>
      <c r="N1225" s="179"/>
      <c r="O1225" s="179"/>
      <c r="P1225" s="179"/>
      <c r="Q1225" s="179"/>
      <c r="R1225" s="180"/>
      <c r="S1225" s="179"/>
      <c r="T1225" s="178" t="s">
        <v>144</v>
      </c>
      <c r="U1225" s="178" t="s">
        <v>144</v>
      </c>
    </row>
    <row r="1226" spans="1:21" x14ac:dyDescent="0.25">
      <c r="A1226" s="178"/>
      <c r="B1226" s="178"/>
      <c r="C1226" s="178" t="s">
        <v>144</v>
      </c>
      <c r="D1226" s="178" t="s">
        <v>30</v>
      </c>
      <c r="E1226" s="178" t="s">
        <v>116</v>
      </c>
      <c r="F1226" s="178" t="s">
        <v>153</v>
      </c>
      <c r="G1226" s="178" t="s">
        <v>117</v>
      </c>
      <c r="H1226" s="178"/>
      <c r="I1226" s="178"/>
      <c r="J1226" s="178"/>
      <c r="K1226" s="178"/>
      <c r="L1226" s="178"/>
      <c r="M1226" s="179" t="s">
        <v>3188</v>
      </c>
      <c r="N1226" s="179"/>
      <c r="O1226" s="179"/>
      <c r="P1226" s="179"/>
      <c r="Q1226" s="179"/>
      <c r="R1226" s="180"/>
      <c r="S1226" s="179"/>
      <c r="T1226" s="178" t="s">
        <v>144</v>
      </c>
      <c r="U1226" s="178" t="s">
        <v>144</v>
      </c>
    </row>
    <row r="1227" spans="1:21" ht="23.25" x14ac:dyDescent="0.25">
      <c r="H1227" s="32"/>
      <c r="I1227" s="32"/>
      <c r="J1227"/>
      <c r="K1227" s="32"/>
      <c r="L1227" s="33"/>
      <c r="M1227" s="19"/>
      <c r="N1227" s="19"/>
      <c r="O1227" s="19"/>
      <c r="P1227" s="19"/>
    </row>
    <row r="1228" spans="1:21" ht="23.25" x14ac:dyDescent="0.25">
      <c r="H1228" s="32"/>
      <c r="I1228" s="32"/>
      <c r="J1228" s="32"/>
      <c r="K1228" s="32"/>
      <c r="L1228" s="33"/>
    </row>
    <row r="1229" spans="1:21" ht="23.25" x14ac:dyDescent="0.25">
      <c r="H1229" s="32"/>
      <c r="I1229" s="32"/>
      <c r="J1229" s="32"/>
      <c r="K1229" s="32"/>
      <c r="L1229" s="33"/>
      <c r="M1229" s="5"/>
    </row>
    <row r="1230" spans="1:21" ht="23.25" x14ac:dyDescent="0.25">
      <c r="H1230" s="32"/>
      <c r="I1230" s="32"/>
      <c r="J1230" s="32"/>
      <c r="K1230" s="32"/>
      <c r="L1230" s="33"/>
    </row>
    <row r="1231" spans="1:21" ht="23.25" x14ac:dyDescent="0.25">
      <c r="H1231" s="32"/>
      <c r="I1231" s="32"/>
      <c r="J1231" s="32"/>
      <c r="K1231" s="32"/>
      <c r="L1231" s="33"/>
    </row>
    <row r="1232" spans="1:21" ht="23.25" x14ac:dyDescent="0.25">
      <c r="H1232" s="32"/>
      <c r="I1232" s="32"/>
      <c r="J1232" s="32"/>
      <c r="K1232" s="32"/>
      <c r="L1232" s="33"/>
    </row>
    <row r="1233" spans="8:12" ht="23.25" x14ac:dyDescent="0.25">
      <c r="H1233" s="32"/>
      <c r="I1233" s="32"/>
      <c r="J1233" s="32"/>
      <c r="K1233" s="32"/>
      <c r="L1233" s="33"/>
    </row>
    <row r="1234" spans="8:12" ht="23.25" x14ac:dyDescent="0.25">
      <c r="H1234" s="32"/>
      <c r="I1234" s="32"/>
      <c r="J1234" s="32"/>
      <c r="K1234" s="32"/>
      <c r="L1234" s="33"/>
    </row>
    <row r="1235" spans="8:12" ht="30" customHeight="1" x14ac:dyDescent="0.25">
      <c r="H1235" s="32"/>
      <c r="I1235" s="32"/>
      <c r="J1235" s="32"/>
      <c r="K1235" s="32"/>
      <c r="L1235" s="33"/>
    </row>
    <row r="1236" spans="8:12" ht="23.25" x14ac:dyDescent="0.25">
      <c r="H1236" s="32"/>
      <c r="I1236" s="32"/>
      <c r="J1236" s="32"/>
      <c r="K1236" s="32"/>
      <c r="L1236" s="33"/>
    </row>
    <row r="1237" spans="8:12" ht="23.25" x14ac:dyDescent="0.25">
      <c r="H1237" s="32"/>
      <c r="I1237" s="32"/>
      <c r="J1237" s="32"/>
      <c r="K1237" s="32"/>
      <c r="L1237" s="33"/>
    </row>
    <row r="1238" spans="8:12" ht="23.25" x14ac:dyDescent="0.25">
      <c r="H1238" s="32"/>
      <c r="I1238" s="32"/>
      <c r="J1238" s="32"/>
      <c r="K1238" s="32"/>
      <c r="L1238" s="33"/>
    </row>
    <row r="1239" spans="8:12" ht="23.25" x14ac:dyDescent="0.25">
      <c r="H1239" s="32"/>
      <c r="I1239" s="32"/>
      <c r="J1239" s="32"/>
      <c r="K1239" s="32"/>
      <c r="L1239" s="33"/>
    </row>
    <row r="1240" spans="8:12" ht="23.25" x14ac:dyDescent="0.25">
      <c r="H1240" s="32"/>
      <c r="I1240" s="32"/>
      <c r="J1240" s="32"/>
      <c r="K1240" s="32"/>
      <c r="L1240" s="33"/>
    </row>
    <row r="1241" spans="8:12" ht="23.25" x14ac:dyDescent="0.25">
      <c r="H1241" s="32"/>
      <c r="I1241" s="32"/>
      <c r="J1241" s="32"/>
      <c r="K1241" s="32"/>
      <c r="L1241" s="33"/>
    </row>
    <row r="1242" spans="8:12" ht="23.25" x14ac:dyDescent="0.25">
      <c r="H1242" s="32"/>
      <c r="I1242" s="32"/>
      <c r="J1242" s="32"/>
      <c r="K1242" s="32"/>
      <c r="L1242" s="33"/>
    </row>
    <row r="1243" spans="8:12" ht="23.25" x14ac:dyDescent="0.25">
      <c r="H1243" s="32"/>
      <c r="I1243" s="32"/>
      <c r="J1243" s="32"/>
      <c r="K1243" s="32"/>
      <c r="L1243" s="33"/>
    </row>
    <row r="1244" spans="8:12" ht="23.25" x14ac:dyDescent="0.25">
      <c r="H1244" s="32"/>
      <c r="I1244" s="32"/>
      <c r="J1244" s="32"/>
      <c r="K1244" s="32"/>
      <c r="L1244" s="33"/>
    </row>
    <row r="1245" spans="8:12" ht="23.25" x14ac:dyDescent="0.25">
      <c r="H1245" s="32"/>
      <c r="I1245" s="32"/>
      <c r="J1245" s="32"/>
      <c r="K1245" s="32"/>
      <c r="L1245" s="33"/>
    </row>
    <row r="1246" spans="8:12" ht="23.25" x14ac:dyDescent="0.25">
      <c r="H1246" s="32"/>
      <c r="I1246" s="32"/>
      <c r="J1246" s="32"/>
      <c r="K1246" s="32"/>
      <c r="L1246" s="33"/>
    </row>
    <row r="1247" spans="8:12" ht="23.25" x14ac:dyDescent="0.25">
      <c r="H1247" s="32"/>
      <c r="I1247" s="32"/>
      <c r="J1247" s="32"/>
      <c r="K1247" s="32"/>
      <c r="L1247" s="33"/>
    </row>
    <row r="1248" spans="8:12" ht="23.25" x14ac:dyDescent="0.25">
      <c r="H1248" s="32"/>
      <c r="I1248" s="32"/>
      <c r="J1248" s="32"/>
      <c r="K1248" s="32"/>
      <c r="L1248" s="33"/>
    </row>
    <row r="1249" spans="8:12" ht="23.25" x14ac:dyDescent="0.25">
      <c r="H1249" s="32"/>
      <c r="I1249" s="32"/>
      <c r="J1249" s="32"/>
      <c r="K1249" s="32"/>
      <c r="L1249" s="33"/>
    </row>
    <row r="1250" spans="8:12" ht="23.25" x14ac:dyDescent="0.25">
      <c r="H1250" s="32"/>
      <c r="I1250" s="32"/>
      <c r="J1250" s="32"/>
      <c r="K1250" s="32"/>
      <c r="L1250" s="33"/>
    </row>
    <row r="1251" spans="8:12" ht="23.25" x14ac:dyDescent="0.25">
      <c r="H1251" s="32"/>
      <c r="I1251" s="32"/>
      <c r="J1251" s="32"/>
      <c r="K1251" s="32"/>
      <c r="L1251" s="33"/>
    </row>
    <row r="1252" spans="8:12" ht="23.25" x14ac:dyDescent="0.25">
      <c r="H1252" s="32"/>
      <c r="I1252" s="32"/>
      <c r="J1252" s="32"/>
      <c r="K1252" s="32"/>
      <c r="L1252" s="33"/>
    </row>
    <row r="1253" spans="8:12" ht="23.25" x14ac:dyDescent="0.25">
      <c r="H1253" s="32"/>
      <c r="I1253" s="32"/>
      <c r="J1253" s="32"/>
      <c r="K1253" s="32"/>
      <c r="L1253" s="33"/>
    </row>
    <row r="1254" spans="8:12" ht="23.25" x14ac:dyDescent="0.25">
      <c r="H1254" s="32"/>
      <c r="I1254" s="32"/>
      <c r="J1254" s="32"/>
      <c r="K1254" s="32"/>
      <c r="L1254" s="33"/>
    </row>
    <row r="1255" spans="8:12" ht="23.25" x14ac:dyDescent="0.25">
      <c r="H1255" s="32"/>
      <c r="I1255" s="32"/>
      <c r="J1255" s="32"/>
      <c r="K1255" s="32"/>
      <c r="L1255" s="33"/>
    </row>
    <row r="1256" spans="8:12" ht="23.25" x14ac:dyDescent="0.25">
      <c r="H1256" s="32"/>
      <c r="I1256" s="32"/>
      <c r="J1256" s="32"/>
      <c r="K1256" s="32"/>
      <c r="L1256" s="33"/>
    </row>
    <row r="1257" spans="8:12" ht="23.25" x14ac:dyDescent="0.25">
      <c r="H1257" s="32"/>
      <c r="I1257" s="32"/>
      <c r="J1257" s="32"/>
      <c r="K1257" s="32"/>
      <c r="L1257" s="33"/>
    </row>
    <row r="1258" spans="8:12" ht="23.25" x14ac:dyDescent="0.25">
      <c r="H1258" s="32"/>
      <c r="I1258" s="32"/>
      <c r="J1258" s="32"/>
      <c r="K1258" s="32"/>
      <c r="L1258" s="33"/>
    </row>
    <row r="1259" spans="8:12" ht="23.25" x14ac:dyDescent="0.25">
      <c r="H1259" s="32"/>
      <c r="I1259" s="32"/>
      <c r="J1259" s="32"/>
      <c r="K1259" s="32"/>
      <c r="L1259" s="33"/>
    </row>
    <row r="1260" spans="8:12" ht="23.25" x14ac:dyDescent="0.25">
      <c r="H1260" s="32"/>
      <c r="I1260" s="32"/>
      <c r="J1260" s="32"/>
      <c r="K1260" s="32"/>
      <c r="L1260" s="33"/>
    </row>
    <row r="1261" spans="8:12" ht="23.25" x14ac:dyDescent="0.25">
      <c r="H1261" s="32"/>
      <c r="I1261" s="32"/>
      <c r="J1261" s="32"/>
      <c r="K1261" s="32"/>
      <c r="L1261" s="33"/>
    </row>
    <row r="1262" spans="8:12" ht="23.25" x14ac:dyDescent="0.25">
      <c r="H1262" s="32"/>
      <c r="I1262" s="32"/>
      <c r="J1262" s="32"/>
      <c r="K1262" s="32"/>
      <c r="L1262" s="33"/>
    </row>
    <row r="1263" spans="8:12" ht="23.25" x14ac:dyDescent="0.25">
      <c r="H1263" s="32"/>
      <c r="I1263" s="32"/>
      <c r="J1263" s="32"/>
      <c r="K1263" s="32"/>
      <c r="L1263" s="33"/>
    </row>
    <row r="1264" spans="8:12" ht="23.25" x14ac:dyDescent="0.25">
      <c r="H1264" s="32"/>
      <c r="I1264" s="32"/>
      <c r="J1264" s="32"/>
      <c r="K1264" s="32"/>
      <c r="L1264" s="33"/>
    </row>
    <row r="1265" spans="8:12" ht="23.25" x14ac:dyDescent="0.25">
      <c r="H1265" s="32"/>
      <c r="I1265" s="32"/>
      <c r="J1265" s="32"/>
      <c r="K1265" s="32"/>
      <c r="L1265" s="33"/>
    </row>
    <row r="1266" spans="8:12" ht="23.25" x14ac:dyDescent="0.25">
      <c r="H1266" s="32"/>
      <c r="I1266" s="32"/>
      <c r="J1266" s="32"/>
      <c r="K1266" s="32"/>
      <c r="L1266" s="33"/>
    </row>
    <row r="1267" spans="8:12" ht="23.25" x14ac:dyDescent="0.25">
      <c r="H1267" s="32"/>
      <c r="I1267" s="32"/>
      <c r="J1267" s="32"/>
      <c r="K1267" s="32"/>
      <c r="L1267" s="33"/>
    </row>
    <row r="1268" spans="8:12" ht="23.25" x14ac:dyDescent="0.25">
      <c r="H1268" s="32"/>
      <c r="I1268" s="32"/>
      <c r="J1268" s="32"/>
      <c r="K1268" s="32"/>
      <c r="L1268" s="33"/>
    </row>
    <row r="1269" spans="8:12" ht="23.25" x14ac:dyDescent="0.25">
      <c r="H1269" s="32"/>
      <c r="I1269" s="32"/>
      <c r="J1269" s="32"/>
      <c r="K1269" s="32"/>
      <c r="L1269" s="33"/>
    </row>
    <row r="1270" spans="8:12" ht="23.25" x14ac:dyDescent="0.25">
      <c r="H1270" s="32"/>
      <c r="I1270" s="32"/>
      <c r="J1270" s="32"/>
      <c r="K1270" s="32"/>
      <c r="L1270" s="33"/>
    </row>
    <row r="1271" spans="8:12" ht="23.25" x14ac:dyDescent="0.25">
      <c r="H1271" s="32"/>
      <c r="I1271" s="32"/>
      <c r="J1271" s="32"/>
      <c r="K1271" s="32"/>
      <c r="L1271" s="33"/>
    </row>
    <row r="1272" spans="8:12" ht="23.25" x14ac:dyDescent="0.25">
      <c r="H1272" s="32"/>
      <c r="I1272" s="32"/>
      <c r="J1272" s="32"/>
      <c r="K1272" s="32"/>
      <c r="L1272" s="33"/>
    </row>
    <row r="1273" spans="8:12" ht="23.25" x14ac:dyDescent="0.25">
      <c r="H1273" s="32"/>
      <c r="I1273" s="32"/>
      <c r="J1273" s="32"/>
      <c r="K1273" s="32"/>
      <c r="L1273" s="33"/>
    </row>
    <row r="1274" spans="8:12" ht="23.25" x14ac:dyDescent="0.25">
      <c r="H1274" s="32"/>
      <c r="I1274" s="32"/>
      <c r="J1274" s="32"/>
      <c r="K1274" s="32"/>
      <c r="L1274" s="33"/>
    </row>
    <row r="1275" spans="8:12" ht="23.25" x14ac:dyDescent="0.25">
      <c r="H1275" s="32"/>
      <c r="I1275" s="32"/>
      <c r="J1275" s="32"/>
      <c r="K1275" s="32"/>
      <c r="L1275" s="33"/>
    </row>
    <row r="1276" spans="8:12" ht="15" customHeight="1" x14ac:dyDescent="0.25">
      <c r="H1276" s="32"/>
      <c r="I1276" s="32"/>
      <c r="J1276" s="32"/>
      <c r="K1276" s="32"/>
      <c r="L1276" s="33"/>
    </row>
    <row r="1277" spans="8:12" ht="23.25" x14ac:dyDescent="0.25">
      <c r="H1277" s="32"/>
      <c r="I1277" s="32"/>
      <c r="J1277" s="32"/>
      <c r="K1277" s="32"/>
      <c r="L1277" s="33"/>
    </row>
    <row r="1278" spans="8:12" ht="23.25" x14ac:dyDescent="0.25">
      <c r="H1278" s="32"/>
      <c r="I1278" s="32"/>
      <c r="J1278" s="32"/>
      <c r="K1278" s="32"/>
      <c r="L1278" s="33"/>
    </row>
    <row r="1279" spans="8:12" ht="23.25" x14ac:dyDescent="0.25">
      <c r="H1279" s="32"/>
      <c r="I1279" s="32"/>
      <c r="J1279" s="32"/>
      <c r="K1279" s="32"/>
      <c r="L1279" s="33"/>
    </row>
    <row r="1280" spans="8:12" ht="23.25" x14ac:dyDescent="0.25">
      <c r="H1280" s="32"/>
      <c r="I1280" s="32"/>
      <c r="J1280" s="32"/>
      <c r="K1280" s="32"/>
      <c r="L1280" s="33"/>
    </row>
    <row r="1281" spans="8:12" ht="23.25" x14ac:dyDescent="0.25">
      <c r="H1281" s="32"/>
      <c r="I1281" s="32"/>
      <c r="J1281" s="32"/>
      <c r="K1281" s="32"/>
      <c r="L1281" s="33"/>
    </row>
    <row r="1282" spans="8:12" ht="23.25" x14ac:dyDescent="0.25">
      <c r="H1282" s="32"/>
      <c r="I1282" s="32"/>
      <c r="J1282" s="32"/>
      <c r="K1282" s="32"/>
      <c r="L1282" s="33"/>
    </row>
    <row r="1283" spans="8:12" ht="23.25" x14ac:dyDescent="0.25">
      <c r="H1283" s="32"/>
      <c r="I1283" s="32"/>
      <c r="J1283" s="32"/>
      <c r="K1283" s="32"/>
      <c r="L1283" s="33"/>
    </row>
    <row r="1284" spans="8:12" ht="23.25" x14ac:dyDescent="0.25">
      <c r="H1284" s="32"/>
      <c r="I1284" s="32"/>
      <c r="J1284" s="32"/>
      <c r="K1284" s="32"/>
      <c r="L1284" s="33"/>
    </row>
    <row r="1285" spans="8:12" ht="23.25" x14ac:dyDescent="0.25">
      <c r="H1285" s="32"/>
      <c r="I1285" s="32"/>
      <c r="J1285" s="32"/>
      <c r="K1285" s="32"/>
      <c r="L1285" s="33"/>
    </row>
    <row r="1286" spans="8:12" ht="23.25" x14ac:dyDescent="0.25">
      <c r="H1286" s="32"/>
      <c r="I1286" s="32"/>
      <c r="J1286" s="32"/>
      <c r="K1286" s="32"/>
      <c r="L1286" s="33"/>
    </row>
    <row r="1287" spans="8:12" ht="23.25" x14ac:dyDescent="0.25">
      <c r="H1287" s="32"/>
      <c r="I1287" s="32"/>
      <c r="J1287" s="32"/>
      <c r="K1287" s="32"/>
      <c r="L1287" s="33"/>
    </row>
    <row r="1288" spans="8:12" ht="23.25" x14ac:dyDescent="0.25">
      <c r="H1288" s="32"/>
      <c r="I1288" s="32"/>
      <c r="J1288" s="32"/>
      <c r="K1288" s="32"/>
      <c r="L1288" s="33"/>
    </row>
    <row r="1289" spans="8:12" ht="23.25" x14ac:dyDescent="0.25">
      <c r="H1289" s="32"/>
      <c r="I1289" s="32"/>
      <c r="J1289" s="32"/>
      <c r="K1289" s="32"/>
      <c r="L1289" s="33"/>
    </row>
    <row r="1290" spans="8:12" ht="23.25" x14ac:dyDescent="0.25">
      <c r="H1290" s="32"/>
      <c r="I1290" s="32"/>
      <c r="J1290" s="32"/>
      <c r="K1290" s="32"/>
      <c r="L1290" s="33"/>
    </row>
    <row r="1291" spans="8:12" ht="23.25" x14ac:dyDescent="0.25">
      <c r="H1291" s="32"/>
      <c r="I1291" s="32"/>
      <c r="J1291" s="32"/>
      <c r="K1291" s="32"/>
      <c r="L1291" s="33"/>
    </row>
    <row r="1292" spans="8:12" ht="23.25" x14ac:dyDescent="0.25">
      <c r="H1292" s="32"/>
      <c r="I1292" s="32"/>
      <c r="J1292" s="32"/>
      <c r="K1292" s="32"/>
      <c r="L1292" s="33"/>
    </row>
    <row r="1293" spans="8:12" ht="23.25" x14ac:dyDescent="0.25">
      <c r="H1293" s="32"/>
      <c r="I1293" s="32"/>
      <c r="J1293" s="32"/>
      <c r="K1293" s="32"/>
      <c r="L1293" s="33"/>
    </row>
    <row r="1294" spans="8:12" ht="23.25" x14ac:dyDescent="0.25">
      <c r="H1294" s="32"/>
      <c r="I1294" s="32"/>
      <c r="J1294" s="32"/>
      <c r="K1294" s="32"/>
      <c r="L1294" s="33"/>
    </row>
    <row r="1295" spans="8:12" ht="23.25" x14ac:dyDescent="0.25">
      <c r="H1295" s="32"/>
      <c r="I1295" s="32"/>
      <c r="J1295" s="32"/>
      <c r="K1295" s="32"/>
      <c r="L1295" s="33"/>
    </row>
    <row r="1296" spans="8:12" ht="23.25" x14ac:dyDescent="0.25">
      <c r="H1296" s="32"/>
      <c r="I1296" s="32"/>
      <c r="J1296" s="32"/>
      <c r="K1296" s="32"/>
      <c r="L1296" s="33"/>
    </row>
    <row r="1297" spans="8:12" ht="23.25" x14ac:dyDescent="0.25">
      <c r="H1297" s="32"/>
      <c r="I1297" s="32"/>
      <c r="J1297" s="32"/>
      <c r="K1297" s="32"/>
      <c r="L1297" s="33"/>
    </row>
    <row r="1298" spans="8:12" ht="23.25" x14ac:dyDescent="0.25">
      <c r="H1298" s="32"/>
      <c r="I1298" s="32"/>
      <c r="J1298" s="32"/>
      <c r="K1298" s="32"/>
      <c r="L1298" s="33"/>
    </row>
    <row r="1299" spans="8:12" ht="23.25" x14ac:dyDescent="0.25">
      <c r="H1299" s="32"/>
      <c r="I1299" s="32"/>
      <c r="J1299" s="32"/>
      <c r="K1299" s="32"/>
      <c r="L1299" s="33"/>
    </row>
    <row r="1300" spans="8:12" ht="23.25" x14ac:dyDescent="0.25">
      <c r="H1300" s="32"/>
      <c r="I1300" s="32"/>
      <c r="J1300" s="32"/>
      <c r="K1300" s="32"/>
      <c r="L1300" s="33"/>
    </row>
    <row r="1301" spans="8:12" ht="23.25" x14ac:dyDescent="0.25">
      <c r="H1301" s="32"/>
      <c r="I1301" s="32"/>
      <c r="J1301" s="32"/>
      <c r="K1301" s="32"/>
      <c r="L1301" s="33"/>
    </row>
    <row r="1302" spans="8:12" ht="23.25" x14ac:dyDescent="0.25">
      <c r="H1302" s="32"/>
      <c r="I1302" s="32"/>
      <c r="J1302" s="32"/>
      <c r="K1302" s="32"/>
      <c r="L1302" s="33"/>
    </row>
    <row r="1303" spans="8:12" ht="23.25" x14ac:dyDescent="0.25">
      <c r="H1303" s="32"/>
      <c r="I1303" s="32"/>
      <c r="J1303" s="32"/>
      <c r="K1303" s="32"/>
      <c r="L1303" s="33"/>
    </row>
    <row r="1304" spans="8:12" ht="23.25" x14ac:dyDescent="0.25">
      <c r="H1304" s="32"/>
      <c r="I1304" s="32"/>
      <c r="J1304" s="32"/>
      <c r="K1304" s="32"/>
      <c r="L1304" s="33"/>
    </row>
    <row r="1305" spans="8:12" ht="23.25" x14ac:dyDescent="0.25">
      <c r="H1305" s="32"/>
      <c r="I1305" s="32"/>
      <c r="J1305" s="32"/>
      <c r="K1305" s="32"/>
      <c r="L1305" s="33"/>
    </row>
    <row r="1306" spans="8:12" ht="23.25" x14ac:dyDescent="0.25">
      <c r="H1306" s="32"/>
      <c r="I1306" s="32"/>
      <c r="J1306" s="32"/>
      <c r="K1306" s="32"/>
      <c r="L1306" s="33"/>
    </row>
    <row r="1307" spans="8:12" ht="23.25" x14ac:dyDescent="0.25">
      <c r="H1307" s="32"/>
      <c r="I1307" s="32"/>
      <c r="J1307" s="32"/>
      <c r="K1307" s="32"/>
      <c r="L1307" s="33"/>
    </row>
    <row r="1308" spans="8:12" ht="23.25" x14ac:dyDescent="0.25">
      <c r="H1308" s="32"/>
      <c r="I1308" s="32"/>
      <c r="J1308" s="32"/>
      <c r="K1308" s="32"/>
      <c r="L1308" s="33"/>
    </row>
    <row r="1309" spans="8:12" ht="23.25" x14ac:dyDescent="0.25">
      <c r="H1309" s="32"/>
      <c r="I1309" s="32"/>
      <c r="J1309" s="32"/>
      <c r="K1309" s="32"/>
      <c r="L1309" s="33"/>
    </row>
    <row r="1310" spans="8:12" ht="23.25" x14ac:dyDescent="0.25">
      <c r="H1310" s="32"/>
      <c r="I1310" s="32"/>
      <c r="J1310" s="32"/>
      <c r="K1310" s="32"/>
      <c r="L1310" s="33"/>
    </row>
    <row r="1311" spans="8:12" ht="30" customHeight="1" x14ac:dyDescent="0.25">
      <c r="H1311" s="32"/>
      <c r="I1311" s="32"/>
      <c r="J1311" s="32"/>
      <c r="K1311" s="32"/>
      <c r="L1311" s="33"/>
    </row>
    <row r="1312" spans="8:12" ht="23.25" x14ac:dyDescent="0.25">
      <c r="H1312" s="32"/>
      <c r="I1312" s="32"/>
      <c r="J1312" s="32"/>
      <c r="K1312" s="32"/>
      <c r="L1312" s="33"/>
    </row>
    <row r="1313" spans="8:12" ht="23.25" x14ac:dyDescent="0.25">
      <c r="H1313" s="32"/>
      <c r="I1313" s="32"/>
      <c r="J1313" s="32"/>
      <c r="K1313" s="32"/>
      <c r="L1313" s="33"/>
    </row>
    <row r="1314" spans="8:12" ht="23.25" x14ac:dyDescent="0.25">
      <c r="H1314" s="32"/>
      <c r="I1314" s="32"/>
      <c r="J1314" s="32"/>
      <c r="K1314" s="32"/>
      <c r="L1314" s="33"/>
    </row>
    <row r="1315" spans="8:12" ht="23.25" x14ac:dyDescent="0.25">
      <c r="H1315" s="32"/>
      <c r="I1315" s="32"/>
      <c r="J1315" s="32"/>
      <c r="K1315" s="32"/>
      <c r="L1315" s="33"/>
    </row>
    <row r="1316" spans="8:12" ht="23.25" x14ac:dyDescent="0.25">
      <c r="H1316" s="32"/>
      <c r="I1316" s="32"/>
      <c r="J1316" s="32"/>
      <c r="K1316" s="32"/>
      <c r="L1316" s="33"/>
    </row>
    <row r="1317" spans="8:12" ht="23.25" x14ac:dyDescent="0.25">
      <c r="H1317" s="32"/>
      <c r="I1317" s="32"/>
      <c r="J1317" s="32"/>
      <c r="K1317" s="32"/>
      <c r="L1317" s="33"/>
    </row>
    <row r="1318" spans="8:12" ht="23.25" x14ac:dyDescent="0.25">
      <c r="H1318" s="32"/>
      <c r="I1318" s="32"/>
      <c r="J1318" s="32"/>
      <c r="K1318" s="32"/>
      <c r="L1318" s="33"/>
    </row>
    <row r="1319" spans="8:12" ht="23.25" x14ac:dyDescent="0.25">
      <c r="H1319" s="32"/>
      <c r="I1319" s="32"/>
      <c r="J1319" s="32"/>
      <c r="K1319" s="32"/>
      <c r="L1319" s="33"/>
    </row>
    <row r="1320" spans="8:12" ht="23.25" x14ac:dyDescent="0.25">
      <c r="H1320" s="32"/>
      <c r="I1320" s="32"/>
      <c r="J1320" s="32"/>
      <c r="K1320" s="32"/>
      <c r="L1320" s="33"/>
    </row>
    <row r="1321" spans="8:12" ht="23.25" x14ac:dyDescent="0.25">
      <c r="H1321" s="32"/>
      <c r="I1321" s="32"/>
      <c r="J1321" s="32"/>
      <c r="K1321" s="32"/>
      <c r="L1321" s="33"/>
    </row>
    <row r="1322" spans="8:12" ht="23.25" x14ac:dyDescent="0.25">
      <c r="H1322" s="32"/>
      <c r="I1322" s="32"/>
      <c r="J1322" s="32"/>
      <c r="K1322" s="32"/>
      <c r="L1322" s="33"/>
    </row>
    <row r="1323" spans="8:12" ht="23.25" x14ac:dyDescent="0.25">
      <c r="H1323" s="32"/>
      <c r="I1323" s="32"/>
      <c r="J1323" s="32"/>
      <c r="K1323" s="32"/>
      <c r="L1323" s="33"/>
    </row>
    <row r="1324" spans="8:12" ht="23.25" x14ac:dyDescent="0.25">
      <c r="H1324" s="32"/>
      <c r="I1324" s="32"/>
      <c r="J1324" s="32"/>
      <c r="K1324" s="32"/>
      <c r="L1324" s="33"/>
    </row>
    <row r="1325" spans="8:12" ht="23.25" x14ac:dyDescent="0.25">
      <c r="H1325" s="32"/>
      <c r="I1325" s="32"/>
      <c r="J1325" s="32"/>
      <c r="K1325" s="32"/>
      <c r="L1325" s="33"/>
    </row>
    <row r="1326" spans="8:12" ht="23.25" x14ac:dyDescent="0.25">
      <c r="H1326" s="32"/>
      <c r="I1326" s="32"/>
      <c r="J1326" s="32"/>
      <c r="K1326" s="32"/>
      <c r="L1326" s="33"/>
    </row>
    <row r="1327" spans="8:12" ht="23.25" x14ac:dyDescent="0.25">
      <c r="H1327" s="32"/>
      <c r="I1327" s="32"/>
      <c r="J1327" s="32"/>
      <c r="K1327" s="32"/>
      <c r="L1327" s="33"/>
    </row>
    <row r="1328" spans="8:12" ht="23.25" x14ac:dyDescent="0.25">
      <c r="H1328" s="32"/>
      <c r="I1328" s="32"/>
      <c r="J1328" s="32"/>
      <c r="K1328" s="32"/>
      <c r="L1328" s="33"/>
    </row>
    <row r="1329" spans="8:12" ht="23.25" x14ac:dyDescent="0.25">
      <c r="H1329" s="32"/>
      <c r="I1329" s="32"/>
      <c r="J1329" s="32"/>
      <c r="K1329" s="32"/>
      <c r="L1329" s="33"/>
    </row>
    <row r="1330" spans="8:12" ht="23.25" x14ac:dyDescent="0.25">
      <c r="H1330" s="32"/>
      <c r="I1330" s="32"/>
      <c r="J1330" s="32"/>
      <c r="K1330" s="32"/>
      <c r="L1330" s="33"/>
    </row>
    <row r="1331" spans="8:12" ht="23.25" x14ac:dyDescent="0.25">
      <c r="H1331" s="32"/>
      <c r="I1331" s="32"/>
      <c r="J1331" s="32"/>
      <c r="K1331" s="32"/>
      <c r="L1331" s="33"/>
    </row>
    <row r="1332" spans="8:12" ht="23.25" x14ac:dyDescent="0.25">
      <c r="H1332" s="32"/>
      <c r="I1332" s="32"/>
      <c r="J1332" s="32"/>
      <c r="K1332" s="32"/>
      <c r="L1332" s="33"/>
    </row>
    <row r="1333" spans="8:12" ht="23.25" x14ac:dyDescent="0.25">
      <c r="H1333" s="32"/>
      <c r="I1333" s="32"/>
      <c r="J1333" s="32"/>
      <c r="K1333" s="32"/>
      <c r="L1333" s="33"/>
    </row>
    <row r="1334" spans="8:12" ht="23.25" x14ac:dyDescent="0.25">
      <c r="H1334" s="32"/>
      <c r="I1334" s="32"/>
      <c r="J1334" s="32"/>
      <c r="K1334" s="32"/>
      <c r="L1334" s="33"/>
    </row>
    <row r="1335" spans="8:12" ht="23.25" x14ac:dyDescent="0.25">
      <c r="H1335" s="32"/>
      <c r="I1335" s="32"/>
      <c r="J1335" s="32"/>
      <c r="K1335" s="32"/>
      <c r="L1335" s="33"/>
    </row>
    <row r="1336" spans="8:12" ht="23.25" x14ac:dyDescent="0.25">
      <c r="H1336" s="32"/>
      <c r="I1336" s="32"/>
      <c r="J1336" s="32"/>
      <c r="K1336" s="32"/>
      <c r="L1336" s="33"/>
    </row>
    <row r="1337" spans="8:12" ht="23.25" x14ac:dyDescent="0.25">
      <c r="H1337" s="32"/>
      <c r="I1337" s="32"/>
      <c r="J1337" s="32"/>
      <c r="K1337" s="32"/>
      <c r="L1337" s="33"/>
    </row>
    <row r="1338" spans="8:12" ht="23.25" x14ac:dyDescent="0.25">
      <c r="H1338" s="32"/>
      <c r="I1338" s="32"/>
      <c r="J1338" s="32"/>
      <c r="K1338" s="32"/>
      <c r="L1338" s="33"/>
    </row>
    <row r="1339" spans="8:12" ht="23.25" x14ac:dyDescent="0.25">
      <c r="H1339" s="32"/>
      <c r="I1339" s="32"/>
      <c r="J1339" s="32"/>
      <c r="K1339" s="32"/>
      <c r="L1339" s="33"/>
    </row>
    <row r="1340" spans="8:12" ht="23.25" x14ac:dyDescent="0.25">
      <c r="H1340" s="32"/>
      <c r="I1340" s="32"/>
      <c r="J1340" s="32"/>
      <c r="K1340" s="32"/>
      <c r="L1340" s="33"/>
    </row>
    <row r="1341" spans="8:12" ht="23.25" x14ac:dyDescent="0.25">
      <c r="H1341" s="32"/>
      <c r="I1341" s="32"/>
      <c r="J1341" s="32"/>
      <c r="K1341" s="32"/>
      <c r="L1341" s="33"/>
    </row>
    <row r="1342" spans="8:12" ht="23.25" x14ac:dyDescent="0.25">
      <c r="H1342" s="32"/>
      <c r="I1342" s="32"/>
      <c r="J1342" s="32"/>
      <c r="K1342" s="32"/>
      <c r="L1342" s="33"/>
    </row>
    <row r="1343" spans="8:12" ht="23.25" x14ac:dyDescent="0.25">
      <c r="H1343" s="32"/>
      <c r="I1343" s="32"/>
      <c r="J1343" s="32"/>
      <c r="K1343" s="32"/>
      <c r="L1343" s="33"/>
    </row>
    <row r="1344" spans="8:12" ht="23.25" x14ac:dyDescent="0.25">
      <c r="H1344" s="32"/>
      <c r="I1344" s="32"/>
      <c r="J1344" s="32"/>
      <c r="K1344" s="32"/>
      <c r="L1344" s="33"/>
    </row>
    <row r="1345" spans="8:12" ht="23.25" x14ac:dyDescent="0.25">
      <c r="H1345" s="32"/>
      <c r="I1345" s="32"/>
      <c r="J1345" s="32"/>
      <c r="K1345" s="32"/>
      <c r="L1345" s="33"/>
    </row>
    <row r="1346" spans="8:12" ht="23.25" x14ac:dyDescent="0.25">
      <c r="H1346" s="32"/>
      <c r="I1346" s="32"/>
      <c r="J1346" s="32"/>
      <c r="K1346" s="32"/>
      <c r="L1346" s="33"/>
    </row>
    <row r="1347" spans="8:12" ht="23.25" x14ac:dyDescent="0.25">
      <c r="H1347" s="32"/>
      <c r="I1347" s="32"/>
      <c r="J1347" s="32"/>
      <c r="K1347" s="32"/>
      <c r="L1347" s="33"/>
    </row>
    <row r="1348" spans="8:12" ht="23.25" x14ac:dyDescent="0.25">
      <c r="H1348" s="32"/>
      <c r="I1348" s="32"/>
      <c r="J1348" s="32"/>
      <c r="K1348" s="32"/>
      <c r="L1348" s="33"/>
    </row>
    <row r="1349" spans="8:12" ht="23.25" x14ac:dyDescent="0.25">
      <c r="H1349" s="32"/>
      <c r="I1349" s="32"/>
      <c r="J1349" s="32"/>
      <c r="K1349" s="32"/>
      <c r="L1349" s="33"/>
    </row>
    <row r="1350" spans="8:12" ht="23.25" x14ac:dyDescent="0.25">
      <c r="H1350" s="32"/>
      <c r="I1350" s="32"/>
      <c r="J1350" s="32"/>
      <c r="K1350" s="32"/>
      <c r="L1350" s="33"/>
    </row>
    <row r="1351" spans="8:12" ht="23.25" x14ac:dyDescent="0.25">
      <c r="H1351" s="32"/>
      <c r="I1351" s="32"/>
      <c r="J1351" s="32"/>
      <c r="K1351" s="32"/>
      <c r="L1351" s="33"/>
    </row>
    <row r="1352" spans="8:12" ht="23.25" x14ac:dyDescent="0.25">
      <c r="H1352" s="32"/>
      <c r="I1352" s="32"/>
      <c r="J1352" s="32"/>
      <c r="K1352" s="32"/>
      <c r="L1352" s="33"/>
    </row>
    <row r="1353" spans="8:12" ht="23.25" x14ac:dyDescent="0.25">
      <c r="H1353" s="32"/>
      <c r="I1353" s="32"/>
      <c r="J1353" s="32"/>
      <c r="K1353" s="32"/>
      <c r="L1353" s="33"/>
    </row>
    <row r="1354" spans="8:12" ht="23.25" x14ac:dyDescent="0.25">
      <c r="H1354" s="32"/>
      <c r="I1354" s="32"/>
      <c r="J1354" s="32"/>
      <c r="K1354" s="32"/>
      <c r="L1354" s="33"/>
    </row>
    <row r="1355" spans="8:12" ht="23.25" x14ac:dyDescent="0.25">
      <c r="H1355" s="32"/>
      <c r="I1355" s="32"/>
      <c r="J1355" s="32"/>
      <c r="K1355" s="32"/>
      <c r="L1355" s="33"/>
    </row>
    <row r="1356" spans="8:12" ht="23.25" x14ac:dyDescent="0.25">
      <c r="H1356" s="32"/>
      <c r="I1356" s="32"/>
      <c r="J1356" s="32"/>
      <c r="K1356" s="32"/>
      <c r="L1356" s="33"/>
    </row>
    <row r="1357" spans="8:12" ht="23.25" x14ac:dyDescent="0.25">
      <c r="H1357" s="32"/>
      <c r="I1357" s="32"/>
      <c r="J1357" s="32"/>
      <c r="K1357" s="32"/>
      <c r="L1357" s="33"/>
    </row>
    <row r="1358" spans="8:12" ht="23.25" x14ac:dyDescent="0.25">
      <c r="H1358" s="32"/>
      <c r="I1358" s="32"/>
      <c r="J1358" s="32"/>
      <c r="K1358" s="32"/>
      <c r="L1358" s="33"/>
    </row>
    <row r="1359" spans="8:12" ht="23.25" x14ac:dyDescent="0.25">
      <c r="H1359" s="32"/>
      <c r="I1359" s="32"/>
      <c r="J1359" s="32"/>
      <c r="K1359" s="32"/>
      <c r="L1359" s="33"/>
    </row>
    <row r="1360" spans="8:12" ht="23.25" x14ac:dyDescent="0.25">
      <c r="H1360" s="32"/>
      <c r="I1360" s="32"/>
      <c r="J1360" s="32"/>
      <c r="K1360" s="32"/>
      <c r="L1360" s="33"/>
    </row>
    <row r="1361" spans="8:12" ht="23.25" x14ac:dyDescent="0.25">
      <c r="H1361" s="32"/>
      <c r="I1361" s="32"/>
      <c r="J1361" s="32"/>
      <c r="K1361" s="32"/>
      <c r="L1361" s="33"/>
    </row>
    <row r="1362" spans="8:12" ht="23.25" x14ac:dyDescent="0.25">
      <c r="H1362" s="32"/>
      <c r="I1362" s="32"/>
      <c r="J1362" s="32"/>
      <c r="K1362" s="32"/>
      <c r="L1362" s="33"/>
    </row>
    <row r="1363" spans="8:12" ht="23.25" x14ac:dyDescent="0.25">
      <c r="H1363" s="32"/>
      <c r="I1363" s="32"/>
      <c r="J1363" s="32"/>
      <c r="K1363" s="32"/>
      <c r="L1363" s="33"/>
    </row>
    <row r="1364" spans="8:12" ht="23.25" x14ac:dyDescent="0.25">
      <c r="H1364" s="32"/>
      <c r="I1364" s="32"/>
      <c r="J1364" s="32"/>
      <c r="K1364" s="32"/>
      <c r="L1364" s="33"/>
    </row>
    <row r="1365" spans="8:12" ht="23.25" x14ac:dyDescent="0.25">
      <c r="H1365" s="32"/>
      <c r="I1365" s="32"/>
      <c r="J1365" s="32"/>
      <c r="K1365" s="32"/>
      <c r="L1365" s="33"/>
    </row>
    <row r="1366" spans="8:12" ht="23.25" x14ac:dyDescent="0.25">
      <c r="H1366" s="32"/>
      <c r="I1366" s="32"/>
      <c r="J1366" s="32"/>
      <c r="K1366" s="32"/>
      <c r="L1366" s="33"/>
    </row>
    <row r="1367" spans="8:12" ht="23.25" x14ac:dyDescent="0.25">
      <c r="H1367" s="32"/>
      <c r="I1367" s="32"/>
      <c r="J1367" s="32"/>
      <c r="K1367" s="32"/>
      <c r="L1367" s="33"/>
    </row>
    <row r="1368" spans="8:12" ht="30" customHeight="1" x14ac:dyDescent="0.25">
      <c r="H1368" s="32"/>
      <c r="I1368" s="32"/>
      <c r="J1368" s="32"/>
      <c r="K1368" s="32"/>
      <c r="L1368" s="33"/>
    </row>
    <row r="1369" spans="8:12" ht="23.25" x14ac:dyDescent="0.25">
      <c r="H1369" s="32"/>
      <c r="I1369" s="32"/>
      <c r="J1369" s="32"/>
      <c r="K1369" s="32"/>
      <c r="L1369" s="33"/>
    </row>
    <row r="1370" spans="8:12" ht="23.25" x14ac:dyDescent="0.25">
      <c r="H1370" s="32"/>
      <c r="I1370" s="32"/>
      <c r="J1370" s="32"/>
      <c r="K1370" s="32"/>
      <c r="L1370" s="33"/>
    </row>
    <row r="1371" spans="8:12" ht="23.25" x14ac:dyDescent="0.25">
      <c r="H1371" s="32"/>
      <c r="I1371" s="32"/>
      <c r="J1371" s="32"/>
      <c r="K1371" s="32"/>
      <c r="L1371" s="33"/>
    </row>
    <row r="1372" spans="8:12" ht="23.25" x14ac:dyDescent="0.25">
      <c r="H1372" s="32"/>
      <c r="I1372" s="32"/>
      <c r="J1372" s="32"/>
      <c r="K1372" s="32"/>
      <c r="L1372" s="33"/>
    </row>
    <row r="1373" spans="8:12" ht="23.25" x14ac:dyDescent="0.25">
      <c r="H1373" s="32"/>
      <c r="I1373" s="32"/>
      <c r="J1373" s="32"/>
      <c r="K1373" s="32"/>
      <c r="L1373" s="33"/>
    </row>
    <row r="1374" spans="8:12" ht="23.25" x14ac:dyDescent="0.25">
      <c r="H1374" s="32"/>
      <c r="I1374" s="32"/>
      <c r="J1374" s="32"/>
      <c r="K1374" s="32"/>
      <c r="L1374" s="33"/>
    </row>
    <row r="1375" spans="8:12" ht="23.25" x14ac:dyDescent="0.25">
      <c r="H1375" s="32"/>
      <c r="I1375" s="32"/>
      <c r="J1375" s="32"/>
      <c r="K1375" s="32"/>
      <c r="L1375" s="33"/>
    </row>
    <row r="1376" spans="8:12" ht="23.25" x14ac:dyDescent="0.25">
      <c r="H1376" s="32"/>
      <c r="I1376" s="32"/>
      <c r="J1376" s="32"/>
      <c r="K1376" s="32"/>
      <c r="L1376" s="33"/>
    </row>
    <row r="1377" spans="8:12" ht="23.25" x14ac:dyDescent="0.25">
      <c r="H1377" s="32"/>
      <c r="I1377" s="32"/>
      <c r="J1377" s="32"/>
      <c r="K1377" s="32"/>
      <c r="L1377" s="33"/>
    </row>
    <row r="1378" spans="8:12" ht="23.25" x14ac:dyDescent="0.25">
      <c r="H1378" s="32"/>
      <c r="I1378" s="32"/>
      <c r="J1378" s="32"/>
      <c r="K1378" s="32"/>
      <c r="L1378" s="33"/>
    </row>
    <row r="1379" spans="8:12" ht="23.25" x14ac:dyDescent="0.25">
      <c r="H1379" s="32"/>
      <c r="I1379" s="32"/>
      <c r="J1379" s="32"/>
      <c r="K1379" s="32"/>
      <c r="L1379" s="33"/>
    </row>
    <row r="1380" spans="8:12" ht="23.25" x14ac:dyDescent="0.25">
      <c r="H1380" s="32"/>
      <c r="I1380" s="32"/>
      <c r="J1380" s="32"/>
      <c r="K1380" s="32"/>
      <c r="L1380" s="33"/>
    </row>
    <row r="1381" spans="8:12" ht="23.25" x14ac:dyDescent="0.25">
      <c r="H1381" s="32"/>
      <c r="I1381" s="32"/>
      <c r="J1381" s="32"/>
      <c r="K1381" s="32"/>
      <c r="L1381" s="33"/>
    </row>
    <row r="1382" spans="8:12" ht="23.25" x14ac:dyDescent="0.25">
      <c r="H1382" s="32"/>
      <c r="I1382" s="32"/>
      <c r="J1382" s="32"/>
      <c r="K1382" s="32"/>
      <c r="L1382" s="33"/>
    </row>
    <row r="1383" spans="8:12" ht="23.25" x14ac:dyDescent="0.25">
      <c r="H1383" s="32"/>
      <c r="I1383" s="32"/>
      <c r="J1383" s="32"/>
      <c r="K1383" s="32"/>
      <c r="L1383" s="33"/>
    </row>
    <row r="1384" spans="8:12" ht="23.25" x14ac:dyDescent="0.25">
      <c r="H1384" s="32"/>
      <c r="I1384" s="32"/>
      <c r="J1384" s="32"/>
      <c r="K1384" s="32"/>
      <c r="L1384" s="33"/>
    </row>
    <row r="1385" spans="8:12" ht="23.25" x14ac:dyDescent="0.25">
      <c r="H1385" s="32"/>
      <c r="I1385" s="32"/>
      <c r="J1385" s="32"/>
      <c r="K1385" s="32"/>
      <c r="L1385" s="33"/>
    </row>
    <row r="1386" spans="8:12" ht="23.25" x14ac:dyDescent="0.25">
      <c r="H1386" s="32"/>
      <c r="I1386" s="32"/>
      <c r="J1386" s="32"/>
      <c r="K1386" s="32"/>
      <c r="L1386" s="33"/>
    </row>
    <row r="1387" spans="8:12" ht="23.25" x14ac:dyDescent="0.25">
      <c r="H1387" s="32"/>
      <c r="I1387" s="32"/>
      <c r="J1387" s="32"/>
      <c r="K1387" s="32"/>
      <c r="L1387" s="33"/>
    </row>
    <row r="1388" spans="8:12" ht="23.25" x14ac:dyDescent="0.25">
      <c r="H1388" s="32"/>
      <c r="I1388" s="32"/>
      <c r="J1388" s="32"/>
      <c r="K1388" s="32"/>
      <c r="L1388" s="33"/>
    </row>
    <row r="1389" spans="8:12" ht="23.25" x14ac:dyDescent="0.25">
      <c r="H1389" s="32"/>
      <c r="I1389" s="32"/>
      <c r="J1389" s="32"/>
      <c r="K1389" s="32"/>
      <c r="L1389" s="33"/>
    </row>
    <row r="1390" spans="8:12" ht="23.25" x14ac:dyDescent="0.25">
      <c r="H1390" s="32"/>
      <c r="I1390" s="32"/>
      <c r="J1390" s="32"/>
      <c r="K1390" s="32"/>
      <c r="L1390" s="33"/>
    </row>
    <row r="1391" spans="8:12" ht="23.25" x14ac:dyDescent="0.25">
      <c r="H1391" s="32"/>
      <c r="I1391" s="32"/>
      <c r="J1391" s="32"/>
      <c r="K1391" s="32"/>
      <c r="L1391" s="33"/>
    </row>
    <row r="1392" spans="8:12" ht="23.25" x14ac:dyDescent="0.25">
      <c r="H1392" s="32"/>
      <c r="I1392" s="32"/>
      <c r="J1392" s="32"/>
      <c r="K1392" s="32"/>
      <c r="L1392" s="33"/>
    </row>
    <row r="1393" spans="8:12" ht="23.25" x14ac:dyDescent="0.25">
      <c r="H1393" s="32"/>
      <c r="I1393" s="32"/>
      <c r="J1393" s="32"/>
      <c r="K1393" s="32"/>
      <c r="L1393" s="33"/>
    </row>
    <row r="1394" spans="8:12" ht="23.25" x14ac:dyDescent="0.25">
      <c r="H1394" s="32"/>
      <c r="I1394" s="32"/>
      <c r="J1394" s="32"/>
      <c r="K1394" s="32"/>
      <c r="L1394" s="33"/>
    </row>
    <row r="1395" spans="8:12" ht="23.25" x14ac:dyDescent="0.25">
      <c r="H1395" s="32"/>
      <c r="I1395" s="32"/>
      <c r="J1395" s="32"/>
      <c r="K1395" s="32"/>
      <c r="L1395" s="33"/>
    </row>
    <row r="1396" spans="8:12" ht="23.25" x14ac:dyDescent="0.25">
      <c r="H1396" s="32"/>
      <c r="I1396" s="32"/>
      <c r="J1396" s="32"/>
      <c r="K1396" s="32"/>
      <c r="L1396" s="33"/>
    </row>
    <row r="1397" spans="8:12" ht="23.25" x14ac:dyDescent="0.25">
      <c r="H1397" s="32"/>
      <c r="I1397" s="32"/>
      <c r="J1397" s="32"/>
      <c r="K1397" s="32"/>
      <c r="L1397" s="33"/>
    </row>
    <row r="1398" spans="8:12" ht="23.25" x14ac:dyDescent="0.25">
      <c r="H1398" s="32"/>
      <c r="I1398" s="32"/>
      <c r="J1398" s="32"/>
      <c r="K1398" s="32"/>
      <c r="L1398" s="33"/>
    </row>
    <row r="1399" spans="8:12" ht="23.25" x14ac:dyDescent="0.25">
      <c r="H1399" s="32"/>
      <c r="I1399" s="32"/>
      <c r="J1399" s="32"/>
      <c r="K1399" s="32"/>
      <c r="L1399" s="33"/>
    </row>
    <row r="1400" spans="8:12" ht="23.25" x14ac:dyDescent="0.25">
      <c r="H1400" s="32"/>
      <c r="I1400" s="32"/>
      <c r="J1400" s="32"/>
      <c r="K1400" s="32"/>
      <c r="L1400" s="33"/>
    </row>
    <row r="1401" spans="8:12" ht="23.25" x14ac:dyDescent="0.25">
      <c r="H1401" s="32"/>
      <c r="I1401" s="32"/>
      <c r="J1401" s="32"/>
      <c r="K1401" s="32"/>
      <c r="L1401" s="33"/>
    </row>
    <row r="1402" spans="8:12" ht="23.25" x14ac:dyDescent="0.25">
      <c r="H1402" s="32"/>
      <c r="I1402" s="32"/>
      <c r="J1402" s="32"/>
      <c r="K1402" s="32"/>
      <c r="L1402" s="33"/>
    </row>
    <row r="1403" spans="8:12" ht="23.25" x14ac:dyDescent="0.25">
      <c r="H1403" s="32"/>
      <c r="I1403" s="32"/>
      <c r="J1403" s="32"/>
      <c r="K1403" s="32"/>
      <c r="L1403" s="33"/>
    </row>
    <row r="1404" spans="8:12" ht="23.25" x14ac:dyDescent="0.25">
      <c r="H1404" s="32"/>
      <c r="I1404" s="32"/>
      <c r="J1404" s="32"/>
      <c r="K1404" s="32"/>
      <c r="L1404" s="33"/>
    </row>
    <row r="1405" spans="8:12" ht="23.25" x14ac:dyDescent="0.25">
      <c r="H1405" s="32"/>
      <c r="I1405" s="32"/>
      <c r="J1405" s="32"/>
      <c r="K1405" s="32"/>
      <c r="L1405" s="33"/>
    </row>
    <row r="1406" spans="8:12" ht="23.25" x14ac:dyDescent="0.25">
      <c r="H1406" s="32"/>
      <c r="I1406" s="32"/>
      <c r="J1406" s="32"/>
      <c r="K1406" s="32"/>
      <c r="L1406" s="33"/>
    </row>
    <row r="1407" spans="8:12" ht="23.25" x14ac:dyDescent="0.25">
      <c r="H1407" s="32"/>
      <c r="I1407" s="32"/>
      <c r="J1407" s="32"/>
      <c r="K1407" s="32"/>
      <c r="L1407" s="33"/>
    </row>
    <row r="1408" spans="8:12" ht="23.25" x14ac:dyDescent="0.25">
      <c r="H1408" s="32"/>
      <c r="I1408" s="32"/>
      <c r="J1408" s="32"/>
      <c r="K1408" s="32"/>
      <c r="L1408" s="33"/>
    </row>
    <row r="1409" spans="8:12" ht="23.25" x14ac:dyDescent="0.25">
      <c r="H1409" s="32"/>
      <c r="I1409" s="32"/>
      <c r="J1409" s="32"/>
      <c r="K1409" s="32"/>
      <c r="L1409" s="33"/>
    </row>
    <row r="1410" spans="8:12" ht="23.25" x14ac:dyDescent="0.25">
      <c r="H1410" s="32"/>
      <c r="I1410" s="32"/>
      <c r="J1410" s="32"/>
      <c r="K1410" s="32"/>
      <c r="L1410" s="33"/>
    </row>
    <row r="1411" spans="8:12" ht="23.25" x14ac:dyDescent="0.25">
      <c r="H1411" s="32"/>
      <c r="I1411" s="32"/>
      <c r="J1411" s="32"/>
      <c r="K1411" s="32"/>
      <c r="L1411" s="33"/>
    </row>
    <row r="1412" spans="8:12" ht="23.25" x14ac:dyDescent="0.25">
      <c r="H1412" s="32"/>
      <c r="I1412" s="32"/>
      <c r="J1412" s="32"/>
      <c r="K1412" s="32"/>
      <c r="L1412" s="33"/>
    </row>
    <row r="1413" spans="8:12" ht="23.25" x14ac:dyDescent="0.25">
      <c r="H1413" s="32"/>
      <c r="I1413" s="32"/>
      <c r="J1413" s="32"/>
      <c r="K1413" s="32"/>
      <c r="L1413" s="33"/>
    </row>
    <row r="1414" spans="8:12" ht="23.25" x14ac:dyDescent="0.25">
      <c r="H1414" s="32"/>
      <c r="I1414" s="32"/>
      <c r="J1414" s="32"/>
      <c r="K1414" s="32"/>
      <c r="L1414" s="33"/>
    </row>
    <row r="1415" spans="8:12" ht="23.25" x14ac:dyDescent="0.25">
      <c r="H1415" s="32"/>
      <c r="I1415" s="32"/>
      <c r="J1415" s="32"/>
      <c r="K1415" s="32"/>
      <c r="L1415" s="33"/>
    </row>
    <row r="1416" spans="8:12" ht="23.25" x14ac:dyDescent="0.25">
      <c r="H1416" s="32"/>
      <c r="I1416" s="32"/>
      <c r="J1416" s="32"/>
      <c r="K1416" s="32"/>
      <c r="L1416" s="33"/>
    </row>
    <row r="1417" spans="8:12" ht="23.25" x14ac:dyDescent="0.25">
      <c r="H1417" s="32"/>
      <c r="I1417" s="32"/>
      <c r="J1417" s="32"/>
      <c r="K1417" s="32"/>
      <c r="L1417" s="33"/>
    </row>
    <row r="1418" spans="8:12" ht="23.25" x14ac:dyDescent="0.25">
      <c r="H1418" s="32"/>
      <c r="I1418" s="32"/>
      <c r="J1418" s="32"/>
      <c r="K1418" s="32"/>
      <c r="L1418" s="33"/>
    </row>
    <row r="1419" spans="8:12" ht="23.25" x14ac:dyDescent="0.25">
      <c r="H1419" s="32"/>
      <c r="I1419" s="32"/>
      <c r="J1419" s="32"/>
      <c r="K1419" s="32"/>
      <c r="L1419" s="33"/>
    </row>
    <row r="1420" spans="8:12" ht="23.25" x14ac:dyDescent="0.25">
      <c r="H1420" s="32"/>
      <c r="I1420" s="32"/>
      <c r="J1420" s="32"/>
      <c r="K1420" s="32"/>
      <c r="L1420" s="33"/>
    </row>
    <row r="1421" spans="8:12" ht="23.25" x14ac:dyDescent="0.25">
      <c r="H1421" s="32"/>
      <c r="I1421" s="32"/>
      <c r="J1421" s="32"/>
      <c r="K1421" s="32"/>
      <c r="L1421" s="33"/>
    </row>
    <row r="1422" spans="8:12" ht="23.25" x14ac:dyDescent="0.25">
      <c r="H1422" s="32"/>
      <c r="I1422" s="32"/>
      <c r="J1422" s="32"/>
      <c r="K1422" s="32"/>
      <c r="L1422" s="33"/>
    </row>
    <row r="1423" spans="8:12" ht="23.25" x14ac:dyDescent="0.25">
      <c r="H1423" s="32"/>
      <c r="I1423" s="32"/>
      <c r="J1423" s="32"/>
      <c r="K1423" s="32"/>
      <c r="L1423" s="33"/>
    </row>
    <row r="1424" spans="8:12" ht="23.25" x14ac:dyDescent="0.25">
      <c r="H1424" s="32"/>
      <c r="I1424" s="32"/>
      <c r="J1424" s="32"/>
      <c r="K1424" s="32"/>
      <c r="L1424" s="33"/>
    </row>
    <row r="1425" spans="8:12" ht="23.25" x14ac:dyDescent="0.25">
      <c r="H1425" s="32"/>
      <c r="I1425" s="32"/>
      <c r="J1425" s="32"/>
      <c r="K1425" s="32"/>
      <c r="L1425" s="33"/>
    </row>
    <row r="1426" spans="8:12" ht="23.25" x14ac:dyDescent="0.25">
      <c r="H1426" s="32"/>
      <c r="I1426" s="32"/>
      <c r="J1426" s="32"/>
      <c r="K1426" s="32"/>
      <c r="L1426" s="33"/>
    </row>
    <row r="1427" spans="8:12" ht="23.25" x14ac:dyDescent="0.25">
      <c r="H1427" s="32"/>
      <c r="I1427" s="32"/>
      <c r="J1427" s="32"/>
      <c r="K1427" s="32"/>
      <c r="L1427" s="33"/>
    </row>
    <row r="1428" spans="8:12" ht="23.25" x14ac:dyDescent="0.25">
      <c r="H1428" s="32"/>
      <c r="I1428" s="32"/>
      <c r="J1428" s="32"/>
      <c r="K1428" s="32"/>
      <c r="L1428" s="33"/>
    </row>
    <row r="1429" spans="8:12" ht="23.25" x14ac:dyDescent="0.25">
      <c r="H1429" s="32"/>
      <c r="I1429" s="32"/>
      <c r="J1429" s="32"/>
      <c r="K1429" s="32"/>
      <c r="L1429" s="33"/>
    </row>
    <row r="1430" spans="8:12" ht="23.25" x14ac:dyDescent="0.25">
      <c r="H1430" s="32"/>
      <c r="I1430" s="32"/>
      <c r="J1430" s="32"/>
      <c r="K1430" s="32"/>
      <c r="L1430" s="33"/>
    </row>
    <row r="1431" spans="8:12" ht="23.25" x14ac:dyDescent="0.25">
      <c r="H1431" s="32"/>
      <c r="I1431" s="32"/>
      <c r="J1431" s="32"/>
      <c r="K1431" s="32"/>
      <c r="L1431" s="33"/>
    </row>
    <row r="1432" spans="8:12" ht="23.25" x14ac:dyDescent="0.25">
      <c r="H1432" s="32"/>
      <c r="I1432" s="32"/>
      <c r="J1432" s="32"/>
      <c r="K1432" s="32"/>
      <c r="L1432" s="33"/>
    </row>
    <row r="1433" spans="8:12" ht="23.25" x14ac:dyDescent="0.25">
      <c r="H1433" s="32"/>
      <c r="I1433" s="32"/>
      <c r="J1433" s="32"/>
      <c r="K1433" s="32"/>
      <c r="L1433" s="33"/>
    </row>
    <row r="1434" spans="8:12" ht="23.25" x14ac:dyDescent="0.25">
      <c r="H1434" s="32"/>
      <c r="I1434" s="32"/>
      <c r="J1434" s="32"/>
      <c r="K1434" s="32"/>
      <c r="L1434" s="33"/>
    </row>
    <row r="1435" spans="8:12" ht="23.25" x14ac:dyDescent="0.25">
      <c r="H1435" s="32"/>
      <c r="I1435" s="32"/>
      <c r="J1435" s="32"/>
      <c r="K1435" s="32"/>
      <c r="L1435" s="33"/>
    </row>
    <row r="1436" spans="8:12" ht="23.25" x14ac:dyDescent="0.25">
      <c r="H1436" s="32"/>
      <c r="I1436" s="32"/>
      <c r="J1436" s="32"/>
      <c r="K1436" s="32"/>
      <c r="L1436" s="33"/>
    </row>
    <row r="1437" spans="8:12" ht="23.25" x14ac:dyDescent="0.25">
      <c r="H1437" s="32"/>
      <c r="I1437" s="32"/>
      <c r="J1437" s="32"/>
      <c r="K1437" s="32"/>
      <c r="L1437" s="33"/>
    </row>
    <row r="1438" spans="8:12" ht="23.25" x14ac:dyDescent="0.25">
      <c r="H1438" s="32"/>
      <c r="I1438" s="32"/>
      <c r="J1438" s="32"/>
      <c r="K1438" s="32"/>
      <c r="L1438" s="33"/>
    </row>
    <row r="1439" spans="8:12" ht="23.25" x14ac:dyDescent="0.25">
      <c r="H1439" s="32"/>
      <c r="I1439" s="32"/>
      <c r="J1439" s="32"/>
      <c r="K1439" s="32"/>
      <c r="L1439" s="33"/>
    </row>
    <row r="1440" spans="8:12" ht="23.25" x14ac:dyDescent="0.25">
      <c r="H1440" s="32"/>
      <c r="I1440" s="32"/>
      <c r="J1440" s="32"/>
      <c r="K1440" s="32"/>
      <c r="L1440" s="33"/>
    </row>
    <row r="1441" spans="8:12" ht="23.25" x14ac:dyDescent="0.25">
      <c r="H1441" s="32"/>
      <c r="I1441" s="32"/>
      <c r="J1441" s="32"/>
      <c r="K1441" s="32"/>
      <c r="L1441" s="33"/>
    </row>
    <row r="1442" spans="8:12" ht="23.25" x14ac:dyDescent="0.25">
      <c r="H1442" s="32"/>
      <c r="I1442" s="32"/>
      <c r="J1442" s="32"/>
      <c r="K1442" s="32"/>
      <c r="L1442" s="33"/>
    </row>
    <row r="1443" spans="8:12" ht="23.25" x14ac:dyDescent="0.25">
      <c r="H1443" s="32"/>
      <c r="I1443" s="32"/>
      <c r="J1443" s="32"/>
      <c r="K1443" s="32"/>
      <c r="L1443" s="33"/>
    </row>
    <row r="1444" spans="8:12" ht="23.25" x14ac:dyDescent="0.25">
      <c r="H1444" s="32"/>
      <c r="I1444" s="32"/>
      <c r="J1444" s="32"/>
      <c r="K1444" s="32"/>
      <c r="L1444" s="33"/>
    </row>
    <row r="1445" spans="8:12" ht="23.25" x14ac:dyDescent="0.25">
      <c r="H1445" s="32"/>
      <c r="I1445" s="32"/>
      <c r="J1445" s="32"/>
      <c r="K1445" s="32"/>
      <c r="L1445" s="33"/>
    </row>
    <row r="1446" spans="8:12" ht="23.25" x14ac:dyDescent="0.25">
      <c r="H1446" s="32"/>
      <c r="I1446" s="32"/>
      <c r="J1446" s="32"/>
      <c r="K1446" s="32"/>
      <c r="L1446" s="33"/>
    </row>
    <row r="1447" spans="8:12" ht="23.25" x14ac:dyDescent="0.25">
      <c r="H1447" s="32"/>
      <c r="I1447" s="32"/>
      <c r="J1447" s="32"/>
      <c r="K1447" s="32"/>
      <c r="L1447" s="33"/>
    </row>
    <row r="1448" spans="8:12" ht="15" customHeight="1" x14ac:dyDescent="0.25">
      <c r="H1448" s="32"/>
      <c r="I1448" s="32"/>
      <c r="J1448" s="32"/>
      <c r="K1448" s="32"/>
      <c r="L1448" s="33"/>
    </row>
    <row r="1449" spans="8:12" ht="23.25" x14ac:dyDescent="0.25">
      <c r="H1449" s="32"/>
      <c r="I1449" s="32"/>
      <c r="J1449" s="32"/>
      <c r="K1449" s="32"/>
      <c r="L1449" s="33"/>
    </row>
    <row r="1450" spans="8:12" ht="23.25" x14ac:dyDescent="0.25">
      <c r="H1450" s="32"/>
      <c r="I1450" s="32"/>
      <c r="J1450" s="32"/>
      <c r="K1450" s="32"/>
      <c r="L1450" s="33"/>
    </row>
    <row r="1451" spans="8:12" ht="23.25" x14ac:dyDescent="0.25">
      <c r="H1451" s="32"/>
      <c r="I1451" s="32"/>
      <c r="J1451" s="32"/>
      <c r="K1451" s="32"/>
      <c r="L1451" s="33"/>
    </row>
    <row r="1452" spans="8:12" ht="23.25" x14ac:dyDescent="0.25">
      <c r="H1452" s="32"/>
      <c r="I1452" s="32"/>
      <c r="J1452" s="32"/>
      <c r="K1452" s="32"/>
      <c r="L1452" s="33"/>
    </row>
    <row r="1453" spans="8:12" ht="23.25" x14ac:dyDescent="0.25">
      <c r="H1453" s="32"/>
      <c r="I1453" s="32"/>
      <c r="J1453" s="32"/>
      <c r="K1453" s="32"/>
      <c r="L1453" s="33"/>
    </row>
    <row r="1454" spans="8:12" ht="23.25" x14ac:dyDescent="0.25">
      <c r="H1454" s="32"/>
      <c r="I1454" s="32"/>
      <c r="J1454" s="32"/>
      <c r="K1454" s="32"/>
      <c r="L1454" s="33"/>
    </row>
    <row r="1455" spans="8:12" ht="23.25" x14ac:dyDescent="0.25">
      <c r="H1455" s="32"/>
      <c r="I1455" s="32"/>
      <c r="J1455" s="32"/>
      <c r="K1455" s="32"/>
      <c r="L1455" s="33"/>
    </row>
    <row r="1456" spans="8:12" ht="23.25" x14ac:dyDescent="0.25">
      <c r="H1456" s="32"/>
      <c r="I1456" s="32"/>
      <c r="J1456" s="32"/>
      <c r="K1456" s="32"/>
      <c r="L1456" s="33"/>
    </row>
    <row r="1457" spans="8:12" ht="23.25" x14ac:dyDescent="0.25">
      <c r="H1457" s="32"/>
      <c r="I1457" s="32"/>
      <c r="J1457" s="32"/>
      <c r="K1457" s="32"/>
      <c r="L1457" s="33"/>
    </row>
    <row r="1458" spans="8:12" ht="23.25" x14ac:dyDescent="0.25">
      <c r="H1458" s="32"/>
      <c r="I1458" s="32"/>
      <c r="J1458" s="32"/>
      <c r="K1458" s="32"/>
      <c r="L1458" s="33"/>
    </row>
    <row r="1459" spans="8:12" ht="23.25" x14ac:dyDescent="0.25">
      <c r="H1459" s="32"/>
      <c r="I1459" s="32"/>
      <c r="J1459" s="32"/>
      <c r="K1459" s="32"/>
      <c r="L1459" s="33"/>
    </row>
    <row r="1460" spans="8:12" ht="23.25" x14ac:dyDescent="0.25">
      <c r="H1460" s="32"/>
      <c r="I1460" s="32"/>
      <c r="J1460" s="32"/>
      <c r="K1460" s="32"/>
      <c r="L1460" s="33"/>
    </row>
    <row r="1461" spans="8:12" ht="23.25" x14ac:dyDescent="0.25">
      <c r="H1461" s="32"/>
      <c r="I1461" s="32"/>
      <c r="J1461" s="32"/>
      <c r="K1461" s="32"/>
      <c r="L1461" s="33"/>
    </row>
    <row r="1462" spans="8:12" ht="23.25" x14ac:dyDescent="0.25">
      <c r="H1462" s="32"/>
      <c r="I1462" s="32"/>
      <c r="J1462" s="32"/>
      <c r="K1462" s="32"/>
      <c r="L1462" s="33"/>
    </row>
    <row r="1463" spans="8:12" ht="23.25" x14ac:dyDescent="0.25">
      <c r="H1463" s="32"/>
      <c r="I1463" s="32"/>
      <c r="J1463" s="32"/>
      <c r="K1463" s="32"/>
      <c r="L1463" s="33"/>
    </row>
    <row r="1464" spans="8:12" ht="23.25" x14ac:dyDescent="0.25">
      <c r="H1464" s="32"/>
      <c r="I1464" s="32"/>
      <c r="J1464" s="32"/>
      <c r="K1464" s="32"/>
      <c r="L1464" s="33"/>
    </row>
    <row r="1465" spans="8:12" ht="23.25" x14ac:dyDescent="0.25">
      <c r="H1465" s="32"/>
      <c r="I1465" s="32"/>
      <c r="J1465" s="32"/>
      <c r="K1465" s="32"/>
      <c r="L1465" s="33"/>
    </row>
    <row r="1466" spans="8:12" ht="23.25" x14ac:dyDescent="0.25">
      <c r="H1466" s="32"/>
      <c r="I1466" s="32"/>
      <c r="J1466" s="32"/>
      <c r="K1466" s="32"/>
      <c r="L1466" s="33"/>
    </row>
    <row r="1467" spans="8:12" ht="23.25" x14ac:dyDescent="0.25">
      <c r="H1467" s="32"/>
      <c r="I1467" s="32"/>
      <c r="J1467" s="32"/>
      <c r="K1467" s="32"/>
      <c r="L1467" s="33"/>
    </row>
    <row r="1468" spans="8:12" ht="23.25" x14ac:dyDescent="0.25">
      <c r="H1468" s="32"/>
      <c r="I1468" s="32"/>
      <c r="J1468" s="32"/>
      <c r="K1468" s="32"/>
      <c r="L1468" s="33"/>
    </row>
    <row r="1469" spans="8:12" ht="23.25" x14ac:dyDescent="0.25">
      <c r="H1469" s="32"/>
      <c r="I1469" s="32"/>
      <c r="J1469" s="32"/>
      <c r="K1469" s="32"/>
      <c r="L1469" s="33"/>
    </row>
    <row r="1470" spans="8:12" ht="23.25" x14ac:dyDescent="0.25">
      <c r="H1470" s="32"/>
      <c r="I1470" s="32"/>
      <c r="J1470" s="32"/>
      <c r="K1470" s="32"/>
      <c r="L1470" s="33"/>
    </row>
    <row r="1471" spans="8:12" ht="23.25" x14ac:dyDescent="0.25">
      <c r="H1471" s="32"/>
      <c r="I1471" s="32"/>
      <c r="J1471" s="32"/>
      <c r="K1471" s="32"/>
      <c r="L1471" s="33"/>
    </row>
    <row r="1472" spans="8:12" ht="23.25" x14ac:dyDescent="0.25">
      <c r="H1472" s="32"/>
      <c r="I1472" s="32"/>
      <c r="J1472" s="32"/>
      <c r="K1472" s="32"/>
      <c r="L1472" s="33"/>
    </row>
    <row r="1473" spans="8:12" ht="23.25" x14ac:dyDescent="0.25">
      <c r="H1473" s="32"/>
      <c r="I1473" s="32"/>
      <c r="J1473" s="32"/>
      <c r="K1473" s="32"/>
      <c r="L1473" s="33"/>
    </row>
    <row r="1474" spans="8:12" ht="23.25" x14ac:dyDescent="0.25">
      <c r="H1474" s="32"/>
      <c r="I1474" s="32"/>
      <c r="J1474" s="32"/>
      <c r="K1474" s="32"/>
      <c r="L1474" s="33"/>
    </row>
    <row r="1475" spans="8:12" ht="23.25" x14ac:dyDescent="0.25">
      <c r="H1475" s="32"/>
      <c r="I1475" s="32"/>
      <c r="J1475" s="32"/>
      <c r="K1475" s="32"/>
      <c r="L1475" s="33"/>
    </row>
    <row r="1476" spans="8:12" ht="23.25" x14ac:dyDescent="0.25">
      <c r="H1476" s="32"/>
      <c r="I1476" s="32"/>
      <c r="J1476" s="32"/>
      <c r="K1476" s="32"/>
      <c r="L1476" s="33"/>
    </row>
    <row r="1477" spans="8:12" ht="23.25" x14ac:dyDescent="0.25">
      <c r="H1477" s="32"/>
      <c r="I1477" s="32"/>
      <c r="J1477" s="32"/>
      <c r="K1477" s="32"/>
      <c r="L1477" s="33"/>
    </row>
    <row r="1478" spans="8:12" ht="23.25" x14ac:dyDescent="0.25">
      <c r="H1478" s="32"/>
      <c r="I1478" s="32"/>
      <c r="J1478" s="32"/>
      <c r="K1478" s="32"/>
      <c r="L1478" s="33"/>
    </row>
    <row r="1479" spans="8:12" ht="23.25" x14ac:dyDescent="0.25">
      <c r="H1479" s="32"/>
      <c r="I1479" s="32"/>
      <c r="J1479" s="32"/>
      <c r="K1479" s="32"/>
      <c r="L1479" s="33"/>
    </row>
    <row r="1480" spans="8:12" ht="23.25" x14ac:dyDescent="0.25">
      <c r="H1480" s="32"/>
      <c r="I1480" s="32"/>
      <c r="J1480" s="32"/>
      <c r="K1480" s="32"/>
      <c r="L1480" s="33"/>
    </row>
    <row r="1481" spans="8:12" ht="23.25" x14ac:dyDescent="0.25">
      <c r="H1481" s="32"/>
      <c r="I1481" s="32"/>
      <c r="J1481" s="32"/>
      <c r="K1481" s="32"/>
      <c r="L1481" s="33"/>
    </row>
    <row r="1482" spans="8:12" ht="23.25" x14ac:dyDescent="0.25">
      <c r="H1482" s="32"/>
      <c r="I1482" s="32"/>
      <c r="J1482" s="32"/>
      <c r="K1482" s="32"/>
      <c r="L1482" s="33"/>
    </row>
    <row r="1483" spans="8:12" ht="23.25" x14ac:dyDescent="0.25">
      <c r="H1483" s="32"/>
      <c r="I1483" s="32"/>
      <c r="J1483" s="32"/>
      <c r="K1483" s="32"/>
      <c r="L1483" s="33"/>
    </row>
    <row r="1484" spans="8:12" ht="23.25" x14ac:dyDescent="0.25">
      <c r="H1484" s="32"/>
      <c r="I1484" s="32"/>
      <c r="J1484" s="32"/>
      <c r="K1484" s="32"/>
      <c r="L1484" s="33"/>
    </row>
    <row r="1485" spans="8:12" ht="23.25" x14ac:dyDescent="0.25">
      <c r="H1485" s="32"/>
      <c r="I1485" s="32"/>
      <c r="J1485" s="32"/>
      <c r="K1485" s="32"/>
      <c r="L1485" s="33"/>
    </row>
    <row r="1486" spans="8:12" ht="23.25" x14ac:dyDescent="0.25">
      <c r="H1486" s="32"/>
      <c r="I1486" s="32"/>
      <c r="J1486" s="32"/>
      <c r="K1486" s="32"/>
      <c r="L1486" s="33"/>
    </row>
    <row r="1487" spans="8:12" ht="23.25" x14ac:dyDescent="0.25">
      <c r="H1487" s="32"/>
      <c r="I1487" s="32"/>
      <c r="J1487" s="32"/>
      <c r="K1487" s="32"/>
      <c r="L1487" s="33"/>
    </row>
    <row r="1488" spans="8:12" ht="23.25" x14ac:dyDescent="0.25">
      <c r="H1488" s="32"/>
      <c r="I1488" s="32"/>
      <c r="J1488" s="32"/>
      <c r="K1488" s="32"/>
      <c r="L1488" s="33"/>
    </row>
    <row r="1489" spans="8:12" ht="23.25" x14ac:dyDescent="0.25">
      <c r="H1489" s="32"/>
      <c r="I1489" s="32"/>
      <c r="J1489" s="32"/>
      <c r="K1489" s="32"/>
      <c r="L1489" s="33"/>
    </row>
    <row r="1490" spans="8:12" ht="23.25" x14ac:dyDescent="0.25">
      <c r="H1490" s="32"/>
      <c r="I1490" s="32"/>
      <c r="J1490" s="32"/>
      <c r="K1490" s="32"/>
      <c r="L1490" s="33"/>
    </row>
    <row r="1491" spans="8:12" ht="23.25" x14ac:dyDescent="0.25">
      <c r="H1491" s="32"/>
      <c r="I1491" s="32"/>
      <c r="J1491" s="32"/>
      <c r="K1491" s="32"/>
      <c r="L1491" s="33"/>
    </row>
    <row r="1492" spans="8:12" ht="23.25" x14ac:dyDescent="0.25">
      <c r="H1492" s="32"/>
      <c r="I1492" s="32"/>
      <c r="J1492" s="32"/>
      <c r="K1492" s="32"/>
      <c r="L1492" s="33"/>
    </row>
    <row r="1493" spans="8:12" ht="23.25" x14ac:dyDescent="0.25">
      <c r="H1493" s="32"/>
      <c r="I1493" s="32"/>
      <c r="J1493" s="32"/>
      <c r="K1493" s="32"/>
      <c r="L1493" s="33"/>
    </row>
    <row r="1494" spans="8:12" ht="23.25" x14ac:dyDescent="0.25">
      <c r="H1494" s="32"/>
      <c r="I1494" s="32"/>
      <c r="J1494" s="32"/>
      <c r="K1494" s="32"/>
      <c r="L1494" s="33"/>
    </row>
    <row r="1495" spans="8:12" ht="23.25" x14ac:dyDescent="0.25">
      <c r="H1495" s="32"/>
      <c r="I1495" s="32"/>
      <c r="J1495" s="32"/>
      <c r="K1495" s="32"/>
      <c r="L1495" s="33"/>
    </row>
    <row r="1496" spans="8:12" ht="23.25" x14ac:dyDescent="0.25">
      <c r="H1496" s="32"/>
      <c r="I1496" s="32"/>
      <c r="J1496" s="32"/>
      <c r="K1496" s="32"/>
      <c r="L1496" s="33"/>
    </row>
    <row r="1497" spans="8:12" ht="23.25" x14ac:dyDescent="0.25">
      <c r="H1497" s="32"/>
      <c r="I1497" s="32"/>
      <c r="J1497" s="32"/>
      <c r="K1497" s="32"/>
      <c r="L1497" s="33"/>
    </row>
    <row r="1498" spans="8:12" ht="23.25" x14ac:dyDescent="0.25">
      <c r="H1498" s="32"/>
      <c r="I1498" s="32"/>
      <c r="J1498" s="32"/>
      <c r="K1498" s="32"/>
      <c r="L1498" s="33"/>
    </row>
    <row r="1499" spans="8:12" ht="23.25" x14ac:dyDescent="0.25">
      <c r="H1499" s="32"/>
      <c r="I1499" s="32"/>
      <c r="J1499" s="32"/>
      <c r="K1499" s="32"/>
      <c r="L1499" s="33"/>
    </row>
    <row r="1500" spans="8:12" ht="23.25" x14ac:dyDescent="0.25">
      <c r="H1500" s="32"/>
      <c r="I1500" s="32"/>
      <c r="J1500" s="32"/>
      <c r="K1500" s="32"/>
      <c r="L1500" s="33"/>
    </row>
    <row r="1501" spans="8:12" ht="23.25" x14ac:dyDescent="0.25">
      <c r="H1501" s="32"/>
      <c r="I1501" s="32"/>
      <c r="J1501" s="32"/>
      <c r="K1501" s="32"/>
      <c r="L1501" s="33"/>
    </row>
    <row r="1502" spans="8:12" ht="23.25" x14ac:dyDescent="0.25">
      <c r="H1502" s="32"/>
      <c r="I1502" s="32"/>
      <c r="J1502" s="32"/>
      <c r="K1502" s="32"/>
      <c r="L1502" s="33"/>
    </row>
    <row r="1503" spans="8:12" ht="23.25" x14ac:dyDescent="0.25">
      <c r="H1503" s="32"/>
      <c r="I1503" s="32"/>
      <c r="J1503" s="32"/>
      <c r="K1503" s="32"/>
      <c r="L1503" s="33"/>
    </row>
    <row r="1504" spans="8:12" ht="23.25" x14ac:dyDescent="0.25">
      <c r="H1504" s="32"/>
      <c r="I1504" s="32"/>
      <c r="J1504" s="32"/>
      <c r="K1504" s="32"/>
      <c r="L1504" s="33"/>
    </row>
    <row r="1505" spans="8:12" ht="23.25" x14ac:dyDescent="0.25">
      <c r="H1505" s="32"/>
      <c r="I1505" s="32"/>
      <c r="J1505" s="32"/>
      <c r="K1505" s="32"/>
      <c r="L1505" s="33"/>
    </row>
    <row r="1506" spans="8:12" ht="23.25" x14ac:dyDescent="0.25">
      <c r="H1506" s="32"/>
      <c r="I1506" s="32"/>
      <c r="J1506" s="32"/>
      <c r="K1506" s="32"/>
      <c r="L1506" s="33"/>
    </row>
    <row r="1507" spans="8:12" ht="15" customHeight="1" x14ac:dyDescent="0.25">
      <c r="H1507" s="32"/>
      <c r="I1507" s="32"/>
      <c r="J1507" s="32"/>
      <c r="K1507" s="32"/>
      <c r="L1507" s="33"/>
    </row>
    <row r="1508" spans="8:12" ht="23.25" x14ac:dyDescent="0.25">
      <c r="H1508" s="32"/>
      <c r="I1508" s="32"/>
      <c r="J1508" s="32"/>
      <c r="K1508" s="32"/>
      <c r="L1508" s="33"/>
    </row>
    <row r="1509" spans="8:12" ht="23.25" x14ac:dyDescent="0.25">
      <c r="H1509" s="32"/>
      <c r="I1509" s="32"/>
      <c r="J1509" s="32"/>
      <c r="K1509" s="32"/>
      <c r="L1509" s="33"/>
    </row>
    <row r="1510" spans="8:12" ht="23.25" x14ac:dyDescent="0.25">
      <c r="H1510" s="32"/>
      <c r="I1510" s="32"/>
      <c r="J1510" s="32"/>
      <c r="K1510" s="32"/>
      <c r="L1510" s="33"/>
    </row>
    <row r="1511" spans="8:12" ht="23.25" x14ac:dyDescent="0.25">
      <c r="H1511" s="32"/>
      <c r="I1511" s="32"/>
      <c r="J1511" s="32"/>
      <c r="K1511" s="32"/>
      <c r="L1511" s="33"/>
    </row>
    <row r="1512" spans="8:12" ht="23.25" x14ac:dyDescent="0.25">
      <c r="H1512" s="32"/>
      <c r="I1512" s="32"/>
      <c r="J1512" s="32"/>
      <c r="K1512" s="32"/>
      <c r="L1512" s="33"/>
    </row>
    <row r="1513" spans="8:12" ht="23.25" x14ac:dyDescent="0.25">
      <c r="H1513" s="32"/>
      <c r="I1513" s="32"/>
      <c r="J1513" s="32"/>
      <c r="K1513" s="32"/>
      <c r="L1513" s="33"/>
    </row>
    <row r="1514" spans="8:12" ht="23.25" x14ac:dyDescent="0.25">
      <c r="H1514" s="32"/>
      <c r="I1514" s="32"/>
      <c r="J1514" s="32"/>
      <c r="K1514" s="32"/>
      <c r="L1514" s="33"/>
    </row>
    <row r="1515" spans="8:12" ht="23.25" x14ac:dyDescent="0.25">
      <c r="H1515" s="32"/>
      <c r="I1515" s="32"/>
      <c r="J1515" s="32"/>
      <c r="K1515" s="32"/>
      <c r="L1515" s="33"/>
    </row>
    <row r="1516" spans="8:12" ht="23.25" x14ac:dyDescent="0.25">
      <c r="H1516" s="32"/>
      <c r="I1516" s="32"/>
      <c r="J1516" s="32"/>
      <c r="K1516" s="32"/>
      <c r="L1516" s="33"/>
    </row>
    <row r="1517" spans="8:12" ht="23.25" x14ac:dyDescent="0.25">
      <c r="H1517" s="32"/>
      <c r="I1517" s="32"/>
      <c r="J1517" s="32"/>
      <c r="K1517" s="32"/>
      <c r="L1517" s="33"/>
    </row>
    <row r="1518" spans="8:12" ht="23.25" x14ac:dyDescent="0.25">
      <c r="H1518" s="32"/>
      <c r="I1518" s="32"/>
      <c r="J1518" s="32"/>
      <c r="K1518" s="32"/>
      <c r="L1518" s="33"/>
    </row>
    <row r="1519" spans="8:12" ht="23.25" x14ac:dyDescent="0.25">
      <c r="H1519" s="32"/>
      <c r="I1519" s="32"/>
      <c r="J1519" s="32"/>
      <c r="K1519" s="32"/>
      <c r="L1519" s="33"/>
    </row>
    <row r="1520" spans="8:12" ht="23.25" x14ac:dyDescent="0.25">
      <c r="H1520" s="32"/>
      <c r="I1520" s="32"/>
      <c r="J1520" s="32"/>
      <c r="K1520" s="32"/>
      <c r="L1520" s="33"/>
    </row>
    <row r="1521" spans="8:12" ht="15" customHeight="1" x14ac:dyDescent="0.25">
      <c r="H1521" s="32"/>
      <c r="I1521" s="32"/>
      <c r="J1521" s="32"/>
      <c r="K1521" s="32"/>
      <c r="L1521" s="33"/>
    </row>
    <row r="1522" spans="8:12" ht="23.25" x14ac:dyDescent="0.25">
      <c r="H1522" s="32"/>
      <c r="I1522" s="32"/>
      <c r="J1522" s="32"/>
      <c r="K1522" s="32"/>
      <c r="L1522" s="33"/>
    </row>
    <row r="1523" spans="8:12" ht="23.25" x14ac:dyDescent="0.25">
      <c r="H1523" s="32"/>
      <c r="I1523" s="32"/>
      <c r="J1523" s="32"/>
      <c r="K1523" s="32"/>
      <c r="L1523" s="33"/>
    </row>
    <row r="1524" spans="8:12" ht="23.25" x14ac:dyDescent="0.25">
      <c r="H1524" s="32"/>
      <c r="I1524" s="32"/>
      <c r="J1524" s="32"/>
      <c r="K1524" s="32"/>
      <c r="L1524" s="33"/>
    </row>
    <row r="1525" spans="8:12" ht="23.25" x14ac:dyDescent="0.25">
      <c r="H1525" s="32"/>
      <c r="I1525" s="32"/>
      <c r="J1525" s="32"/>
      <c r="K1525" s="32"/>
      <c r="L1525" s="33"/>
    </row>
    <row r="1526" spans="8:12" ht="23.25" x14ac:dyDescent="0.25">
      <c r="H1526" s="32"/>
      <c r="I1526" s="32"/>
      <c r="J1526" s="32"/>
      <c r="K1526" s="32"/>
      <c r="L1526" s="33"/>
    </row>
    <row r="1527" spans="8:12" ht="23.25" x14ac:dyDescent="0.25">
      <c r="H1527" s="32"/>
      <c r="I1527" s="32"/>
      <c r="J1527" s="32"/>
      <c r="K1527" s="32"/>
      <c r="L1527" s="33"/>
    </row>
    <row r="1528" spans="8:12" ht="23.25" x14ac:dyDescent="0.25">
      <c r="H1528" s="32"/>
      <c r="I1528" s="32"/>
      <c r="J1528" s="32"/>
      <c r="K1528" s="32"/>
      <c r="L1528" s="33"/>
    </row>
    <row r="1529" spans="8:12" ht="23.25" x14ac:dyDescent="0.25">
      <c r="H1529" s="32"/>
      <c r="I1529" s="32"/>
      <c r="J1529" s="32"/>
      <c r="K1529" s="32"/>
      <c r="L1529" s="33"/>
    </row>
    <row r="1530" spans="8:12" ht="23.25" x14ac:dyDescent="0.25">
      <c r="H1530" s="32"/>
      <c r="I1530" s="32"/>
      <c r="J1530" s="32"/>
      <c r="K1530" s="32"/>
      <c r="L1530" s="33"/>
    </row>
    <row r="1531" spans="8:12" ht="23.25" x14ac:dyDescent="0.25">
      <c r="H1531" s="32"/>
      <c r="I1531" s="32"/>
      <c r="J1531" s="32"/>
      <c r="K1531" s="32"/>
      <c r="L1531" s="33"/>
    </row>
    <row r="1532" spans="8:12" ht="23.25" x14ac:dyDescent="0.25">
      <c r="H1532" s="32"/>
      <c r="I1532" s="32"/>
      <c r="J1532" s="32"/>
      <c r="K1532" s="32"/>
      <c r="L1532" s="33"/>
    </row>
    <row r="1533" spans="8:12" ht="23.25" x14ac:dyDescent="0.25">
      <c r="H1533" s="32"/>
      <c r="I1533" s="32"/>
      <c r="J1533" s="32"/>
      <c r="K1533" s="32"/>
      <c r="L1533" s="33"/>
    </row>
    <row r="1534" spans="8:12" ht="23.25" x14ac:dyDescent="0.25">
      <c r="H1534" s="32"/>
      <c r="I1534" s="32"/>
      <c r="J1534" s="32"/>
      <c r="K1534" s="32"/>
      <c r="L1534" s="33"/>
    </row>
    <row r="1535" spans="8:12" ht="23.25" x14ac:dyDescent="0.25">
      <c r="H1535" s="32"/>
      <c r="I1535" s="32"/>
      <c r="J1535" s="32"/>
      <c r="K1535" s="32"/>
      <c r="L1535" s="33"/>
    </row>
    <row r="1536" spans="8:12" ht="23.25" x14ac:dyDescent="0.25">
      <c r="H1536" s="32"/>
      <c r="I1536" s="32"/>
      <c r="J1536" s="32"/>
      <c r="K1536" s="32"/>
      <c r="L1536" s="33"/>
    </row>
    <row r="1537" spans="8:12" ht="23.25" x14ac:dyDescent="0.25">
      <c r="H1537" s="32"/>
      <c r="I1537" s="32"/>
      <c r="J1537" s="32"/>
      <c r="K1537" s="32"/>
      <c r="L1537" s="33"/>
    </row>
    <row r="1538" spans="8:12" ht="23.25" x14ac:dyDescent="0.25">
      <c r="H1538" s="32"/>
      <c r="I1538" s="32"/>
      <c r="J1538" s="32"/>
      <c r="K1538" s="32"/>
      <c r="L1538" s="33"/>
    </row>
    <row r="1539" spans="8:12" ht="23.25" x14ac:dyDescent="0.25">
      <c r="H1539" s="32"/>
      <c r="I1539" s="32"/>
      <c r="J1539" s="32"/>
      <c r="K1539" s="32"/>
      <c r="L1539" s="33"/>
    </row>
    <row r="1540" spans="8:12" ht="23.25" x14ac:dyDescent="0.25">
      <c r="H1540" s="32"/>
      <c r="I1540" s="32"/>
      <c r="J1540" s="32"/>
      <c r="K1540" s="32"/>
      <c r="L1540" s="33"/>
    </row>
    <row r="1541" spans="8:12" ht="23.25" x14ac:dyDescent="0.25">
      <c r="H1541" s="32"/>
      <c r="I1541" s="32"/>
      <c r="J1541" s="32"/>
      <c r="K1541" s="32"/>
      <c r="L1541" s="33"/>
    </row>
    <row r="1542" spans="8:12" ht="23.25" x14ac:dyDescent="0.25">
      <c r="H1542" s="32"/>
      <c r="I1542" s="32"/>
      <c r="J1542" s="32"/>
      <c r="K1542" s="32"/>
      <c r="L1542" s="33"/>
    </row>
    <row r="1543" spans="8:12" ht="23.25" x14ac:dyDescent="0.25">
      <c r="H1543" s="32"/>
      <c r="I1543" s="32"/>
      <c r="J1543" s="32"/>
      <c r="K1543" s="32"/>
      <c r="L1543" s="33"/>
    </row>
    <row r="1544" spans="8:12" ht="23.25" x14ac:dyDescent="0.25">
      <c r="H1544" s="32"/>
      <c r="I1544" s="32"/>
      <c r="J1544" s="32"/>
      <c r="K1544" s="32"/>
      <c r="L1544" s="33"/>
    </row>
    <row r="1545" spans="8:12" ht="23.25" x14ac:dyDescent="0.25">
      <c r="H1545" s="32"/>
      <c r="I1545" s="32"/>
      <c r="J1545" s="32"/>
      <c r="K1545" s="32"/>
      <c r="L1545" s="33"/>
    </row>
    <row r="1546" spans="8:12" ht="23.25" x14ac:dyDescent="0.25">
      <c r="H1546" s="32"/>
      <c r="I1546" s="32"/>
      <c r="J1546" s="32"/>
      <c r="K1546" s="32"/>
      <c r="L1546" s="33"/>
    </row>
    <row r="1547" spans="8:12" ht="23.25" x14ac:dyDescent="0.25">
      <c r="H1547" s="32"/>
      <c r="I1547" s="32"/>
      <c r="J1547" s="32"/>
      <c r="K1547" s="32"/>
      <c r="L1547" s="33"/>
    </row>
    <row r="1548" spans="8:12" ht="23.25" x14ac:dyDescent="0.25">
      <c r="H1548" s="32"/>
      <c r="I1548" s="32"/>
      <c r="J1548" s="32"/>
      <c r="K1548" s="32"/>
      <c r="L1548" s="33"/>
    </row>
    <row r="1549" spans="8:12" ht="23.25" x14ac:dyDescent="0.25">
      <c r="H1549" s="32"/>
      <c r="I1549" s="32"/>
      <c r="J1549" s="32"/>
      <c r="K1549" s="32"/>
      <c r="L1549" s="33"/>
    </row>
    <row r="1550" spans="8:12" ht="23.25" x14ac:dyDescent="0.25">
      <c r="H1550" s="32"/>
      <c r="I1550" s="32"/>
      <c r="J1550" s="32"/>
      <c r="K1550" s="32"/>
      <c r="L1550" s="33"/>
    </row>
    <row r="1551" spans="8:12" ht="23.25" x14ac:dyDescent="0.25">
      <c r="H1551" s="32"/>
      <c r="I1551" s="32"/>
      <c r="J1551" s="32"/>
      <c r="K1551" s="32"/>
      <c r="L1551" s="33"/>
    </row>
    <row r="1552" spans="8:12" ht="23.25" x14ac:dyDescent="0.25">
      <c r="H1552" s="32"/>
      <c r="I1552" s="32"/>
      <c r="J1552" s="32"/>
      <c r="K1552" s="32"/>
      <c r="L1552" s="33"/>
    </row>
    <row r="1553" spans="8:12" ht="23.25" x14ac:dyDescent="0.25">
      <c r="H1553" s="32"/>
      <c r="I1553" s="32"/>
      <c r="J1553" s="32"/>
      <c r="K1553" s="32"/>
      <c r="L1553" s="33"/>
    </row>
    <row r="1554" spans="8:12" ht="23.25" x14ac:dyDescent="0.25">
      <c r="H1554" s="32"/>
      <c r="I1554" s="32"/>
      <c r="J1554" s="32"/>
      <c r="K1554" s="32"/>
      <c r="L1554" s="33"/>
    </row>
    <row r="1555" spans="8:12" ht="23.25" x14ac:dyDescent="0.25">
      <c r="H1555" s="32"/>
      <c r="I1555" s="32"/>
      <c r="J1555" s="32"/>
      <c r="K1555" s="32"/>
      <c r="L1555" s="33"/>
    </row>
    <row r="1556" spans="8:12" ht="23.25" x14ac:dyDescent="0.25">
      <c r="H1556" s="32"/>
      <c r="I1556" s="32"/>
      <c r="J1556" s="32"/>
      <c r="K1556" s="32"/>
      <c r="L1556" s="33"/>
    </row>
    <row r="1557" spans="8:12" ht="23.25" x14ac:dyDescent="0.25">
      <c r="H1557" s="32"/>
      <c r="I1557" s="32"/>
      <c r="J1557" s="32"/>
      <c r="K1557" s="32"/>
      <c r="L1557" s="33"/>
    </row>
    <row r="1558" spans="8:12" ht="23.25" x14ac:dyDescent="0.25">
      <c r="H1558" s="32"/>
      <c r="I1558" s="32"/>
      <c r="J1558" s="32"/>
      <c r="K1558" s="32"/>
      <c r="L1558" s="33"/>
    </row>
    <row r="1559" spans="8:12" ht="23.25" x14ac:dyDescent="0.25">
      <c r="H1559" s="32"/>
      <c r="I1559" s="32"/>
      <c r="J1559" s="32"/>
      <c r="K1559" s="32"/>
      <c r="L1559" s="33"/>
    </row>
    <row r="1560" spans="8:12" ht="23.25" x14ac:dyDescent="0.25">
      <c r="H1560" s="32"/>
      <c r="I1560" s="32"/>
      <c r="J1560" s="32"/>
      <c r="K1560" s="32"/>
      <c r="L1560" s="33"/>
    </row>
    <row r="1561" spans="8:12" ht="23.25" x14ac:dyDescent="0.25">
      <c r="H1561" s="32"/>
      <c r="I1561" s="32"/>
      <c r="J1561" s="32"/>
      <c r="K1561" s="32"/>
      <c r="L1561" s="33"/>
    </row>
    <row r="1562" spans="8:12" ht="23.25" x14ac:dyDescent="0.25">
      <c r="H1562" s="32"/>
      <c r="I1562" s="32"/>
      <c r="J1562" s="32"/>
      <c r="K1562" s="32"/>
      <c r="L1562" s="33"/>
    </row>
    <row r="1563" spans="8:12" ht="23.25" x14ac:dyDescent="0.25">
      <c r="H1563" s="32"/>
      <c r="I1563" s="32"/>
      <c r="J1563" s="32"/>
      <c r="K1563" s="32"/>
      <c r="L1563" s="33"/>
    </row>
    <row r="1564" spans="8:12" ht="23.25" x14ac:dyDescent="0.25">
      <c r="H1564" s="32"/>
      <c r="I1564" s="32"/>
      <c r="J1564" s="32"/>
      <c r="K1564" s="32"/>
      <c r="L1564" s="33"/>
    </row>
    <row r="1565" spans="8:12" ht="23.25" x14ac:dyDescent="0.25">
      <c r="H1565" s="32"/>
      <c r="I1565" s="32"/>
      <c r="J1565" s="32"/>
      <c r="K1565" s="32"/>
      <c r="L1565" s="33"/>
    </row>
    <row r="1566" spans="8:12" ht="23.25" x14ac:dyDescent="0.25">
      <c r="H1566" s="32"/>
      <c r="I1566" s="32"/>
      <c r="J1566" s="32"/>
      <c r="K1566" s="32"/>
      <c r="L1566" s="33"/>
    </row>
    <row r="1567" spans="8:12" ht="23.25" x14ac:dyDescent="0.25">
      <c r="H1567" s="32"/>
      <c r="I1567" s="32"/>
      <c r="J1567" s="32"/>
      <c r="K1567" s="32"/>
      <c r="L1567" s="33"/>
    </row>
    <row r="1568" spans="8:12" ht="23.25" x14ac:dyDescent="0.25">
      <c r="H1568" s="32"/>
      <c r="I1568" s="32"/>
      <c r="J1568" s="32"/>
      <c r="K1568" s="32"/>
      <c r="L1568" s="33"/>
    </row>
    <row r="1569" spans="8:12" ht="23.25" x14ac:dyDescent="0.25">
      <c r="H1569" s="32"/>
      <c r="I1569" s="32"/>
      <c r="J1569" s="32"/>
      <c r="K1569" s="32"/>
      <c r="L1569" s="33"/>
    </row>
    <row r="1570" spans="8:12" ht="23.25" x14ac:dyDescent="0.25">
      <c r="H1570" s="32"/>
      <c r="I1570" s="32"/>
      <c r="J1570" s="32"/>
      <c r="K1570" s="32"/>
      <c r="L1570" s="33"/>
    </row>
    <row r="1571" spans="8:12" ht="23.25" x14ac:dyDescent="0.25">
      <c r="H1571" s="32"/>
      <c r="I1571" s="32"/>
      <c r="J1571" s="32"/>
      <c r="K1571" s="32"/>
      <c r="L1571" s="33"/>
    </row>
    <row r="1572" spans="8:12" ht="23.25" x14ac:dyDescent="0.25">
      <c r="H1572" s="32"/>
      <c r="I1572" s="32"/>
      <c r="J1572" s="32"/>
      <c r="K1572" s="32"/>
      <c r="L1572" s="33"/>
    </row>
    <row r="1573" spans="8:12" ht="23.25" x14ac:dyDescent="0.25">
      <c r="H1573" s="32"/>
      <c r="I1573" s="32"/>
      <c r="J1573" s="32"/>
      <c r="K1573" s="32"/>
      <c r="L1573" s="33"/>
    </row>
    <row r="1574" spans="8:12" ht="23.25" x14ac:dyDescent="0.25">
      <c r="H1574" s="32"/>
      <c r="I1574" s="32"/>
      <c r="J1574" s="32"/>
      <c r="K1574" s="32"/>
      <c r="L1574" s="33"/>
    </row>
    <row r="1575" spans="8:12" ht="23.25" x14ac:dyDescent="0.25">
      <c r="H1575" s="32"/>
      <c r="I1575" s="32"/>
      <c r="J1575" s="32"/>
      <c r="K1575" s="32"/>
      <c r="L1575" s="33"/>
    </row>
    <row r="1576" spans="8:12" ht="23.25" x14ac:dyDescent="0.25">
      <c r="H1576" s="32"/>
      <c r="I1576" s="32"/>
      <c r="J1576" s="32"/>
      <c r="K1576" s="32"/>
      <c r="L1576" s="33"/>
    </row>
    <row r="1577" spans="8:12" ht="23.25" x14ac:dyDescent="0.25">
      <c r="H1577" s="32"/>
      <c r="I1577" s="32"/>
      <c r="J1577" s="32"/>
      <c r="K1577" s="32"/>
      <c r="L1577" s="33"/>
    </row>
    <row r="1578" spans="8:12" ht="23.25" x14ac:dyDescent="0.25">
      <c r="H1578" s="32"/>
      <c r="I1578" s="32"/>
      <c r="J1578" s="32"/>
      <c r="K1578" s="32"/>
      <c r="L1578" s="33"/>
    </row>
    <row r="1579" spans="8:12" ht="23.25" x14ac:dyDescent="0.25">
      <c r="H1579" s="32"/>
      <c r="I1579" s="32"/>
      <c r="J1579" s="32"/>
      <c r="K1579" s="32"/>
      <c r="L1579" s="33"/>
    </row>
    <row r="1580" spans="8:12" ht="23.25" x14ac:dyDescent="0.25">
      <c r="H1580" s="32"/>
      <c r="I1580" s="32"/>
      <c r="J1580" s="32"/>
      <c r="K1580" s="32"/>
      <c r="L1580" s="33"/>
    </row>
    <row r="1581" spans="8:12" ht="15" customHeight="1" x14ac:dyDescent="0.25">
      <c r="H1581" s="32"/>
      <c r="I1581" s="32"/>
      <c r="J1581" s="32"/>
      <c r="K1581" s="32"/>
      <c r="L1581" s="33"/>
    </row>
    <row r="1582" spans="8:12" ht="23.25" x14ac:dyDescent="0.25">
      <c r="H1582" s="32"/>
      <c r="I1582" s="32"/>
      <c r="J1582" s="32"/>
      <c r="K1582" s="32"/>
      <c r="L1582" s="33"/>
    </row>
    <row r="1583" spans="8:12" ht="23.25" x14ac:dyDescent="0.25">
      <c r="H1583" s="32"/>
      <c r="I1583" s="32"/>
      <c r="J1583" s="32"/>
      <c r="K1583" s="32"/>
      <c r="L1583" s="33"/>
    </row>
    <row r="1584" spans="8:12" ht="23.25" x14ac:dyDescent="0.25">
      <c r="H1584" s="32"/>
      <c r="I1584" s="32"/>
      <c r="J1584" s="32"/>
      <c r="K1584" s="32"/>
      <c r="L1584" s="33"/>
    </row>
    <row r="1585" spans="8:12" ht="23.25" x14ac:dyDescent="0.25">
      <c r="H1585" s="32"/>
      <c r="I1585" s="32"/>
      <c r="J1585" s="32"/>
      <c r="K1585" s="32"/>
      <c r="L1585" s="33"/>
    </row>
    <row r="1586" spans="8:12" ht="23.25" x14ac:dyDescent="0.25">
      <c r="H1586" s="32"/>
      <c r="I1586" s="32"/>
      <c r="J1586" s="32"/>
      <c r="K1586" s="32"/>
      <c r="L1586" s="33"/>
    </row>
    <row r="1587" spans="8:12" ht="23.25" x14ac:dyDescent="0.25">
      <c r="H1587" s="32"/>
      <c r="I1587" s="32"/>
      <c r="J1587" s="32"/>
      <c r="K1587" s="32"/>
      <c r="L1587" s="33"/>
    </row>
    <row r="1588" spans="8:12" ht="23.25" x14ac:dyDescent="0.25">
      <c r="H1588" s="32"/>
      <c r="I1588" s="32"/>
      <c r="J1588" s="32"/>
      <c r="K1588" s="32"/>
      <c r="L1588" s="33"/>
    </row>
    <row r="1589" spans="8:12" ht="23.25" x14ac:dyDescent="0.25">
      <c r="H1589" s="32"/>
      <c r="I1589" s="32"/>
      <c r="J1589" s="32"/>
      <c r="K1589" s="32"/>
      <c r="L1589" s="33"/>
    </row>
    <row r="1590" spans="8:12" ht="23.25" x14ac:dyDescent="0.25">
      <c r="H1590" s="32"/>
      <c r="I1590" s="32"/>
      <c r="J1590" s="32"/>
      <c r="K1590" s="32"/>
      <c r="L1590" s="33"/>
    </row>
    <row r="1591" spans="8:12" ht="23.25" x14ac:dyDescent="0.25">
      <c r="H1591" s="32"/>
      <c r="I1591" s="32"/>
      <c r="J1591" s="32"/>
      <c r="K1591" s="32"/>
      <c r="L1591" s="33"/>
    </row>
    <row r="1592" spans="8:12" ht="23.25" x14ac:dyDescent="0.25">
      <c r="H1592" s="32"/>
      <c r="I1592" s="32"/>
      <c r="J1592" s="32"/>
      <c r="K1592" s="32"/>
      <c r="L1592" s="33"/>
    </row>
    <row r="1593" spans="8:12" ht="23.25" x14ac:dyDescent="0.25">
      <c r="H1593" s="32"/>
      <c r="I1593" s="32"/>
      <c r="J1593" s="32"/>
      <c r="K1593" s="32"/>
      <c r="L1593" s="33"/>
    </row>
    <row r="1594" spans="8:12" ht="23.25" x14ac:dyDescent="0.25">
      <c r="H1594" s="32"/>
      <c r="I1594" s="32"/>
      <c r="J1594" s="32"/>
      <c r="K1594" s="32"/>
      <c r="L1594" s="33"/>
    </row>
    <row r="1595" spans="8:12" ht="23.25" x14ac:dyDescent="0.25">
      <c r="H1595" s="32"/>
      <c r="I1595" s="32"/>
      <c r="J1595" s="32"/>
      <c r="K1595" s="32"/>
      <c r="L1595" s="33"/>
    </row>
    <row r="1596" spans="8:12" ht="23.25" x14ac:dyDescent="0.25">
      <c r="H1596" s="32"/>
      <c r="I1596" s="32"/>
      <c r="J1596" s="32"/>
      <c r="K1596" s="32"/>
      <c r="L1596" s="33"/>
    </row>
    <row r="1597" spans="8:12" ht="23.25" x14ac:dyDescent="0.25">
      <c r="H1597" s="32"/>
      <c r="I1597" s="32"/>
      <c r="J1597" s="32"/>
      <c r="K1597" s="32"/>
      <c r="L1597" s="33"/>
    </row>
    <row r="1598" spans="8:12" ht="23.25" x14ac:dyDescent="0.25">
      <c r="H1598" s="32"/>
      <c r="I1598" s="32"/>
      <c r="J1598" s="32"/>
      <c r="K1598" s="32"/>
      <c r="L1598" s="33"/>
    </row>
    <row r="1599" spans="8:12" ht="23.25" x14ac:dyDescent="0.25">
      <c r="H1599" s="32"/>
      <c r="I1599" s="32"/>
      <c r="J1599" s="32"/>
      <c r="K1599" s="32"/>
      <c r="L1599" s="33"/>
    </row>
    <row r="1600" spans="8:12" ht="23.25" x14ac:dyDescent="0.25">
      <c r="H1600" s="32"/>
      <c r="I1600" s="32"/>
      <c r="J1600" s="32"/>
      <c r="K1600" s="32"/>
      <c r="L1600" s="33"/>
    </row>
    <row r="1601" spans="8:12" ht="23.25" x14ac:dyDescent="0.25">
      <c r="H1601" s="32"/>
      <c r="I1601" s="32"/>
      <c r="J1601" s="32"/>
      <c r="K1601" s="32"/>
      <c r="L1601" s="33"/>
    </row>
    <row r="1602" spans="8:12" ht="23.25" x14ac:dyDescent="0.25">
      <c r="H1602" s="32"/>
      <c r="I1602" s="32"/>
      <c r="J1602" s="32"/>
      <c r="K1602" s="32"/>
      <c r="L1602" s="33"/>
    </row>
    <row r="1603" spans="8:12" ht="23.25" x14ac:dyDescent="0.25">
      <c r="H1603" s="32"/>
      <c r="I1603" s="32"/>
      <c r="J1603" s="32"/>
      <c r="K1603" s="32"/>
      <c r="L1603" s="33"/>
    </row>
    <row r="1604" spans="8:12" ht="23.25" x14ac:dyDescent="0.25">
      <c r="H1604" s="32"/>
      <c r="I1604" s="32"/>
      <c r="J1604" s="32"/>
      <c r="K1604" s="32"/>
      <c r="L1604" s="33"/>
    </row>
    <row r="1605" spans="8:12" ht="23.25" x14ac:dyDescent="0.25">
      <c r="H1605" s="32"/>
      <c r="I1605" s="32"/>
      <c r="J1605" s="32"/>
      <c r="K1605" s="32"/>
      <c r="L1605" s="33"/>
    </row>
    <row r="1606" spans="8:12" ht="23.25" x14ac:dyDescent="0.25">
      <c r="H1606" s="32"/>
      <c r="I1606" s="32"/>
      <c r="J1606" s="32"/>
      <c r="K1606" s="32"/>
      <c r="L1606" s="33"/>
    </row>
    <row r="1607" spans="8:12" ht="23.25" x14ac:dyDescent="0.25">
      <c r="H1607" s="32"/>
      <c r="I1607" s="32"/>
      <c r="J1607" s="32"/>
      <c r="K1607" s="32"/>
      <c r="L1607" s="33"/>
    </row>
    <row r="1608" spans="8:12" ht="23.25" x14ac:dyDescent="0.25">
      <c r="H1608" s="32"/>
      <c r="I1608" s="32"/>
      <c r="J1608" s="32"/>
      <c r="K1608" s="32"/>
      <c r="L1608" s="33"/>
    </row>
    <row r="1609" spans="8:12" ht="23.25" x14ac:dyDescent="0.25">
      <c r="H1609" s="32"/>
      <c r="I1609" s="32"/>
      <c r="J1609" s="32"/>
      <c r="K1609" s="32"/>
      <c r="L1609" s="33"/>
    </row>
    <row r="1610" spans="8:12" ht="23.25" x14ac:dyDescent="0.25">
      <c r="H1610" s="32"/>
      <c r="I1610" s="32"/>
      <c r="J1610" s="32"/>
      <c r="K1610" s="32"/>
      <c r="L1610" s="33"/>
    </row>
    <row r="1611" spans="8:12" ht="23.25" x14ac:dyDescent="0.25">
      <c r="H1611" s="32"/>
      <c r="I1611" s="32"/>
      <c r="J1611" s="32"/>
      <c r="K1611" s="32"/>
      <c r="L1611" s="33"/>
    </row>
    <row r="1612" spans="8:12" ht="23.25" x14ac:dyDescent="0.25">
      <c r="H1612" s="32"/>
      <c r="I1612" s="32"/>
      <c r="J1612" s="32"/>
      <c r="K1612" s="32"/>
      <c r="L1612" s="33"/>
    </row>
    <row r="1613" spans="8:12" ht="23.25" x14ac:dyDescent="0.25">
      <c r="H1613" s="32"/>
      <c r="I1613" s="32"/>
      <c r="J1613" s="32"/>
      <c r="K1613" s="32"/>
      <c r="L1613" s="33"/>
    </row>
    <row r="1614" spans="8:12" ht="23.25" x14ac:dyDescent="0.25">
      <c r="H1614" s="32"/>
      <c r="I1614" s="32"/>
      <c r="J1614" s="32"/>
      <c r="K1614" s="32"/>
      <c r="L1614" s="33"/>
    </row>
    <row r="1615" spans="8:12" ht="23.25" x14ac:dyDescent="0.25">
      <c r="H1615" s="32"/>
      <c r="I1615" s="32"/>
      <c r="J1615" s="32"/>
      <c r="K1615" s="32"/>
      <c r="L1615" s="33"/>
    </row>
    <row r="1616" spans="8:12" ht="23.25" x14ac:dyDescent="0.25">
      <c r="H1616" s="32"/>
      <c r="I1616" s="32"/>
      <c r="J1616" s="32"/>
      <c r="K1616" s="32"/>
      <c r="L1616" s="33"/>
    </row>
    <row r="1617" spans="8:12" ht="23.25" x14ac:dyDescent="0.25">
      <c r="H1617" s="32"/>
      <c r="I1617" s="32"/>
      <c r="J1617" s="32"/>
      <c r="K1617" s="32"/>
      <c r="L1617" s="33"/>
    </row>
    <row r="1618" spans="8:12" ht="23.25" x14ac:dyDescent="0.25">
      <c r="H1618" s="32"/>
      <c r="I1618" s="32"/>
      <c r="J1618" s="32"/>
      <c r="K1618" s="32"/>
      <c r="L1618" s="33"/>
    </row>
    <row r="1619" spans="8:12" ht="23.25" x14ac:dyDescent="0.25">
      <c r="H1619" s="32"/>
      <c r="I1619" s="32"/>
      <c r="J1619" s="32"/>
      <c r="K1619" s="32"/>
      <c r="L1619" s="33"/>
    </row>
    <row r="1620" spans="8:12" ht="23.25" x14ac:dyDescent="0.25">
      <c r="H1620" s="32"/>
      <c r="I1620" s="32"/>
      <c r="J1620" s="32"/>
      <c r="K1620" s="32"/>
      <c r="L1620" s="33"/>
    </row>
    <row r="1621" spans="8:12" ht="23.25" x14ac:dyDescent="0.25">
      <c r="H1621" s="32"/>
      <c r="I1621" s="32"/>
      <c r="J1621" s="32"/>
      <c r="K1621" s="32"/>
      <c r="L1621" s="33"/>
    </row>
    <row r="1622" spans="8:12" ht="23.25" x14ac:dyDescent="0.25">
      <c r="H1622" s="32"/>
      <c r="I1622" s="32"/>
      <c r="J1622" s="32"/>
      <c r="K1622" s="32"/>
      <c r="L1622" s="33"/>
    </row>
    <row r="1623" spans="8:12" ht="23.25" x14ac:dyDescent="0.25">
      <c r="H1623" s="32"/>
      <c r="I1623" s="32"/>
      <c r="J1623" s="32"/>
      <c r="K1623" s="32"/>
      <c r="L1623" s="33"/>
    </row>
    <row r="1624" spans="8:12" ht="23.25" x14ac:dyDescent="0.25">
      <c r="H1624" s="32"/>
      <c r="I1624" s="32"/>
      <c r="J1624" s="32"/>
      <c r="K1624" s="32"/>
      <c r="L1624" s="33"/>
    </row>
    <row r="1625" spans="8:12" ht="23.25" x14ac:dyDescent="0.25">
      <c r="H1625" s="32"/>
      <c r="I1625" s="32"/>
      <c r="J1625" s="32"/>
      <c r="K1625" s="32"/>
      <c r="L1625" s="33"/>
    </row>
    <row r="1626" spans="8:12" ht="23.25" x14ac:dyDescent="0.25">
      <c r="H1626" s="32"/>
      <c r="I1626" s="32"/>
      <c r="J1626" s="32"/>
      <c r="K1626" s="32"/>
      <c r="L1626" s="33"/>
    </row>
    <row r="1627" spans="8:12" ht="23.25" x14ac:dyDescent="0.25">
      <c r="H1627" s="32"/>
      <c r="I1627" s="32"/>
      <c r="J1627" s="32"/>
      <c r="K1627" s="32"/>
      <c r="L1627" s="33"/>
    </row>
    <row r="1628" spans="8:12" ht="23.25" x14ac:dyDescent="0.25">
      <c r="H1628" s="32"/>
      <c r="I1628" s="32"/>
      <c r="J1628" s="32"/>
      <c r="K1628" s="32"/>
      <c r="L1628" s="33"/>
    </row>
    <row r="1629" spans="8:12" ht="23.25" x14ac:dyDescent="0.25">
      <c r="H1629" s="32"/>
      <c r="I1629" s="32"/>
      <c r="J1629" s="32"/>
      <c r="K1629" s="32"/>
      <c r="L1629" s="33"/>
    </row>
    <row r="1630" spans="8:12" ht="23.25" x14ac:dyDescent="0.25">
      <c r="H1630" s="32"/>
      <c r="I1630" s="32"/>
      <c r="J1630" s="32"/>
      <c r="K1630" s="32"/>
      <c r="L1630" s="33"/>
    </row>
    <row r="1631" spans="8:12" ht="23.25" x14ac:dyDescent="0.25">
      <c r="H1631" s="32"/>
      <c r="I1631" s="32"/>
      <c r="J1631" s="32"/>
      <c r="K1631" s="32"/>
      <c r="L1631" s="33"/>
    </row>
    <row r="1632" spans="8:12" ht="23.25" x14ac:dyDescent="0.25">
      <c r="H1632" s="32"/>
      <c r="I1632" s="32"/>
      <c r="J1632" s="32"/>
      <c r="K1632" s="32"/>
      <c r="L1632" s="33"/>
    </row>
    <row r="1633" spans="8:12" ht="23.25" x14ac:dyDescent="0.25">
      <c r="H1633" s="32"/>
      <c r="I1633" s="32"/>
      <c r="J1633" s="32"/>
      <c r="K1633" s="32"/>
      <c r="L1633" s="33"/>
    </row>
    <row r="1634" spans="8:12" ht="23.25" x14ac:dyDescent="0.25">
      <c r="H1634" s="32"/>
      <c r="I1634" s="32"/>
      <c r="J1634" s="32"/>
      <c r="K1634" s="32"/>
      <c r="L1634" s="33"/>
    </row>
    <row r="1635" spans="8:12" ht="23.25" x14ac:dyDescent="0.25">
      <c r="H1635" s="32"/>
      <c r="I1635" s="32"/>
      <c r="J1635" s="32"/>
      <c r="K1635" s="32"/>
      <c r="L1635" s="33"/>
    </row>
    <row r="1636" spans="8:12" ht="23.25" x14ac:dyDescent="0.25">
      <c r="H1636" s="32"/>
      <c r="I1636" s="32"/>
      <c r="J1636" s="32"/>
      <c r="K1636" s="32"/>
      <c r="L1636" s="33"/>
    </row>
    <row r="1637" spans="8:12" ht="23.25" x14ac:dyDescent="0.25">
      <c r="H1637" s="32"/>
      <c r="I1637" s="32"/>
      <c r="J1637" s="32"/>
      <c r="K1637" s="32"/>
      <c r="L1637" s="33"/>
    </row>
    <row r="1638" spans="8:12" ht="23.25" x14ac:dyDescent="0.25">
      <c r="H1638" s="32"/>
      <c r="I1638" s="32"/>
      <c r="J1638" s="32"/>
      <c r="K1638" s="32"/>
      <c r="L1638" s="33"/>
    </row>
    <row r="1639" spans="8:12" ht="23.25" x14ac:dyDescent="0.25">
      <c r="H1639" s="32"/>
      <c r="I1639" s="32"/>
      <c r="J1639" s="32"/>
      <c r="K1639" s="32"/>
      <c r="L1639" s="33"/>
    </row>
    <row r="1640" spans="8:12" ht="23.25" x14ac:dyDescent="0.25">
      <c r="H1640" s="32"/>
      <c r="I1640" s="32"/>
      <c r="J1640" s="32"/>
      <c r="K1640" s="32"/>
      <c r="L1640" s="33"/>
    </row>
    <row r="1641" spans="8:12" ht="23.25" x14ac:dyDescent="0.25">
      <c r="H1641" s="32"/>
      <c r="I1641" s="32"/>
      <c r="J1641" s="32"/>
      <c r="K1641" s="32"/>
      <c r="L1641" s="33"/>
    </row>
    <row r="1642" spans="8:12" ht="23.25" x14ac:dyDescent="0.25">
      <c r="H1642" s="32"/>
      <c r="I1642" s="32"/>
      <c r="J1642" s="32"/>
      <c r="K1642" s="32"/>
      <c r="L1642" s="33"/>
    </row>
    <row r="1643" spans="8:12" ht="23.25" x14ac:dyDescent="0.25">
      <c r="H1643" s="32"/>
      <c r="I1643" s="32"/>
      <c r="J1643" s="32"/>
      <c r="K1643" s="32"/>
      <c r="L1643" s="33"/>
    </row>
    <row r="1644" spans="8:12" ht="23.25" x14ac:dyDescent="0.25">
      <c r="H1644" s="32"/>
      <c r="I1644" s="32"/>
      <c r="J1644" s="32"/>
      <c r="K1644" s="32"/>
      <c r="L1644" s="33"/>
    </row>
    <row r="1645" spans="8:12" ht="30" customHeight="1" x14ac:dyDescent="0.25">
      <c r="H1645" s="32"/>
      <c r="I1645" s="32"/>
      <c r="J1645" s="32"/>
      <c r="K1645" s="32"/>
      <c r="L1645" s="33"/>
    </row>
    <row r="1646" spans="8:12" ht="23.25" x14ac:dyDescent="0.25">
      <c r="H1646" s="32"/>
      <c r="I1646" s="32"/>
      <c r="J1646" s="32"/>
      <c r="K1646" s="32"/>
      <c r="L1646" s="33"/>
    </row>
    <row r="1647" spans="8:12" ht="23.25" x14ac:dyDescent="0.25">
      <c r="H1647" s="32"/>
      <c r="I1647" s="32"/>
      <c r="J1647" s="32"/>
      <c r="K1647" s="32"/>
      <c r="L1647" s="33"/>
    </row>
    <row r="1648" spans="8:12" ht="23.25" x14ac:dyDescent="0.25">
      <c r="H1648" s="32"/>
      <c r="I1648" s="32"/>
      <c r="J1648" s="32"/>
      <c r="K1648" s="32"/>
      <c r="L1648" s="33"/>
    </row>
    <row r="1649" spans="8:12" ht="23.25" x14ac:dyDescent="0.25">
      <c r="H1649" s="32"/>
      <c r="I1649" s="32"/>
      <c r="J1649" s="32"/>
      <c r="K1649" s="32"/>
      <c r="L1649" s="33"/>
    </row>
    <row r="1650" spans="8:12" ht="23.25" x14ac:dyDescent="0.25">
      <c r="H1650" s="32"/>
      <c r="I1650" s="32"/>
      <c r="J1650" s="32"/>
      <c r="K1650" s="32"/>
      <c r="L1650" s="33"/>
    </row>
    <row r="1651" spans="8:12" ht="23.25" x14ac:dyDescent="0.25">
      <c r="H1651" s="32"/>
      <c r="I1651" s="32"/>
      <c r="J1651" s="32"/>
      <c r="K1651" s="32"/>
      <c r="L1651" s="33"/>
    </row>
    <row r="1652" spans="8:12" ht="23.25" x14ac:dyDescent="0.25">
      <c r="H1652" s="32"/>
      <c r="I1652" s="32"/>
      <c r="J1652" s="32"/>
      <c r="K1652" s="32"/>
      <c r="L1652" s="33"/>
    </row>
    <row r="1653" spans="8:12" ht="23.25" x14ac:dyDescent="0.25">
      <c r="H1653" s="32"/>
      <c r="I1653" s="32"/>
      <c r="J1653" s="32"/>
      <c r="K1653" s="32"/>
      <c r="L1653" s="33"/>
    </row>
    <row r="1654" spans="8:12" ht="23.25" x14ac:dyDescent="0.25">
      <c r="H1654" s="32"/>
      <c r="I1654" s="32"/>
      <c r="J1654" s="32"/>
      <c r="K1654" s="32"/>
      <c r="L1654" s="33"/>
    </row>
    <row r="1655" spans="8:12" ht="23.25" x14ac:dyDescent="0.25">
      <c r="H1655" s="32"/>
      <c r="I1655" s="32"/>
      <c r="J1655" s="32"/>
      <c r="K1655" s="32"/>
      <c r="L1655" s="33"/>
    </row>
    <row r="1656" spans="8:12" ht="23.25" x14ac:dyDescent="0.25">
      <c r="H1656" s="32"/>
      <c r="I1656" s="32"/>
      <c r="J1656" s="32"/>
      <c r="K1656" s="32"/>
      <c r="L1656" s="33"/>
    </row>
    <row r="1657" spans="8:12" ht="23.25" x14ac:dyDescent="0.25">
      <c r="H1657" s="32"/>
      <c r="I1657" s="32"/>
      <c r="J1657" s="32"/>
      <c r="K1657" s="32"/>
      <c r="L1657" s="33"/>
    </row>
    <row r="1658" spans="8:12" ht="23.25" x14ac:dyDescent="0.25">
      <c r="H1658" s="32"/>
      <c r="I1658" s="32"/>
      <c r="J1658" s="32"/>
      <c r="K1658" s="32"/>
      <c r="L1658" s="33"/>
    </row>
    <row r="1659" spans="8:12" ht="23.25" x14ac:dyDescent="0.25">
      <c r="H1659" s="32"/>
      <c r="I1659" s="32"/>
      <c r="J1659" s="32"/>
      <c r="K1659" s="32"/>
      <c r="L1659" s="33"/>
    </row>
    <row r="1660" spans="8:12" ht="23.25" x14ac:dyDescent="0.25">
      <c r="H1660" s="32"/>
      <c r="I1660" s="32"/>
      <c r="J1660" s="32"/>
      <c r="K1660" s="32"/>
      <c r="L1660" s="33"/>
    </row>
    <row r="1661" spans="8:12" ht="23.25" x14ac:dyDescent="0.25">
      <c r="H1661" s="32"/>
      <c r="I1661" s="32"/>
      <c r="J1661" s="32"/>
      <c r="K1661" s="32"/>
      <c r="L1661" s="33"/>
    </row>
    <row r="1662" spans="8:12" ht="23.25" x14ac:dyDescent="0.25">
      <c r="H1662" s="32"/>
      <c r="I1662" s="32"/>
      <c r="J1662" s="32"/>
      <c r="K1662" s="32"/>
      <c r="L1662" s="33"/>
    </row>
    <row r="1663" spans="8:12" ht="23.25" x14ac:dyDescent="0.25">
      <c r="H1663" s="32"/>
      <c r="I1663" s="32"/>
      <c r="J1663" s="32"/>
      <c r="K1663" s="32"/>
      <c r="L1663" s="33"/>
    </row>
    <row r="1664" spans="8:12" ht="23.25" x14ac:dyDescent="0.25">
      <c r="H1664" s="32"/>
      <c r="I1664" s="32"/>
      <c r="J1664" s="32"/>
      <c r="K1664" s="32"/>
      <c r="L1664" s="33"/>
    </row>
    <row r="1665" spans="8:12" ht="23.25" x14ac:dyDescent="0.25">
      <c r="H1665" s="32"/>
      <c r="I1665" s="32"/>
      <c r="J1665" s="32"/>
      <c r="K1665" s="32"/>
      <c r="L1665" s="33"/>
    </row>
    <row r="1666" spans="8:12" ht="23.25" x14ac:dyDescent="0.25">
      <c r="H1666" s="32"/>
      <c r="I1666" s="32"/>
      <c r="J1666" s="32"/>
      <c r="K1666" s="32"/>
      <c r="L1666" s="33"/>
    </row>
    <row r="1667" spans="8:12" ht="23.25" x14ac:dyDescent="0.25">
      <c r="H1667" s="32"/>
      <c r="I1667" s="32"/>
      <c r="J1667" s="32"/>
      <c r="K1667" s="32"/>
      <c r="L1667" s="33"/>
    </row>
    <row r="1668" spans="8:12" ht="23.25" x14ac:dyDescent="0.25">
      <c r="H1668" s="32"/>
      <c r="I1668" s="32"/>
      <c r="J1668" s="32"/>
      <c r="K1668" s="32"/>
      <c r="L1668" s="33"/>
    </row>
    <row r="1669" spans="8:12" ht="23.25" x14ac:dyDescent="0.25">
      <c r="H1669" s="32"/>
      <c r="I1669" s="32"/>
      <c r="J1669" s="32"/>
      <c r="K1669" s="32"/>
      <c r="L1669" s="33"/>
    </row>
    <row r="1670" spans="8:12" ht="23.25" x14ac:dyDescent="0.25">
      <c r="H1670" s="32"/>
      <c r="I1670" s="32"/>
      <c r="J1670" s="32"/>
      <c r="K1670" s="32"/>
      <c r="L1670" s="33"/>
    </row>
    <row r="1671" spans="8:12" ht="23.25" x14ac:dyDescent="0.25">
      <c r="H1671" s="32"/>
      <c r="I1671" s="32"/>
      <c r="J1671" s="32"/>
      <c r="K1671" s="32"/>
      <c r="L1671" s="33"/>
    </row>
    <row r="1672" spans="8:12" ht="23.25" x14ac:dyDescent="0.25">
      <c r="H1672" s="32"/>
      <c r="I1672" s="32"/>
      <c r="J1672" s="32"/>
      <c r="K1672" s="32"/>
      <c r="L1672" s="33"/>
    </row>
    <row r="1673" spans="8:12" ht="23.25" x14ac:dyDescent="0.25">
      <c r="H1673" s="32"/>
      <c r="I1673" s="32"/>
      <c r="J1673" s="32"/>
      <c r="K1673" s="32"/>
      <c r="L1673" s="33"/>
    </row>
    <row r="1674" spans="8:12" ht="23.25" x14ac:dyDescent="0.25">
      <c r="H1674" s="32"/>
      <c r="I1674" s="32"/>
      <c r="J1674" s="32"/>
      <c r="K1674" s="32"/>
      <c r="L1674" s="33"/>
    </row>
    <row r="1675" spans="8:12" ht="23.25" x14ac:dyDescent="0.25">
      <c r="H1675" s="32"/>
      <c r="I1675" s="32"/>
      <c r="J1675" s="32"/>
      <c r="K1675" s="32"/>
      <c r="L1675" s="33"/>
    </row>
    <row r="1676" spans="8:12" ht="23.25" x14ac:dyDescent="0.25">
      <c r="H1676" s="32"/>
      <c r="I1676" s="32"/>
      <c r="J1676" s="32"/>
      <c r="K1676" s="32"/>
      <c r="L1676" s="33"/>
    </row>
    <row r="1677" spans="8:12" ht="23.25" x14ac:dyDescent="0.25">
      <c r="H1677" s="32"/>
      <c r="I1677" s="32"/>
      <c r="J1677" s="32"/>
      <c r="K1677" s="32"/>
      <c r="L1677" s="33"/>
    </row>
    <row r="1678" spans="8:12" ht="23.25" x14ac:dyDescent="0.25">
      <c r="H1678" s="32"/>
      <c r="I1678" s="32"/>
      <c r="J1678" s="32"/>
      <c r="K1678" s="32"/>
      <c r="L1678" s="33"/>
    </row>
    <row r="1679" spans="8:12" ht="23.25" x14ac:dyDescent="0.25">
      <c r="H1679" s="32"/>
      <c r="I1679" s="32"/>
      <c r="J1679" s="32"/>
      <c r="K1679" s="32"/>
      <c r="L1679" s="33"/>
    </row>
    <row r="1680" spans="8:12" ht="23.25" x14ac:dyDescent="0.25">
      <c r="H1680" s="32"/>
      <c r="I1680" s="32"/>
      <c r="J1680" s="32"/>
      <c r="K1680" s="32"/>
      <c r="L1680" s="33"/>
    </row>
    <row r="1681" spans="8:12" ht="23.25" x14ac:dyDescent="0.25">
      <c r="H1681" s="32"/>
      <c r="I1681" s="32"/>
      <c r="J1681" s="32"/>
      <c r="K1681" s="32"/>
      <c r="L1681" s="33"/>
    </row>
    <row r="1682" spans="8:12" ht="23.25" x14ac:dyDescent="0.25">
      <c r="H1682" s="32"/>
      <c r="I1682" s="32"/>
      <c r="J1682" s="32"/>
      <c r="K1682" s="32"/>
      <c r="L1682" s="33"/>
    </row>
    <row r="1683" spans="8:12" ht="23.25" x14ac:dyDescent="0.25">
      <c r="H1683" s="32"/>
      <c r="I1683" s="32"/>
      <c r="J1683" s="32"/>
      <c r="K1683" s="32"/>
      <c r="L1683" s="33"/>
    </row>
    <row r="1684" spans="8:12" ht="23.25" x14ac:dyDescent="0.25">
      <c r="H1684" s="32"/>
      <c r="I1684" s="32"/>
      <c r="J1684" s="32"/>
      <c r="K1684" s="32"/>
      <c r="L1684" s="33"/>
    </row>
    <row r="1685" spans="8:12" ht="23.25" x14ac:dyDescent="0.25">
      <c r="H1685" s="32"/>
      <c r="I1685" s="32"/>
      <c r="J1685" s="32"/>
      <c r="K1685" s="32"/>
      <c r="L1685" s="33"/>
    </row>
    <row r="1686" spans="8:12" ht="23.25" x14ac:dyDescent="0.25">
      <c r="H1686" s="32"/>
      <c r="I1686" s="32"/>
      <c r="J1686" s="32"/>
      <c r="K1686" s="32"/>
      <c r="L1686" s="33"/>
    </row>
    <row r="1687" spans="8:12" ht="23.25" x14ac:dyDescent="0.25">
      <c r="H1687" s="32"/>
      <c r="I1687" s="32"/>
      <c r="J1687" s="32"/>
      <c r="K1687" s="32"/>
      <c r="L1687" s="33"/>
    </row>
    <row r="1688" spans="8:12" ht="23.25" x14ac:dyDescent="0.25">
      <c r="H1688" s="32"/>
      <c r="I1688" s="32"/>
      <c r="J1688" s="32"/>
      <c r="K1688" s="32"/>
      <c r="L1688" s="33"/>
    </row>
    <row r="1689" spans="8:12" ht="23.25" x14ac:dyDescent="0.25">
      <c r="H1689" s="32"/>
      <c r="I1689" s="32"/>
      <c r="J1689" s="32"/>
      <c r="K1689" s="32"/>
      <c r="L1689" s="33"/>
    </row>
    <row r="1690" spans="8:12" ht="23.25" x14ac:dyDescent="0.25">
      <c r="H1690" s="32"/>
      <c r="I1690" s="32"/>
      <c r="J1690" s="32"/>
      <c r="K1690" s="32"/>
      <c r="L1690" s="33"/>
    </row>
    <row r="1691" spans="8:12" ht="15" customHeight="1" x14ac:dyDescent="0.25">
      <c r="H1691" s="32"/>
      <c r="I1691" s="32"/>
      <c r="J1691" s="32"/>
      <c r="K1691" s="32"/>
      <c r="L1691" s="33"/>
    </row>
    <row r="1692" spans="8:12" ht="23.25" x14ac:dyDescent="0.25">
      <c r="H1692" s="32"/>
      <c r="I1692" s="32"/>
      <c r="J1692" s="32"/>
      <c r="K1692" s="32"/>
      <c r="L1692" s="33"/>
    </row>
    <row r="1693" spans="8:12" ht="23.25" x14ac:dyDescent="0.25">
      <c r="H1693" s="32"/>
      <c r="I1693" s="32"/>
      <c r="J1693" s="32"/>
      <c r="K1693" s="32"/>
      <c r="L1693" s="33"/>
    </row>
    <row r="1694" spans="8:12" ht="23.25" x14ac:dyDescent="0.25">
      <c r="H1694" s="32"/>
      <c r="I1694" s="32"/>
      <c r="J1694" s="32"/>
      <c r="K1694" s="32"/>
      <c r="L1694" s="33"/>
    </row>
    <row r="1695" spans="8:12" ht="23.25" x14ac:dyDescent="0.25">
      <c r="H1695" s="32"/>
      <c r="I1695" s="32"/>
      <c r="J1695" s="32"/>
      <c r="K1695" s="32"/>
      <c r="L1695" s="33"/>
    </row>
    <row r="1696" spans="8:12" ht="23.25" x14ac:dyDescent="0.25">
      <c r="H1696" s="32"/>
      <c r="I1696" s="32"/>
      <c r="J1696" s="32"/>
      <c r="K1696" s="32"/>
      <c r="L1696" s="33"/>
    </row>
    <row r="1697" spans="8:12" ht="23.25" x14ac:dyDescent="0.25">
      <c r="H1697" s="32"/>
      <c r="I1697" s="32"/>
      <c r="J1697" s="32"/>
      <c r="K1697" s="32"/>
      <c r="L1697" s="33"/>
    </row>
    <row r="1698" spans="8:12" ht="23.25" x14ac:dyDescent="0.25">
      <c r="H1698" s="32"/>
      <c r="I1698" s="32"/>
      <c r="J1698" s="32"/>
      <c r="K1698" s="32"/>
      <c r="L1698" s="33"/>
    </row>
    <row r="1699" spans="8:12" ht="23.25" x14ac:dyDescent="0.25">
      <c r="H1699" s="32"/>
      <c r="I1699" s="32"/>
      <c r="J1699" s="32"/>
      <c r="K1699" s="32"/>
      <c r="L1699" s="33"/>
    </row>
    <row r="1700" spans="8:12" ht="23.25" x14ac:dyDescent="0.25">
      <c r="H1700" s="32"/>
      <c r="I1700" s="32"/>
      <c r="J1700" s="32"/>
      <c r="K1700" s="32"/>
      <c r="L1700" s="33"/>
    </row>
    <row r="1701" spans="8:12" ht="23.25" x14ac:dyDescent="0.25">
      <c r="H1701" s="32"/>
      <c r="I1701" s="32"/>
      <c r="J1701" s="32"/>
      <c r="K1701" s="32"/>
      <c r="L1701" s="33"/>
    </row>
    <row r="1702" spans="8:12" ht="23.25" x14ac:dyDescent="0.25">
      <c r="H1702" s="32"/>
      <c r="I1702" s="32"/>
      <c r="J1702" s="32"/>
      <c r="K1702" s="32"/>
      <c r="L1702" s="33"/>
    </row>
    <row r="1703" spans="8:12" ht="23.25" x14ac:dyDescent="0.25">
      <c r="H1703" s="32"/>
      <c r="I1703" s="32"/>
      <c r="J1703" s="32"/>
      <c r="K1703" s="32"/>
      <c r="L1703" s="33"/>
    </row>
    <row r="1704" spans="8:12" ht="23.25" x14ac:dyDescent="0.25">
      <c r="H1704" s="32"/>
      <c r="I1704" s="32"/>
      <c r="J1704" s="32"/>
      <c r="K1704" s="32"/>
      <c r="L1704" s="33"/>
    </row>
    <row r="1705" spans="8:12" ht="23.25" x14ac:dyDescent="0.25">
      <c r="H1705" s="32"/>
      <c r="I1705" s="32"/>
      <c r="J1705" s="32"/>
      <c r="K1705" s="32"/>
      <c r="L1705" s="33"/>
    </row>
    <row r="1706" spans="8:12" ht="23.25" x14ac:dyDescent="0.25">
      <c r="H1706" s="32"/>
      <c r="I1706" s="32"/>
      <c r="J1706" s="32"/>
      <c r="K1706" s="32"/>
      <c r="L1706" s="33"/>
    </row>
    <row r="1707" spans="8:12" ht="23.25" x14ac:dyDescent="0.25">
      <c r="H1707" s="32"/>
      <c r="I1707" s="32"/>
      <c r="J1707" s="32"/>
      <c r="K1707" s="32"/>
      <c r="L1707" s="33"/>
    </row>
    <row r="1708" spans="8:12" ht="23.25" x14ac:dyDescent="0.25">
      <c r="H1708" s="32"/>
      <c r="I1708" s="32"/>
      <c r="J1708" s="32"/>
      <c r="K1708" s="32"/>
      <c r="L1708" s="33"/>
    </row>
    <row r="1709" spans="8:12" ht="23.25" x14ac:dyDescent="0.25">
      <c r="H1709" s="32"/>
      <c r="I1709" s="32"/>
      <c r="J1709" s="32"/>
      <c r="K1709" s="32"/>
      <c r="L1709" s="33"/>
    </row>
    <row r="1710" spans="8:12" ht="23.25" x14ac:dyDescent="0.25">
      <c r="H1710" s="32"/>
      <c r="I1710" s="32"/>
      <c r="J1710" s="32"/>
      <c r="K1710" s="32"/>
      <c r="L1710" s="33"/>
    </row>
    <row r="1711" spans="8:12" ht="23.25" x14ac:dyDescent="0.25">
      <c r="H1711" s="32"/>
      <c r="I1711" s="32"/>
      <c r="J1711" s="32"/>
      <c r="K1711" s="32"/>
      <c r="L1711" s="33"/>
    </row>
    <row r="1712" spans="8:12" ht="23.25" x14ac:dyDescent="0.25">
      <c r="H1712" s="32"/>
      <c r="I1712" s="32"/>
      <c r="J1712" s="32"/>
      <c r="K1712" s="32"/>
      <c r="L1712" s="33"/>
    </row>
    <row r="1713" spans="8:12" ht="23.25" x14ac:dyDescent="0.25">
      <c r="H1713" s="32"/>
      <c r="I1713" s="32"/>
      <c r="J1713" s="32"/>
      <c r="K1713" s="32"/>
      <c r="L1713" s="33"/>
    </row>
    <row r="1714" spans="8:12" ht="23.25" x14ac:dyDescent="0.25">
      <c r="H1714" s="32"/>
      <c r="I1714" s="32"/>
      <c r="J1714" s="32"/>
      <c r="K1714" s="32"/>
      <c r="L1714" s="33"/>
    </row>
    <row r="1715" spans="8:12" ht="23.25" x14ac:dyDescent="0.25">
      <c r="H1715" s="32"/>
      <c r="I1715" s="32"/>
      <c r="J1715" s="32"/>
      <c r="K1715" s="32"/>
      <c r="L1715" s="33"/>
    </row>
    <row r="1716" spans="8:12" ht="23.25" x14ac:dyDescent="0.25">
      <c r="H1716" s="32"/>
      <c r="I1716" s="32"/>
      <c r="J1716" s="32"/>
      <c r="K1716" s="32"/>
      <c r="L1716" s="33"/>
    </row>
    <row r="1717" spans="8:12" ht="15" customHeight="1" x14ac:dyDescent="0.25">
      <c r="H1717" s="32"/>
      <c r="I1717" s="32"/>
      <c r="J1717" s="32"/>
      <c r="K1717" s="32"/>
      <c r="L1717" s="33"/>
    </row>
    <row r="1718" spans="8:12" ht="23.25" x14ac:dyDescent="0.25">
      <c r="H1718" s="32"/>
      <c r="I1718" s="32"/>
      <c r="J1718" s="32"/>
      <c r="K1718" s="32"/>
      <c r="L1718" s="33"/>
    </row>
    <row r="1719" spans="8:12" ht="23.25" x14ac:dyDescent="0.25">
      <c r="H1719" s="32"/>
      <c r="I1719" s="32"/>
      <c r="J1719" s="32"/>
      <c r="K1719" s="32"/>
      <c r="L1719" s="33"/>
    </row>
    <row r="1720" spans="8:12" ht="23.25" x14ac:dyDescent="0.25">
      <c r="H1720" s="32"/>
      <c r="I1720" s="32"/>
      <c r="J1720" s="32"/>
      <c r="K1720" s="32"/>
      <c r="L1720" s="33"/>
    </row>
    <row r="1721" spans="8:12" ht="23.25" x14ac:dyDescent="0.25">
      <c r="H1721" s="32"/>
      <c r="I1721" s="32"/>
      <c r="J1721" s="32"/>
      <c r="K1721" s="32"/>
      <c r="L1721" s="33"/>
    </row>
    <row r="1722" spans="8:12" ht="23.25" x14ac:dyDescent="0.25">
      <c r="H1722" s="32"/>
      <c r="I1722" s="32"/>
      <c r="J1722" s="32"/>
      <c r="K1722" s="32"/>
      <c r="L1722" s="33"/>
    </row>
    <row r="1723" spans="8:12" ht="23.25" x14ac:dyDescent="0.25">
      <c r="H1723" s="32"/>
      <c r="I1723" s="32"/>
      <c r="J1723" s="32"/>
      <c r="K1723" s="32"/>
      <c r="L1723" s="33"/>
    </row>
    <row r="1724" spans="8:12" ht="23.25" x14ac:dyDescent="0.25">
      <c r="H1724" s="32"/>
      <c r="I1724" s="32"/>
      <c r="J1724" s="32"/>
      <c r="K1724" s="32"/>
      <c r="L1724" s="33"/>
    </row>
    <row r="1725" spans="8:12" ht="23.25" x14ac:dyDescent="0.25">
      <c r="H1725" s="32"/>
      <c r="I1725" s="32"/>
      <c r="J1725" s="32"/>
      <c r="K1725" s="32"/>
      <c r="L1725" s="33"/>
    </row>
    <row r="1726" spans="8:12" ht="23.25" x14ac:dyDescent="0.25">
      <c r="H1726" s="32"/>
      <c r="I1726" s="32"/>
      <c r="J1726" s="32"/>
      <c r="K1726" s="32"/>
      <c r="L1726" s="33"/>
    </row>
    <row r="1727" spans="8:12" ht="23.25" x14ac:dyDescent="0.25">
      <c r="H1727" s="32"/>
      <c r="I1727" s="32"/>
      <c r="J1727" s="32"/>
      <c r="K1727" s="32"/>
      <c r="L1727" s="33"/>
    </row>
    <row r="1728" spans="8:12" ht="23.25" x14ac:dyDescent="0.25">
      <c r="H1728" s="32"/>
      <c r="I1728" s="32"/>
      <c r="J1728" s="32"/>
      <c r="K1728" s="32"/>
      <c r="L1728" s="33"/>
    </row>
    <row r="1729" spans="8:12" ht="23.25" x14ac:dyDescent="0.25">
      <c r="H1729" s="32"/>
      <c r="I1729" s="32"/>
      <c r="J1729" s="32"/>
      <c r="K1729" s="32"/>
      <c r="L1729" s="33"/>
    </row>
    <row r="1730" spans="8:12" ht="23.25" x14ac:dyDescent="0.25">
      <c r="H1730" s="32"/>
      <c r="I1730" s="32"/>
      <c r="J1730" s="32"/>
      <c r="K1730" s="32"/>
      <c r="L1730" s="33"/>
    </row>
    <row r="1731" spans="8:12" ht="23.25" x14ac:dyDescent="0.25">
      <c r="H1731" s="32"/>
      <c r="I1731" s="32"/>
      <c r="J1731" s="32"/>
      <c r="K1731" s="32"/>
      <c r="L1731" s="33"/>
    </row>
    <row r="1732" spans="8:12" ht="23.25" x14ac:dyDescent="0.25">
      <c r="H1732" s="32"/>
      <c r="I1732" s="32"/>
      <c r="J1732" s="32"/>
      <c r="K1732" s="32"/>
      <c r="L1732" s="33"/>
    </row>
    <row r="1733" spans="8:12" ht="23.25" x14ac:dyDescent="0.25">
      <c r="H1733" s="32"/>
      <c r="I1733" s="32"/>
      <c r="J1733" s="32"/>
      <c r="K1733" s="32"/>
      <c r="L1733" s="33"/>
    </row>
    <row r="1734" spans="8:12" ht="23.25" x14ac:dyDescent="0.25">
      <c r="H1734" s="32"/>
      <c r="I1734" s="32"/>
      <c r="J1734" s="32"/>
      <c r="K1734" s="32"/>
      <c r="L1734" s="33"/>
    </row>
    <row r="1735" spans="8:12" ht="23.25" x14ac:dyDescent="0.25">
      <c r="H1735" s="32"/>
      <c r="I1735" s="32"/>
      <c r="J1735" s="32"/>
      <c r="K1735" s="32"/>
      <c r="L1735" s="33"/>
    </row>
    <row r="1736" spans="8:12" ht="23.25" x14ac:dyDescent="0.25">
      <c r="H1736" s="32"/>
      <c r="I1736" s="32"/>
      <c r="J1736" s="32"/>
      <c r="K1736" s="32"/>
      <c r="L1736" s="33"/>
    </row>
    <row r="1737" spans="8:12" ht="23.25" x14ac:dyDescent="0.25">
      <c r="H1737" s="32"/>
      <c r="I1737" s="32"/>
      <c r="J1737" s="32"/>
      <c r="K1737" s="32"/>
      <c r="L1737" s="33"/>
    </row>
    <row r="1738" spans="8:12" ht="23.25" x14ac:dyDescent="0.25">
      <c r="H1738" s="32"/>
      <c r="I1738" s="32"/>
      <c r="J1738" s="32"/>
      <c r="K1738" s="32"/>
      <c r="L1738" s="33"/>
    </row>
    <row r="1739" spans="8:12" ht="23.25" x14ac:dyDescent="0.25">
      <c r="H1739" s="32"/>
      <c r="I1739" s="32"/>
      <c r="J1739" s="32"/>
      <c r="K1739" s="32"/>
      <c r="L1739" s="33"/>
    </row>
    <row r="1740" spans="8:12" ht="23.25" x14ac:dyDescent="0.25">
      <c r="H1740" s="32"/>
      <c r="I1740" s="32"/>
      <c r="J1740" s="32"/>
      <c r="K1740" s="32"/>
      <c r="L1740" s="33"/>
    </row>
    <row r="1741" spans="8:12" ht="23.25" x14ac:dyDescent="0.25">
      <c r="H1741" s="32"/>
      <c r="I1741" s="32"/>
      <c r="J1741" s="32"/>
      <c r="K1741" s="32"/>
      <c r="L1741" s="33"/>
    </row>
    <row r="1742" spans="8:12" ht="23.25" x14ac:dyDescent="0.25">
      <c r="H1742" s="32"/>
      <c r="I1742" s="32"/>
      <c r="J1742" s="32"/>
      <c r="K1742" s="32"/>
      <c r="L1742" s="33"/>
    </row>
    <row r="1743" spans="8:12" ht="23.25" x14ac:dyDescent="0.25">
      <c r="H1743" s="32"/>
      <c r="I1743" s="32"/>
      <c r="J1743" s="32"/>
      <c r="K1743" s="32"/>
      <c r="L1743" s="33"/>
    </row>
    <row r="1744" spans="8:12" ht="23.25" x14ac:dyDescent="0.25">
      <c r="H1744" s="32"/>
      <c r="I1744" s="32"/>
      <c r="J1744" s="32"/>
      <c r="K1744" s="32"/>
      <c r="L1744" s="33"/>
    </row>
    <row r="1745" spans="8:12" ht="23.25" x14ac:dyDescent="0.25">
      <c r="H1745" s="32"/>
      <c r="I1745" s="32"/>
      <c r="J1745" s="32"/>
      <c r="K1745" s="32"/>
      <c r="L1745" s="33"/>
    </row>
    <row r="1746" spans="8:12" ht="23.25" x14ac:dyDescent="0.25">
      <c r="H1746" s="32"/>
      <c r="I1746" s="32"/>
      <c r="J1746" s="32"/>
      <c r="K1746" s="32"/>
      <c r="L1746" s="33"/>
    </row>
    <row r="1747" spans="8:12" ht="23.25" x14ac:dyDescent="0.25">
      <c r="H1747" s="32"/>
      <c r="I1747" s="32"/>
      <c r="J1747" s="32"/>
      <c r="K1747" s="32"/>
      <c r="L1747" s="33"/>
    </row>
    <row r="1748" spans="8:12" ht="23.25" x14ac:dyDescent="0.25">
      <c r="H1748" s="32"/>
      <c r="I1748" s="32"/>
      <c r="J1748" s="32"/>
      <c r="K1748" s="32"/>
      <c r="L1748" s="33"/>
    </row>
    <row r="1749" spans="8:12" ht="23.25" x14ac:dyDescent="0.25">
      <c r="H1749" s="32"/>
      <c r="I1749" s="32"/>
      <c r="J1749" s="32"/>
      <c r="K1749" s="32"/>
      <c r="L1749" s="33"/>
    </row>
    <row r="1750" spans="8:12" ht="23.25" x14ac:dyDescent="0.25">
      <c r="H1750" s="32"/>
      <c r="I1750" s="32"/>
      <c r="J1750" s="32"/>
      <c r="K1750" s="32"/>
      <c r="L1750" s="33"/>
    </row>
    <row r="1751" spans="8:12" ht="23.25" x14ac:dyDescent="0.25">
      <c r="H1751" s="32"/>
      <c r="I1751" s="32"/>
      <c r="J1751" s="32"/>
      <c r="K1751" s="32"/>
      <c r="L1751" s="33"/>
    </row>
    <row r="1752" spans="8:12" ht="30" customHeight="1" x14ac:dyDescent="0.25">
      <c r="H1752" s="32"/>
      <c r="I1752" s="32"/>
      <c r="J1752" s="32"/>
      <c r="K1752" s="32"/>
      <c r="L1752" s="33"/>
    </row>
    <row r="1753" spans="8:12" ht="23.25" x14ac:dyDescent="0.25">
      <c r="H1753" s="32"/>
      <c r="I1753" s="32"/>
      <c r="J1753" s="32"/>
      <c r="K1753" s="32"/>
      <c r="L1753" s="33"/>
    </row>
    <row r="1754" spans="8:12" ht="23.25" x14ac:dyDescent="0.25">
      <c r="H1754" s="32"/>
      <c r="I1754" s="32"/>
      <c r="J1754" s="32"/>
      <c r="K1754" s="32"/>
      <c r="L1754" s="33"/>
    </row>
    <row r="1755" spans="8:12" ht="23.25" x14ac:dyDescent="0.25">
      <c r="H1755" s="32"/>
      <c r="I1755" s="32"/>
      <c r="J1755" s="32"/>
      <c r="K1755" s="32"/>
      <c r="L1755" s="33"/>
    </row>
    <row r="1756" spans="8:12" ht="23.25" x14ac:dyDescent="0.25">
      <c r="H1756" s="32"/>
      <c r="I1756" s="32"/>
      <c r="J1756" s="32"/>
      <c r="K1756" s="32"/>
      <c r="L1756" s="33"/>
    </row>
    <row r="1757" spans="8:12" ht="23.25" x14ac:dyDescent="0.25">
      <c r="H1757" s="32"/>
      <c r="I1757" s="32"/>
      <c r="J1757" s="32"/>
      <c r="K1757" s="32"/>
      <c r="L1757" s="33"/>
    </row>
    <row r="1758" spans="8:12" ht="23.25" x14ac:dyDescent="0.25">
      <c r="H1758" s="32"/>
      <c r="I1758" s="32"/>
      <c r="J1758" s="32"/>
      <c r="K1758" s="32"/>
      <c r="L1758" s="33"/>
    </row>
    <row r="1759" spans="8:12" ht="23.25" x14ac:dyDescent="0.25">
      <c r="H1759" s="32"/>
      <c r="I1759" s="32"/>
      <c r="J1759" s="32"/>
      <c r="K1759" s="32"/>
      <c r="L1759" s="33"/>
    </row>
    <row r="1760" spans="8:12" ht="23.25" x14ac:dyDescent="0.25">
      <c r="H1760" s="32"/>
      <c r="I1760" s="32"/>
      <c r="J1760" s="32"/>
      <c r="K1760" s="32"/>
      <c r="L1760" s="33"/>
    </row>
    <row r="1761" spans="8:12" ht="23.25" x14ac:dyDescent="0.25">
      <c r="H1761" s="32"/>
      <c r="I1761" s="32"/>
      <c r="J1761" s="32"/>
      <c r="K1761" s="32"/>
      <c r="L1761" s="33"/>
    </row>
    <row r="1762" spans="8:12" ht="23.25" x14ac:dyDescent="0.25">
      <c r="H1762" s="32"/>
      <c r="I1762" s="32"/>
      <c r="J1762" s="32"/>
      <c r="K1762" s="32"/>
      <c r="L1762" s="33"/>
    </row>
    <row r="1763" spans="8:12" ht="23.25" x14ac:dyDescent="0.25">
      <c r="H1763" s="32"/>
      <c r="I1763" s="32"/>
      <c r="J1763" s="32"/>
      <c r="K1763" s="32"/>
      <c r="L1763" s="33"/>
    </row>
    <row r="1764" spans="8:12" ht="23.25" x14ac:dyDescent="0.25">
      <c r="H1764" s="32"/>
      <c r="I1764" s="32"/>
      <c r="J1764" s="32"/>
      <c r="K1764" s="32"/>
      <c r="L1764" s="33"/>
    </row>
    <row r="1765" spans="8:12" ht="23.25" x14ac:dyDescent="0.25">
      <c r="H1765" s="32"/>
      <c r="I1765" s="32"/>
      <c r="J1765" s="32"/>
      <c r="K1765" s="32"/>
      <c r="L1765" s="33"/>
    </row>
    <row r="1766" spans="8:12" ht="23.25" x14ac:dyDescent="0.25">
      <c r="H1766" s="32"/>
      <c r="I1766" s="32"/>
      <c r="J1766" s="32"/>
      <c r="K1766" s="32"/>
      <c r="L1766" s="33"/>
    </row>
    <row r="1767" spans="8:12" ht="23.25" x14ac:dyDescent="0.25">
      <c r="H1767" s="32"/>
      <c r="I1767" s="32"/>
      <c r="J1767" s="32"/>
      <c r="K1767" s="32"/>
      <c r="L1767" s="33"/>
    </row>
    <row r="1768" spans="8:12" ht="23.25" x14ac:dyDescent="0.25">
      <c r="H1768" s="32"/>
      <c r="I1768" s="32"/>
      <c r="J1768" s="32"/>
      <c r="K1768" s="32"/>
      <c r="L1768" s="33"/>
    </row>
    <row r="1769" spans="8:12" ht="23.25" x14ac:dyDescent="0.25">
      <c r="H1769" s="32"/>
      <c r="I1769" s="32"/>
      <c r="J1769" s="32"/>
      <c r="K1769" s="32"/>
      <c r="L1769" s="33"/>
    </row>
    <row r="1770" spans="8:12" ht="23.25" x14ac:dyDescent="0.25">
      <c r="H1770" s="32"/>
      <c r="I1770" s="32"/>
      <c r="J1770" s="32"/>
      <c r="K1770" s="32"/>
      <c r="L1770" s="33"/>
    </row>
    <row r="1771" spans="8:12" ht="23.25" x14ac:dyDescent="0.25">
      <c r="H1771" s="32"/>
      <c r="I1771" s="32"/>
      <c r="J1771" s="32"/>
      <c r="K1771" s="32"/>
      <c r="L1771" s="33"/>
    </row>
    <row r="1772" spans="8:12" ht="23.25" x14ac:dyDescent="0.25">
      <c r="H1772" s="32"/>
      <c r="I1772" s="32"/>
      <c r="J1772" s="32"/>
      <c r="K1772" s="32"/>
      <c r="L1772" s="33"/>
    </row>
    <row r="1773" spans="8:12" ht="23.25" x14ac:dyDescent="0.25">
      <c r="H1773" s="32"/>
      <c r="I1773" s="32"/>
      <c r="J1773" s="32"/>
      <c r="K1773" s="32"/>
      <c r="L1773" s="33"/>
    </row>
    <row r="1774" spans="8:12" ht="23.25" x14ac:dyDescent="0.25">
      <c r="H1774" s="32"/>
      <c r="I1774" s="32"/>
      <c r="J1774" s="32"/>
      <c r="K1774" s="32"/>
      <c r="L1774" s="33"/>
    </row>
    <row r="1775" spans="8:12" ht="23.25" x14ac:dyDescent="0.25">
      <c r="H1775" s="32"/>
      <c r="I1775" s="32"/>
      <c r="J1775" s="32"/>
      <c r="K1775" s="32"/>
      <c r="L1775" s="33"/>
    </row>
    <row r="1776" spans="8:12" ht="23.25" x14ac:dyDescent="0.25">
      <c r="H1776" s="32"/>
      <c r="I1776" s="32"/>
      <c r="J1776" s="32"/>
      <c r="K1776" s="32"/>
      <c r="L1776" s="33"/>
    </row>
    <row r="1777" spans="8:12" ht="23.25" x14ac:dyDescent="0.25">
      <c r="H1777" s="32"/>
      <c r="I1777" s="32"/>
      <c r="J1777" s="32"/>
      <c r="K1777" s="32"/>
      <c r="L1777" s="33"/>
    </row>
    <row r="1778" spans="8:12" ht="23.25" x14ac:dyDescent="0.25">
      <c r="H1778" s="32"/>
      <c r="I1778" s="32"/>
      <c r="J1778" s="32"/>
      <c r="K1778" s="32"/>
      <c r="L1778" s="33"/>
    </row>
    <row r="1779" spans="8:12" ht="23.25" x14ac:dyDescent="0.25">
      <c r="H1779" s="32"/>
      <c r="I1779" s="32"/>
      <c r="J1779" s="32"/>
      <c r="K1779" s="32"/>
      <c r="L1779" s="33"/>
    </row>
    <row r="1780" spans="8:12" ht="23.25" x14ac:dyDescent="0.25">
      <c r="H1780" s="32"/>
      <c r="I1780" s="32"/>
      <c r="J1780" s="32"/>
      <c r="K1780" s="32"/>
      <c r="L1780" s="33"/>
    </row>
    <row r="1781" spans="8:12" ht="23.25" x14ac:dyDescent="0.25">
      <c r="H1781" s="32"/>
      <c r="I1781" s="32"/>
      <c r="J1781" s="32"/>
      <c r="K1781" s="32"/>
      <c r="L1781" s="33"/>
    </row>
    <row r="1782" spans="8:12" ht="23.25" x14ac:dyDescent="0.25">
      <c r="H1782" s="32"/>
      <c r="I1782" s="32"/>
      <c r="J1782" s="32"/>
      <c r="K1782" s="32"/>
      <c r="L1782" s="33"/>
    </row>
    <row r="1783" spans="8:12" ht="23.25" x14ac:dyDescent="0.25">
      <c r="H1783" s="32"/>
      <c r="I1783" s="32"/>
      <c r="J1783" s="32"/>
      <c r="K1783" s="32"/>
      <c r="L1783" s="33"/>
    </row>
    <row r="1784" spans="8:12" ht="23.25" x14ac:dyDescent="0.25">
      <c r="H1784" s="32"/>
      <c r="I1784" s="32"/>
      <c r="J1784" s="32"/>
      <c r="K1784" s="32"/>
      <c r="L1784" s="33"/>
    </row>
    <row r="1785" spans="8:12" ht="23.25" x14ac:dyDescent="0.25">
      <c r="H1785" s="32"/>
      <c r="I1785" s="32"/>
      <c r="J1785" s="32"/>
      <c r="K1785" s="32"/>
      <c r="L1785" s="33"/>
    </row>
    <row r="1894" ht="30" customHeight="1" x14ac:dyDescent="0.25"/>
  </sheetData>
  <sortState ref="A3:L1226">
    <sortCondition ref="A3" customList="AREA 1,AREA 2,AREA 3,BLENDING"/>
  </sortState>
  <mergeCells count="2">
    <mergeCell ref="A1:D1"/>
    <mergeCell ref="N2:P2"/>
  </mergeCells>
  <conditionalFormatting sqref="E4:G1226 M4:S1226">
    <cfRule type="expression" dxfId="64" priority="16">
      <formula>SEARCH("IN CORSO",$M4)&gt;0</formula>
    </cfRule>
    <cfRule type="expression" dxfId="63" priority="97">
      <formula>SEARCH("CHIUSO",$M4)&gt;0</formula>
    </cfRule>
    <cfRule type="expression" dxfId="62" priority="98">
      <formula>SEARCH("EMESSO",$M4)&gt;0</formula>
    </cfRule>
    <cfRule type="expression" dxfId="61" priority="99">
      <formula>SEARCH("RICHIESTO",$M4)&gt;0</formula>
    </cfRule>
    <cfRule type="expression" dxfId="60" priority="100">
      <formula>SEARCH("DA CHIUDERE",$M4)&gt;0</formula>
    </cfRule>
    <cfRule type="expression" dxfId="59" priority="102">
      <formula>SEARCH("INTERROTTO",$M4)&gt;0</formula>
    </cfRule>
  </conditionalFormatting>
  <pageMargins left="0" right="0" top="0" bottom="0" header="0" footer="0"/>
  <pageSetup paperSize="9" scale="50" fitToHeight="0" orientation="landscape" blackAndWhite="1"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231" r:id="rId4" name="Button 463">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33342" r:id="rId5" name="Button 574">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33347" r:id="rId6" name="Button 579">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88889" r:id="rId7" name="Button 2873">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88917" r:id="rId8" name="Button 2901">
              <controlPr defaultSize="0" print="0" autoFill="0" autoPict="0" macro="[0]!InviaEmailProgrammazioneAttivita">
                <anchor moveWithCells="1" sizeWithCells="1">
                  <from>
                    <xdr:col>2</xdr:col>
                    <xdr:colOff>180975</xdr:colOff>
                    <xdr:row>0</xdr:row>
                    <xdr:rowOff>304800</xdr:rowOff>
                  </from>
                  <to>
                    <xdr:col>6</xdr:col>
                    <xdr:colOff>9525</xdr:colOff>
                    <xdr:row>0</xdr:row>
                    <xdr:rowOff>523875</xdr:rowOff>
                  </to>
                </anchor>
              </controlPr>
            </control>
          </mc:Choice>
        </mc:AlternateContent>
        <mc:AlternateContent xmlns:mc="http://schemas.openxmlformats.org/markup-compatibility/2006">
          <mc:Choice Requires="x14">
            <control shapeId="115720" r:id="rId9" name="Button 3080">
              <controlPr defaultSize="0" print="0" autoFill="0" autoPict="0" macro="[0]!StampaProgGiornRiepilogo">
                <anchor moveWithCells="1" sizeWithCells="1">
                  <from>
                    <xdr:col>6</xdr:col>
                    <xdr:colOff>676275</xdr:colOff>
                    <xdr:row>0</xdr:row>
                    <xdr:rowOff>323850</xdr:rowOff>
                  </from>
                  <to>
                    <xdr:col>6</xdr:col>
                    <xdr:colOff>3190875</xdr:colOff>
                    <xdr:row>0</xdr:row>
                    <xdr:rowOff>552450</xdr:rowOff>
                  </to>
                </anchor>
              </controlPr>
            </control>
          </mc:Choice>
        </mc:AlternateContent>
        <mc:AlternateContent xmlns:mc="http://schemas.openxmlformats.org/markup-compatibility/2006">
          <mc:Choice Requires="x14">
            <control shapeId="115826" r:id="rId10" name="Button 3186">
              <controlPr defaultSize="0" print="0" autoFill="0" autoPict="0" macro="[0]!CancellaFormattazioneCondizionaleTranneUltimeSette_TuttiFogli">
                <anchor moveWithCells="1" sizeWithCells="1">
                  <from>
                    <xdr:col>2</xdr:col>
                    <xdr:colOff>180975</xdr:colOff>
                    <xdr:row>0</xdr:row>
                    <xdr:rowOff>0</xdr:rowOff>
                  </from>
                  <to>
                    <xdr:col>6</xdr:col>
                    <xdr:colOff>9525</xdr:colOff>
                    <xdr:row>0</xdr:row>
                    <xdr:rowOff>219075</xdr:rowOff>
                  </to>
                </anchor>
              </controlPr>
            </control>
          </mc:Choice>
        </mc:AlternateContent>
        <mc:AlternateContent xmlns:mc="http://schemas.openxmlformats.org/markup-compatibility/2006">
          <mc:Choice Requires="x14">
            <control shapeId="116240" r:id="rId11" name="Button 3600">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116241" r:id="rId12" name="Button 3601">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116242" r:id="rId13" name="Button 3602">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116243" r:id="rId14" name="Button 3603">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116244" r:id="rId15" name="Button 3604">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116245" r:id="rId16" name="Button 3605">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mc:AlternateContent xmlns:mc="http://schemas.openxmlformats.org/markup-compatibility/2006">
          <mc:Choice Requires="x14">
            <control shapeId="144559" r:id="rId17" name="Button 4271">
              <controlPr defaultSize="0" print="0" autoFill="0" autoPict="0" macro="[0]!PulisciErroriNomiDefinitiAggiornato">
                <anchor moveWithCells="1" sizeWithCells="1">
                  <from>
                    <xdr:col>17</xdr:col>
                    <xdr:colOff>9525</xdr:colOff>
                    <xdr:row>0</xdr:row>
                    <xdr:rowOff>228600</xdr:rowOff>
                  </from>
                  <to>
                    <xdr:col>17</xdr:col>
                    <xdr:colOff>1057275</xdr:colOff>
                    <xdr:row>0</xdr:row>
                    <xdr:rowOff>1152525</xdr:rowOff>
                  </to>
                </anchor>
              </controlPr>
            </control>
          </mc:Choice>
        </mc:AlternateContent>
        <mc:AlternateContent xmlns:mc="http://schemas.openxmlformats.org/markup-compatibility/2006">
          <mc:Choice Requires="x14">
            <control shapeId="145096" r:id="rId18" name="Button 4808">
              <controlPr defaultSize="0" print="0" autoFill="0" autoPict="0" macro="[0]!SmistaDati_Da_Riepilogo_A_Fogli">
                <anchor moveWithCells="1" sizeWithCells="1">
                  <from>
                    <xdr:col>7</xdr:col>
                    <xdr:colOff>0</xdr:colOff>
                    <xdr:row>0</xdr:row>
                    <xdr:rowOff>0</xdr:rowOff>
                  </from>
                  <to>
                    <xdr:col>12</xdr:col>
                    <xdr:colOff>9525</xdr:colOff>
                    <xdr:row>0</xdr:row>
                    <xdr:rowOff>276225</xdr:rowOff>
                  </to>
                </anchor>
              </controlPr>
            </control>
          </mc:Choice>
        </mc:AlternateContent>
        <mc:AlternateContent xmlns:mc="http://schemas.openxmlformats.org/markup-compatibility/2006">
          <mc:Choice Requires="x14">
            <control shapeId="192465" r:id="rId19" name="Button 6097">
              <controlPr defaultSize="0" print="0" autoFill="0" autoPict="0" macro="[0]!AvviaConsultazioneAttivita">
                <anchor moveWithCells="1" sizeWithCells="1">
                  <from>
                    <xdr:col>13</xdr:col>
                    <xdr:colOff>161925</xdr:colOff>
                    <xdr:row>0</xdr:row>
                    <xdr:rowOff>695325</xdr:rowOff>
                  </from>
                  <to>
                    <xdr:col>15</xdr:col>
                    <xdr:colOff>400050</xdr:colOff>
                    <xdr:row>0</xdr:row>
                    <xdr:rowOff>1076325</xdr:rowOff>
                  </to>
                </anchor>
              </controlPr>
            </control>
          </mc:Choice>
        </mc:AlternateContent>
      </controls>
    </mc:Choice>
  </mc:AlternateContent>
  <tableParts count="1">
    <tablePart r:id="rId20"/>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668BF6-2865-41D4-BD6B-0473215BE8C4}">
  <sheetPr codeName="Foglio9"/>
  <dimension ref="A1:H45"/>
  <sheetViews>
    <sheetView workbookViewId="0">
      <selection activeCell="E8" sqref="E8:H8"/>
    </sheetView>
  </sheetViews>
  <sheetFormatPr defaultRowHeight="14.25" x14ac:dyDescent="0.2"/>
  <cols>
    <col min="1" max="2" width="10" bestFit="1" customWidth="1"/>
    <col min="3" max="3" width="8.75" bestFit="1" customWidth="1"/>
    <col min="4" max="4" width="43.5" style="54" bestFit="1" customWidth="1"/>
    <col min="5" max="8" width="11" customWidth="1"/>
  </cols>
  <sheetData>
    <row r="1" spans="1:8" ht="15" x14ac:dyDescent="0.2">
      <c r="A1" s="100" t="s">
        <v>135</v>
      </c>
      <c r="B1" s="100" t="s">
        <v>136</v>
      </c>
      <c r="C1" s="100" t="s">
        <v>71</v>
      </c>
      <c r="D1" s="101" t="s">
        <v>137</v>
      </c>
      <c r="E1" s="197" t="s">
        <v>134</v>
      </c>
      <c r="F1" s="197"/>
      <c r="G1" s="197"/>
      <c r="H1" s="197"/>
    </row>
    <row r="2" spans="1:8" ht="68.25" x14ac:dyDescent="0.2">
      <c r="A2" s="102" t="s">
        <v>10</v>
      </c>
      <c r="B2" s="47" t="s">
        <v>106</v>
      </c>
      <c r="C2" s="47" t="s">
        <v>132</v>
      </c>
      <c r="D2" s="102" t="s">
        <v>133</v>
      </c>
      <c r="E2" s="196" t="str">
        <f t="shared" ref="E2:E10" si="0">IF(C2="", "", "*" &amp; C2 &amp; "*")</f>
        <v>*545915/C*</v>
      </c>
      <c r="F2" s="196"/>
      <c r="G2" s="196"/>
      <c r="H2" s="196"/>
    </row>
    <row r="3" spans="1:8" ht="68.25" x14ac:dyDescent="0.2">
      <c r="A3" s="102" t="s">
        <v>10</v>
      </c>
      <c r="B3" s="47">
        <v>700</v>
      </c>
      <c r="C3" s="47" t="s">
        <v>130</v>
      </c>
      <c r="D3" s="102" t="s">
        <v>131</v>
      </c>
      <c r="E3" s="196" t="str">
        <f t="shared" si="0"/>
        <v>*545575/C*</v>
      </c>
      <c r="F3" s="196"/>
      <c r="G3" s="196"/>
      <c r="H3" s="196"/>
    </row>
    <row r="4" spans="1:8" ht="68.25" x14ac:dyDescent="0.2">
      <c r="A4" s="102" t="s">
        <v>30</v>
      </c>
      <c r="B4" s="47" t="s">
        <v>30</v>
      </c>
      <c r="C4" s="47" t="s">
        <v>87</v>
      </c>
      <c r="D4" s="102" t="s">
        <v>82</v>
      </c>
      <c r="E4" s="196" t="str">
        <f t="shared" si="0"/>
        <v>*539444/C*</v>
      </c>
      <c r="F4" s="196"/>
      <c r="G4" s="196"/>
      <c r="H4" s="196"/>
    </row>
    <row r="5" spans="1:8" ht="68.25" x14ac:dyDescent="0.2">
      <c r="A5" s="102" t="s">
        <v>30</v>
      </c>
      <c r="B5" s="47" t="s">
        <v>30</v>
      </c>
      <c r="C5" s="47" t="s">
        <v>88</v>
      </c>
      <c r="D5" s="102" t="s">
        <v>83</v>
      </c>
      <c r="E5" s="196" t="str">
        <f t="shared" si="0"/>
        <v>*539448/C*</v>
      </c>
      <c r="F5" s="196"/>
      <c r="G5" s="196"/>
      <c r="H5" s="196"/>
    </row>
    <row r="6" spans="1:8" ht="68.25" x14ac:dyDescent="0.2">
      <c r="A6" s="102" t="s">
        <v>30</v>
      </c>
      <c r="B6" s="47" t="s">
        <v>30</v>
      </c>
      <c r="C6" s="47" t="s">
        <v>89</v>
      </c>
      <c r="D6" s="102" t="s">
        <v>84</v>
      </c>
      <c r="E6" s="196" t="str">
        <f t="shared" si="0"/>
        <v>*539454/C*</v>
      </c>
      <c r="F6" s="196"/>
      <c r="G6" s="196"/>
      <c r="H6" s="196"/>
    </row>
    <row r="7" spans="1:8" ht="68.25" x14ac:dyDescent="0.2">
      <c r="A7" s="102" t="s">
        <v>30</v>
      </c>
      <c r="B7" s="47" t="s">
        <v>30</v>
      </c>
      <c r="C7" s="47" t="s">
        <v>86</v>
      </c>
      <c r="D7" s="102" t="s">
        <v>81</v>
      </c>
      <c r="E7" s="196" t="str">
        <f t="shared" si="0"/>
        <v>*539438/C*</v>
      </c>
      <c r="F7" s="196"/>
      <c r="G7" s="196"/>
      <c r="H7" s="196"/>
    </row>
    <row r="8" spans="1:8" ht="68.25" x14ac:dyDescent="0.2">
      <c r="A8" s="102" t="s">
        <v>30</v>
      </c>
      <c r="B8" s="47" t="s">
        <v>30</v>
      </c>
      <c r="C8" s="47" t="s">
        <v>90</v>
      </c>
      <c r="D8" s="102" t="s">
        <v>85</v>
      </c>
      <c r="E8" s="196" t="str">
        <f t="shared" si="0"/>
        <v>*539467/C*</v>
      </c>
      <c r="F8" s="196"/>
      <c r="G8" s="196"/>
      <c r="H8" s="196"/>
    </row>
    <row r="9" spans="1:8" ht="68.25" x14ac:dyDescent="0.2">
      <c r="A9" s="102" t="s">
        <v>30</v>
      </c>
      <c r="B9" s="47">
        <v>6000</v>
      </c>
      <c r="C9" s="47" t="s">
        <v>115</v>
      </c>
      <c r="D9" s="102" t="s">
        <v>114</v>
      </c>
      <c r="E9" s="196" t="str">
        <f t="shared" si="0"/>
        <v>*543006/C*</v>
      </c>
      <c r="F9" s="196"/>
      <c r="G9" s="196"/>
      <c r="H9" s="196"/>
    </row>
    <row r="10" spans="1:8" ht="68.25" x14ac:dyDescent="0.2">
      <c r="A10" s="102" t="s">
        <v>30</v>
      </c>
      <c r="B10" s="47">
        <v>6000</v>
      </c>
      <c r="C10" s="47" t="s">
        <v>116</v>
      </c>
      <c r="D10" s="102" t="s">
        <v>117</v>
      </c>
      <c r="E10" s="196" t="str">
        <f t="shared" si="0"/>
        <v>*543010/C*</v>
      </c>
      <c r="F10" s="196"/>
      <c r="G10" s="196"/>
      <c r="H10" s="196"/>
    </row>
    <row r="11" spans="1:8" ht="68.25" x14ac:dyDescent="0.2">
      <c r="A11" s="102"/>
      <c r="B11" s="47"/>
      <c r="C11" s="47"/>
      <c r="D11" s="102"/>
      <c r="E11" s="196" t="str">
        <f>IF(C11="", "", "*" &amp; C11 &amp; "*")</f>
        <v/>
      </c>
      <c r="F11" s="196"/>
      <c r="G11" s="196"/>
      <c r="H11" s="196"/>
    </row>
    <row r="12" spans="1:8" ht="68.25" x14ac:dyDescent="0.2">
      <c r="A12" s="102"/>
      <c r="B12" s="47"/>
      <c r="C12" s="47"/>
      <c r="D12" s="102"/>
      <c r="E12" s="196" t="str">
        <f t="shared" ref="E12:E20" si="1">IF(C12="", "", "*" &amp; C12 &amp; "*")</f>
        <v/>
      </c>
      <c r="F12" s="196"/>
      <c r="G12" s="196"/>
      <c r="H12" s="196"/>
    </row>
    <row r="13" spans="1:8" ht="68.25" x14ac:dyDescent="0.2">
      <c r="A13" s="102"/>
      <c r="B13" s="47"/>
      <c r="C13" s="47"/>
      <c r="D13" s="102"/>
      <c r="E13" s="196" t="str">
        <f t="shared" si="1"/>
        <v/>
      </c>
      <c r="F13" s="196"/>
      <c r="G13" s="196"/>
      <c r="H13" s="196"/>
    </row>
    <row r="14" spans="1:8" ht="68.25" x14ac:dyDescent="0.2">
      <c r="A14" s="102"/>
      <c r="B14" s="47"/>
      <c r="C14" s="47"/>
      <c r="D14" s="102"/>
      <c r="E14" s="196" t="str">
        <f t="shared" si="1"/>
        <v/>
      </c>
      <c r="F14" s="196"/>
      <c r="G14" s="196"/>
      <c r="H14" s="196"/>
    </row>
    <row r="15" spans="1:8" ht="68.25" x14ac:dyDescent="0.2">
      <c r="A15" s="102"/>
      <c r="B15" s="47"/>
      <c r="C15" s="47"/>
      <c r="D15" s="102"/>
      <c r="E15" s="196" t="str">
        <f t="shared" si="1"/>
        <v/>
      </c>
      <c r="F15" s="196"/>
      <c r="G15" s="196"/>
      <c r="H15" s="196"/>
    </row>
    <row r="16" spans="1:8" ht="68.25" x14ac:dyDescent="0.2">
      <c r="A16" s="102"/>
      <c r="B16" s="47"/>
      <c r="C16" s="47"/>
      <c r="D16" s="102"/>
      <c r="E16" s="196" t="str">
        <f t="shared" si="1"/>
        <v/>
      </c>
      <c r="F16" s="196"/>
      <c r="G16" s="196"/>
      <c r="H16" s="196"/>
    </row>
    <row r="17" spans="1:8" ht="68.25" x14ac:dyDescent="0.2">
      <c r="A17" s="102"/>
      <c r="B17" s="47"/>
      <c r="C17" s="47"/>
      <c r="D17" s="102"/>
      <c r="E17" s="196" t="str">
        <f t="shared" si="1"/>
        <v/>
      </c>
      <c r="F17" s="196"/>
      <c r="G17" s="196"/>
      <c r="H17" s="196"/>
    </row>
    <row r="18" spans="1:8" ht="68.25" x14ac:dyDescent="0.2">
      <c r="A18" s="102"/>
      <c r="B18" s="47"/>
      <c r="C18" s="47"/>
      <c r="D18" s="102"/>
      <c r="E18" s="196" t="str">
        <f t="shared" si="1"/>
        <v/>
      </c>
      <c r="F18" s="196"/>
      <c r="G18" s="196"/>
      <c r="H18" s="196"/>
    </row>
    <row r="19" spans="1:8" ht="68.25" x14ac:dyDescent="0.2">
      <c r="A19" s="102"/>
      <c r="B19" s="47"/>
      <c r="C19" s="47"/>
      <c r="D19" s="102"/>
      <c r="E19" s="196" t="str">
        <f t="shared" si="1"/>
        <v/>
      </c>
      <c r="F19" s="196"/>
      <c r="G19" s="196"/>
      <c r="H19" s="196"/>
    </row>
    <row r="20" spans="1:8" ht="68.25" x14ac:dyDescent="0.2">
      <c r="A20" s="102"/>
      <c r="B20" s="47"/>
      <c r="C20" s="47"/>
      <c r="D20" s="102"/>
      <c r="E20" s="196" t="str">
        <f t="shared" si="1"/>
        <v/>
      </c>
      <c r="F20" s="196"/>
      <c r="G20" s="196"/>
      <c r="H20" s="196"/>
    </row>
    <row r="21" spans="1:8" ht="68.25" x14ac:dyDescent="0.2">
      <c r="A21" s="99"/>
      <c r="B21" s="98"/>
      <c r="C21" s="98"/>
      <c r="D21" s="99"/>
      <c r="E21" s="195"/>
      <c r="F21" s="195"/>
      <c r="G21" s="195"/>
      <c r="H21" s="195"/>
    </row>
    <row r="22" spans="1:8" ht="68.25" x14ac:dyDescent="0.2">
      <c r="A22" s="99"/>
      <c r="B22" s="98"/>
      <c r="C22" s="98"/>
      <c r="D22" s="99"/>
      <c r="E22" s="195"/>
      <c r="F22" s="195"/>
      <c r="G22" s="195"/>
      <c r="H22" s="195"/>
    </row>
    <row r="23" spans="1:8" ht="68.25" x14ac:dyDescent="0.2">
      <c r="A23" s="99"/>
      <c r="B23" s="98"/>
      <c r="C23" s="98"/>
      <c r="D23" s="99"/>
      <c r="E23" s="195"/>
      <c r="F23" s="195"/>
      <c r="G23" s="195"/>
      <c r="H23" s="195"/>
    </row>
    <row r="24" spans="1:8" ht="68.25" x14ac:dyDescent="0.2">
      <c r="A24" s="99"/>
      <c r="B24" s="98"/>
      <c r="C24" s="98"/>
      <c r="D24" s="99"/>
      <c r="E24" s="195"/>
      <c r="F24" s="195"/>
      <c r="G24" s="195"/>
      <c r="H24" s="195"/>
    </row>
    <row r="25" spans="1:8" ht="68.25" x14ac:dyDescent="0.2">
      <c r="A25" s="99"/>
      <c r="B25" s="98"/>
      <c r="C25" s="98"/>
      <c r="D25" s="99"/>
      <c r="E25" s="195"/>
      <c r="F25" s="195"/>
      <c r="G25" s="195"/>
      <c r="H25" s="195"/>
    </row>
    <row r="26" spans="1:8" ht="68.25" x14ac:dyDescent="0.2">
      <c r="A26" s="99"/>
      <c r="B26" s="98"/>
      <c r="C26" s="98"/>
      <c r="D26" s="99"/>
      <c r="E26" s="195"/>
      <c r="F26" s="195"/>
      <c r="G26" s="195"/>
      <c r="H26" s="195"/>
    </row>
    <row r="27" spans="1:8" ht="68.25" x14ac:dyDescent="0.2">
      <c r="A27" s="99"/>
      <c r="B27" s="98"/>
      <c r="C27" s="98"/>
      <c r="D27" s="99"/>
      <c r="E27" s="195"/>
      <c r="F27" s="195"/>
      <c r="G27" s="195"/>
      <c r="H27" s="195"/>
    </row>
    <row r="28" spans="1:8" ht="68.25" x14ac:dyDescent="0.2">
      <c r="A28" s="99"/>
      <c r="B28" s="98"/>
      <c r="C28" s="98"/>
      <c r="D28" s="99"/>
      <c r="E28" s="195"/>
      <c r="F28" s="195"/>
      <c r="G28" s="195"/>
      <c r="H28" s="195"/>
    </row>
    <row r="29" spans="1:8" ht="68.25" x14ac:dyDescent="0.2">
      <c r="A29" s="99"/>
      <c r="B29" s="98"/>
      <c r="C29" s="98"/>
      <c r="D29" s="99"/>
      <c r="E29" s="195"/>
      <c r="F29" s="195"/>
      <c r="G29" s="195"/>
      <c r="H29" s="195"/>
    </row>
    <row r="30" spans="1:8" ht="68.25" x14ac:dyDescent="0.2">
      <c r="A30" s="99"/>
      <c r="B30" s="98"/>
      <c r="C30" s="98"/>
      <c r="D30" s="99"/>
      <c r="E30" s="195"/>
      <c r="F30" s="195"/>
      <c r="G30" s="195"/>
      <c r="H30" s="195"/>
    </row>
    <row r="31" spans="1:8" ht="68.25" x14ac:dyDescent="0.2">
      <c r="A31" s="99"/>
      <c r="B31" s="98"/>
      <c r="C31" s="98"/>
      <c r="D31" s="99"/>
      <c r="E31" s="195"/>
      <c r="F31" s="195"/>
      <c r="G31" s="195"/>
      <c r="H31" s="195"/>
    </row>
    <row r="32" spans="1:8" ht="68.25" x14ac:dyDescent="0.2">
      <c r="A32" s="99"/>
      <c r="B32" s="98"/>
      <c r="C32" s="98"/>
      <c r="D32" s="99"/>
      <c r="E32" s="195"/>
      <c r="F32" s="195"/>
      <c r="G32" s="195"/>
      <c r="H32" s="195"/>
    </row>
    <row r="33" spans="1:8" ht="68.25" x14ac:dyDescent="0.2">
      <c r="A33" s="99"/>
      <c r="B33" s="98"/>
      <c r="C33" s="98"/>
      <c r="D33" s="99"/>
      <c r="E33" s="195"/>
      <c r="F33" s="195"/>
      <c r="G33" s="195"/>
      <c r="H33" s="195"/>
    </row>
    <row r="34" spans="1:8" ht="68.25" x14ac:dyDescent="0.2">
      <c r="A34" s="99"/>
      <c r="B34" s="98"/>
      <c r="C34" s="98"/>
      <c r="D34" s="99"/>
      <c r="E34" s="195"/>
      <c r="F34" s="195"/>
      <c r="G34" s="195"/>
      <c r="H34" s="195"/>
    </row>
    <row r="35" spans="1:8" ht="68.25" x14ac:dyDescent="0.2">
      <c r="A35" s="99"/>
      <c r="B35" s="98"/>
      <c r="C35" s="98"/>
      <c r="D35" s="99"/>
      <c r="E35" s="195"/>
      <c r="F35" s="195"/>
      <c r="G35" s="195"/>
      <c r="H35" s="195"/>
    </row>
    <row r="36" spans="1:8" ht="68.25" x14ac:dyDescent="0.2">
      <c r="A36" s="99"/>
      <c r="B36" s="98"/>
      <c r="C36" s="98"/>
      <c r="D36" s="99"/>
      <c r="E36" s="195"/>
      <c r="F36" s="195"/>
      <c r="G36" s="195"/>
      <c r="H36" s="195"/>
    </row>
    <row r="37" spans="1:8" ht="68.25" x14ac:dyDescent="0.2">
      <c r="A37" s="99"/>
      <c r="B37" s="98"/>
      <c r="C37" s="98"/>
      <c r="D37" s="99"/>
      <c r="E37" s="195"/>
      <c r="F37" s="195"/>
      <c r="G37" s="195"/>
      <c r="H37" s="195"/>
    </row>
    <row r="38" spans="1:8" ht="68.25" x14ac:dyDescent="0.2">
      <c r="A38" s="99"/>
      <c r="B38" s="98"/>
      <c r="C38" s="98"/>
      <c r="D38" s="99"/>
      <c r="E38" s="195"/>
      <c r="F38" s="195"/>
      <c r="G38" s="195"/>
      <c r="H38" s="195"/>
    </row>
    <row r="39" spans="1:8" ht="68.25" x14ac:dyDescent="0.2">
      <c r="A39" s="99"/>
      <c r="B39" s="98"/>
      <c r="C39" s="98"/>
      <c r="D39" s="99"/>
      <c r="E39" s="195"/>
      <c r="F39" s="195"/>
      <c r="G39" s="195"/>
      <c r="H39" s="195"/>
    </row>
    <row r="40" spans="1:8" ht="68.25" x14ac:dyDescent="0.2">
      <c r="A40" s="99"/>
      <c r="B40" s="98"/>
      <c r="C40" s="98"/>
      <c r="D40" s="99"/>
      <c r="E40" s="195"/>
      <c r="F40" s="195"/>
      <c r="G40" s="195"/>
      <c r="H40" s="195"/>
    </row>
    <row r="41" spans="1:8" ht="68.25" x14ac:dyDescent="0.2">
      <c r="A41" s="99"/>
      <c r="B41" s="98"/>
      <c r="C41" s="98"/>
      <c r="D41" s="99"/>
      <c r="E41" s="195"/>
      <c r="F41" s="195"/>
      <c r="G41" s="195"/>
      <c r="H41" s="195"/>
    </row>
    <row r="42" spans="1:8" ht="68.25" x14ac:dyDescent="0.2">
      <c r="A42" s="99"/>
      <c r="B42" s="98"/>
      <c r="C42" s="98"/>
      <c r="D42" s="99"/>
      <c r="E42" s="195"/>
      <c r="F42" s="195"/>
      <c r="G42" s="195"/>
      <c r="H42" s="195"/>
    </row>
    <row r="43" spans="1:8" ht="68.25" x14ac:dyDescent="0.2">
      <c r="A43" s="99"/>
      <c r="B43" s="98"/>
      <c r="C43" s="98"/>
      <c r="D43" s="99"/>
      <c r="E43" s="195"/>
      <c r="F43" s="195"/>
      <c r="G43" s="195"/>
      <c r="H43" s="195"/>
    </row>
    <row r="44" spans="1:8" ht="68.25" x14ac:dyDescent="0.2">
      <c r="A44" s="99"/>
      <c r="B44" s="98"/>
      <c r="C44" s="98"/>
      <c r="D44" s="99"/>
      <c r="E44" s="195"/>
      <c r="F44" s="195"/>
      <c r="G44" s="195"/>
      <c r="H44" s="195"/>
    </row>
    <row r="45" spans="1:8" ht="68.25" x14ac:dyDescent="0.2">
      <c r="A45" s="99"/>
      <c r="B45" s="98"/>
      <c r="C45" s="98"/>
      <c r="D45" s="99"/>
      <c r="E45" s="195"/>
      <c r="F45" s="195"/>
      <c r="G45" s="195"/>
      <c r="H45" s="195"/>
    </row>
  </sheetData>
  <mergeCells count="45">
    <mergeCell ref="E11:H11"/>
    <mergeCell ref="E2:H2"/>
    <mergeCell ref="E1:H1"/>
    <mergeCell ref="E3:H3"/>
    <mergeCell ref="E4:H4"/>
    <mergeCell ref="E5:H5"/>
    <mergeCell ref="E6:H6"/>
    <mergeCell ref="E7:H7"/>
    <mergeCell ref="E8:H8"/>
    <mergeCell ref="E9:H9"/>
    <mergeCell ref="E10:H10"/>
    <mergeCell ref="E23:H23"/>
    <mergeCell ref="E12:H12"/>
    <mergeCell ref="E13:H13"/>
    <mergeCell ref="E14:H14"/>
    <mergeCell ref="E15:H15"/>
    <mergeCell ref="E16:H16"/>
    <mergeCell ref="E17:H17"/>
    <mergeCell ref="E18:H18"/>
    <mergeCell ref="E19:H19"/>
    <mergeCell ref="E20:H20"/>
    <mergeCell ref="E21:H21"/>
    <mergeCell ref="E22:H22"/>
    <mergeCell ref="E35:H35"/>
    <mergeCell ref="E24:H24"/>
    <mergeCell ref="E25:H25"/>
    <mergeCell ref="E26:H26"/>
    <mergeCell ref="E27:H27"/>
    <mergeCell ref="E28:H28"/>
    <mergeCell ref="E29:H29"/>
    <mergeCell ref="E30:H30"/>
    <mergeCell ref="E31:H31"/>
    <mergeCell ref="E32:H32"/>
    <mergeCell ref="E33:H33"/>
    <mergeCell ref="E34:H34"/>
    <mergeCell ref="E42:H42"/>
    <mergeCell ref="E43:H43"/>
    <mergeCell ref="E44:H44"/>
    <mergeCell ref="E45:H45"/>
    <mergeCell ref="E36:H36"/>
    <mergeCell ref="E37:H37"/>
    <mergeCell ref="E38:H38"/>
    <mergeCell ref="E39:H39"/>
    <mergeCell ref="E40:H40"/>
    <mergeCell ref="E41:H4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oglio6"/>
  <dimension ref="A1:R39"/>
  <sheetViews>
    <sheetView workbookViewId="0">
      <selection activeCell="P3" sqref="P3"/>
    </sheetView>
  </sheetViews>
  <sheetFormatPr defaultRowHeight="14.25" x14ac:dyDescent="0.2"/>
  <cols>
    <col min="1" max="1" width="27.125" customWidth="1"/>
    <col min="2" max="2" width="11.875" customWidth="1"/>
    <col min="3" max="4" width="2.125" customWidth="1"/>
    <col min="7" max="7" width="11.5" customWidth="1"/>
    <col min="8" max="8" width="2.625" customWidth="1"/>
    <col min="13" max="13" width="8.75" customWidth="1"/>
    <col min="14" max="15" width="9.875" bestFit="1" customWidth="1"/>
    <col min="16" max="16" width="10.625" bestFit="1" customWidth="1"/>
    <col min="17" max="17" width="11.625" bestFit="1" customWidth="1"/>
    <col min="18" max="18" width="9" bestFit="1" customWidth="1"/>
  </cols>
  <sheetData>
    <row r="1" spans="1:18" ht="18" customHeight="1" x14ac:dyDescent="0.3">
      <c r="A1" s="18" t="s">
        <v>12</v>
      </c>
      <c r="B1" s="9">
        <v>45957</v>
      </c>
      <c r="E1" s="207" t="s">
        <v>24</v>
      </c>
      <c r="F1" s="208"/>
      <c r="G1" s="209"/>
      <c r="I1" s="207" t="s">
        <v>27</v>
      </c>
      <c r="J1" s="208"/>
      <c r="K1" s="209"/>
      <c r="N1" s="14" t="s">
        <v>35</v>
      </c>
      <c r="O1" s="14" t="s">
        <v>36</v>
      </c>
      <c r="P1" t="s">
        <v>63</v>
      </c>
      <c r="Q1" t="s">
        <v>64</v>
      </c>
      <c r="R1" t="s">
        <v>65</v>
      </c>
    </row>
    <row r="2" spans="1:18" ht="15.75" x14ac:dyDescent="0.25">
      <c r="A2" s="202" t="str">
        <f ca="1">"Programmazione dal "&amp;TEXT(N2,"gg/mm/aaaa")&amp;" al "&amp;TEXT(O2,"gg/mm/aaaa")</f>
        <v>Programmazione dal 27/10/2025 al 31/10/2025</v>
      </c>
      <c r="B2" s="202"/>
      <c r="E2" s="205" t="s">
        <v>21</v>
      </c>
      <c r="F2" s="206"/>
      <c r="G2" s="34">
        <f>COUNTIF(TabellaA1[STATO
PdL], "RICHIESTO")</f>
        <v>1</v>
      </c>
      <c r="I2" s="205" t="s">
        <v>21</v>
      </c>
      <c r="J2" s="206"/>
      <c r="K2" s="34">
        <f>COUNTIF(TabellaCTE[STATO
PdL], "RICHIESTO")</f>
        <v>0</v>
      </c>
      <c r="N2" s="14">
        <f ca="1">INDIRECT("'A3'!H2")</f>
        <v>45957</v>
      </c>
      <c r="O2" s="14">
        <f ca="1">INDIRECT("'A3'!l2")</f>
        <v>45961</v>
      </c>
      <c r="P2" t="s">
        <v>66</v>
      </c>
      <c r="Q2" t="s">
        <v>67</v>
      </c>
    </row>
    <row r="3" spans="1:18" ht="15.75" x14ac:dyDescent="0.25">
      <c r="A3" s="18" t="s">
        <v>37</v>
      </c>
      <c r="B3" s="14">
        <f ca="1">IF(AND(B6="NO",B7="NO"),TODAY(),IF(B6="SI",TODAY()+1,IF(B7="SI",DATE(B5,O3,O4),"")))</f>
        <v>45955</v>
      </c>
      <c r="E3" s="203" t="s">
        <v>44</v>
      </c>
      <c r="F3" s="204"/>
      <c r="G3" s="34">
        <f>COUNTIF(TabellaA1[STATO
PdL], "EMESSO")</f>
        <v>64</v>
      </c>
      <c r="I3" s="203" t="s">
        <v>44</v>
      </c>
      <c r="J3" s="204"/>
      <c r="K3" s="34">
        <f>COUNTIF(TabellaCTE[STATO
PdL], "EMESSO")</f>
        <v>4</v>
      </c>
      <c r="O3">
        <f>MONTH(B1)</f>
        <v>10</v>
      </c>
      <c r="P3" t="str">
        <f>IF(R1="Caldarella","fcaldarella",IF(ISBLANK(R1),"",""))</f>
        <v>fcaldarella</v>
      </c>
      <c r="Q3" t="str">
        <f>IF(R1="Caldarella","freddy69$","")</f>
        <v>freddy69$</v>
      </c>
    </row>
    <row r="4" spans="1:18" ht="15.6" customHeight="1" x14ac:dyDescent="0.25">
      <c r="A4" s="18"/>
      <c r="B4" s="25"/>
      <c r="E4" s="198" t="s">
        <v>121</v>
      </c>
      <c r="F4" s="199"/>
      <c r="G4" s="34">
        <f>COUNTIF(TabellaA1[STATO
PdL], "IN CORSO")</f>
        <v>1</v>
      </c>
      <c r="I4" s="198" t="s">
        <v>121</v>
      </c>
      <c r="J4" s="199"/>
      <c r="K4" s="34">
        <f>COUNTIF(TabellaCTE[STATO
PdL], "IN CORSO")</f>
        <v>0</v>
      </c>
      <c r="O4">
        <f>DAY(B1)</f>
        <v>27</v>
      </c>
    </row>
    <row r="5" spans="1:18" ht="15.6" customHeight="1" x14ac:dyDescent="0.25">
      <c r="A5" t="s">
        <v>31</v>
      </c>
      <c r="B5">
        <v>2025</v>
      </c>
      <c r="E5" s="203" t="s">
        <v>57</v>
      </c>
      <c r="F5" s="204"/>
      <c r="G5" s="34">
        <f>COUNTIF(TabellaA1[STATO
PdL], "INTERROTTO")</f>
        <v>25</v>
      </c>
      <c r="I5" s="203" t="s">
        <v>57</v>
      </c>
      <c r="J5" s="204"/>
      <c r="K5" s="34">
        <f>COUNTIF(TabellaCTE[STATO
PdL], "INTERROTTO")</f>
        <v>0</v>
      </c>
      <c r="P5" t="s">
        <v>63</v>
      </c>
      <c r="Q5" t="s">
        <v>64</v>
      </c>
      <c r="R5" t="s">
        <v>120</v>
      </c>
    </row>
    <row r="6" spans="1:18" ht="15.6" customHeight="1" x14ac:dyDescent="0.25">
      <c r="A6" s="18" t="s">
        <v>49</v>
      </c>
      <c r="B6" s="25" t="s">
        <v>69</v>
      </c>
      <c r="E6" s="198" t="s">
        <v>52</v>
      </c>
      <c r="F6" s="199"/>
      <c r="G6" s="34">
        <f>COUNTIF(TabellaA1[STATO
PdL], "DA CHIUDERE")</f>
        <v>207</v>
      </c>
      <c r="I6" s="198" t="s">
        <v>52</v>
      </c>
      <c r="J6" s="199"/>
      <c r="K6" s="34">
        <f>COUNTIF(TabellaCTE[STATO
PdL], "DA CHIUDERE")</f>
        <v>21</v>
      </c>
      <c r="P6" t="s">
        <v>66</v>
      </c>
      <c r="Q6" t="s">
        <v>67</v>
      </c>
    </row>
    <row r="7" spans="1:18" ht="15.75" customHeight="1" x14ac:dyDescent="0.25">
      <c r="A7" s="18" t="s">
        <v>48</v>
      </c>
      <c r="B7" s="25" t="s">
        <v>69</v>
      </c>
      <c r="E7" s="198" t="s">
        <v>58</v>
      </c>
      <c r="F7" s="199"/>
      <c r="G7" s="34">
        <f>COUNTIF(TabellaA1[STATO
PdL], "CHIUSO")</f>
        <v>0</v>
      </c>
      <c r="I7" s="198" t="s">
        <v>58</v>
      </c>
      <c r="J7" s="199"/>
      <c r="K7" s="35">
        <f>COUNTIF(TabellaCTE[STATO
PdL], "CHIUSO")</f>
        <v>0</v>
      </c>
      <c r="P7" t="str">
        <f>IF(R5="Allegretti","gallegretti95",IF(R5="Millo","fmillo73",IF(ISBLANK(R5),"","")))</f>
        <v>gallegretti95</v>
      </c>
      <c r="Q7" t="str">
        <f>IF(R5="Allegretti","coemi.2024",IF(R5="Millo","millo.1973",""))</f>
        <v>coemi.2024</v>
      </c>
    </row>
    <row r="8" spans="1:18" ht="15.75" customHeight="1" x14ac:dyDescent="0.25">
      <c r="E8" s="198" t="s">
        <v>22</v>
      </c>
      <c r="F8" s="199"/>
      <c r="G8" s="34">
        <f ca="1">COUNTIF(TabellaA1[PO], "X")</f>
        <v>0</v>
      </c>
      <c r="I8" s="198" t="s">
        <v>22</v>
      </c>
      <c r="J8" s="199"/>
      <c r="K8" s="34">
        <f ca="1">COUNTIF(TabellaCTE[PO], "X")</f>
        <v>0</v>
      </c>
    </row>
    <row r="9" spans="1:18" ht="16.5" customHeight="1" thickBot="1" x14ac:dyDescent="0.3">
      <c r="E9" s="200" t="s">
        <v>34</v>
      </c>
      <c r="F9" s="201"/>
      <c r="G9" s="36">
        <f>COUNTIF(TabellaA1[PS], "X")</f>
        <v>5</v>
      </c>
      <c r="I9" s="200" t="s">
        <v>34</v>
      </c>
      <c r="J9" s="201"/>
      <c r="K9" s="36">
        <f>COUNTIF(TabellaCTE[PS], "X")</f>
        <v>0</v>
      </c>
    </row>
    <row r="10" spans="1:18" ht="38.25" customHeight="1" thickBot="1" x14ac:dyDescent="0.25">
      <c r="R10" s="23"/>
    </row>
    <row r="11" spans="1:18" ht="15.6" customHeight="1" x14ac:dyDescent="0.35">
      <c r="A11" s="24"/>
      <c r="E11" s="207" t="s">
        <v>25</v>
      </c>
      <c r="F11" s="208"/>
      <c r="G11" s="209"/>
      <c r="I11" s="207" t="s">
        <v>28</v>
      </c>
      <c r="J11" s="208"/>
      <c r="K11" s="209"/>
    </row>
    <row r="12" spans="1:18" ht="15.6" customHeight="1" x14ac:dyDescent="0.25">
      <c r="E12" s="205" t="s">
        <v>21</v>
      </c>
      <c r="F12" s="206"/>
      <c r="G12" s="34">
        <f>COUNTIF(Tabella1[STATO
PdL], "RICHIESTO")</f>
        <v>0</v>
      </c>
      <c r="I12" s="205" t="s">
        <v>21</v>
      </c>
      <c r="J12" s="206"/>
      <c r="K12" s="34">
        <f>COUNTIF(TabellaBLENDING[STATO
PdL], "RICHIESTO")</f>
        <v>0</v>
      </c>
    </row>
    <row r="13" spans="1:18" ht="15.6" customHeight="1" x14ac:dyDescent="0.25">
      <c r="E13" s="203" t="s">
        <v>44</v>
      </c>
      <c r="F13" s="204"/>
      <c r="G13" s="34">
        <f>COUNTIF(Tabella1[STATO
PdL], "EMESSO")</f>
        <v>43</v>
      </c>
      <c r="I13" s="203" t="s">
        <v>44</v>
      </c>
      <c r="J13" s="204"/>
      <c r="K13" s="34">
        <f>COUNTIF(TabellaBLENDING[STATO
PdL], "EMESSO")</f>
        <v>77</v>
      </c>
    </row>
    <row r="14" spans="1:18" ht="15.6" customHeight="1" x14ac:dyDescent="0.25">
      <c r="E14" s="198" t="s">
        <v>121</v>
      </c>
      <c r="F14" s="199"/>
      <c r="G14" s="34">
        <f>COUNTIF(Tabella1[STATO
PdL], "IN CORSO")</f>
        <v>0</v>
      </c>
      <c r="I14" s="198" t="s">
        <v>121</v>
      </c>
      <c r="J14" s="199"/>
      <c r="K14" s="34">
        <f>COUNTIF(TabellaBLENDING[STATO
PdL], "IN CORSO")</f>
        <v>2</v>
      </c>
    </row>
    <row r="15" spans="1:18" ht="15.75" customHeight="1" x14ac:dyDescent="0.25">
      <c r="E15" s="203" t="s">
        <v>57</v>
      </c>
      <c r="F15" s="204"/>
      <c r="G15" s="34">
        <f>COUNTIF(Tabella1[STATO
PdL], "INTERROTTO")</f>
        <v>22</v>
      </c>
      <c r="I15" s="203" t="s">
        <v>57</v>
      </c>
      <c r="J15" s="204"/>
      <c r="K15" s="34">
        <f>COUNTIF(TabellaBLENDING[STATO
PdL], "INTERROTTO")</f>
        <v>2</v>
      </c>
    </row>
    <row r="16" spans="1:18" ht="15.75" customHeight="1" x14ac:dyDescent="0.25">
      <c r="E16" s="198" t="s">
        <v>52</v>
      </c>
      <c r="F16" s="199"/>
      <c r="G16" s="34">
        <f>COUNTIF(Tabella1[STATO
PdL], "DA CHIUDERE")</f>
        <v>130</v>
      </c>
      <c r="I16" s="198" t="s">
        <v>52</v>
      </c>
      <c r="J16" s="199"/>
      <c r="K16" s="34">
        <f>COUNTIF(TabellaBLENDING[STATO
PdL], "DA CHIUDERE")</f>
        <v>118</v>
      </c>
    </row>
    <row r="17" spans="1:11" ht="15.75" customHeight="1" x14ac:dyDescent="0.25">
      <c r="E17" s="198" t="s">
        <v>58</v>
      </c>
      <c r="F17" s="199"/>
      <c r="G17" s="35">
        <f>COUNTIF(Tabella1[STATO
PdL], "CHIUSO")</f>
        <v>0</v>
      </c>
      <c r="I17" s="198" t="s">
        <v>58</v>
      </c>
      <c r="J17" s="199"/>
      <c r="K17" s="35">
        <f>COUNTIF(TabellaBLENDING[STATO
PdL], "CHIUSO")</f>
        <v>0</v>
      </c>
    </row>
    <row r="18" spans="1:11" ht="15.6" customHeight="1" x14ac:dyDescent="0.25">
      <c r="E18" s="198" t="s">
        <v>22</v>
      </c>
      <c r="F18" s="199"/>
      <c r="G18" s="34">
        <f ca="1">COUNTIF(Tabella1[PO], "X")</f>
        <v>0</v>
      </c>
      <c r="I18" s="198" t="s">
        <v>22</v>
      </c>
      <c r="J18" s="199"/>
      <c r="K18" s="34">
        <f ca="1">COUNTIF(TabellaBLENDING[PO], "X")</f>
        <v>0</v>
      </c>
    </row>
    <row r="19" spans="1:11" ht="15.6" customHeight="1" thickBot="1" x14ac:dyDescent="0.3">
      <c r="E19" s="200" t="s">
        <v>34</v>
      </c>
      <c r="F19" s="201"/>
      <c r="G19" s="36">
        <f>COUNTIF(Tabella1[PS], "X")</f>
        <v>8</v>
      </c>
      <c r="I19" s="200" t="s">
        <v>34</v>
      </c>
      <c r="J19" s="201"/>
      <c r="K19" s="36">
        <f>COUNTIF(TabellaBLENDING[PS], "X")</f>
        <v>6</v>
      </c>
    </row>
    <row r="20" spans="1:11" ht="47.25" customHeight="1" thickBot="1" x14ac:dyDescent="0.25"/>
    <row r="21" spans="1:11" ht="15.6" customHeight="1" x14ac:dyDescent="0.3">
      <c r="E21" s="207" t="s">
        <v>26</v>
      </c>
      <c r="F21" s="208"/>
      <c r="G21" s="209"/>
      <c r="I21" s="207" t="s">
        <v>29</v>
      </c>
      <c r="J21" s="208"/>
      <c r="K21" s="209"/>
    </row>
    <row r="22" spans="1:11" ht="15.75" x14ac:dyDescent="0.25">
      <c r="E22" s="205" t="s">
        <v>21</v>
      </c>
      <c r="F22" s="206"/>
      <c r="G22" s="34">
        <f>COUNTIF(Tabella3[STATO
PdL], "RICHIESTO")</f>
        <v>9</v>
      </c>
      <c r="I22" s="205" t="s">
        <v>21</v>
      </c>
      <c r="J22" s="206"/>
      <c r="K22" s="34">
        <f>COUNTIF(QueryGenerale[STATO
PdL], "RICHIESTO")</f>
        <v>27</v>
      </c>
    </row>
    <row r="23" spans="1:11" ht="15.75" x14ac:dyDescent="0.25">
      <c r="E23" s="203" t="s">
        <v>44</v>
      </c>
      <c r="F23" s="204"/>
      <c r="G23" s="34">
        <f>COUNTIF(Tabella3[STATO
PdL], "EMESSO")</f>
        <v>79</v>
      </c>
      <c r="I23" s="203" t="s">
        <v>44</v>
      </c>
      <c r="J23" s="204"/>
      <c r="K23" s="34">
        <f>COUNTIF(QueryGenerale[STATO
PdL], "EMESSO")</f>
        <v>270</v>
      </c>
    </row>
    <row r="24" spans="1:11" ht="15.75" customHeight="1" x14ac:dyDescent="0.25">
      <c r="E24" s="198" t="s">
        <v>121</v>
      </c>
      <c r="F24" s="199"/>
      <c r="G24" s="34">
        <f>COUNTIF(Tabella3[STATO
PdL], "IN CORSO")</f>
        <v>2</v>
      </c>
      <c r="I24" s="198" t="s">
        <v>121</v>
      </c>
      <c r="J24" s="199"/>
      <c r="K24" s="34">
        <f>COUNTIF(QueryGenerale[STATO
PdL], "IN CORSO")</f>
        <v>5</v>
      </c>
    </row>
    <row r="25" spans="1:11" ht="18.600000000000001" customHeight="1" x14ac:dyDescent="0.25">
      <c r="A25" s="37" t="s">
        <v>42</v>
      </c>
      <c r="B25" s="29" t="s">
        <v>158</v>
      </c>
      <c r="E25" s="203" t="s">
        <v>57</v>
      </c>
      <c r="F25" s="204"/>
      <c r="G25" s="34">
        <f>COUNTIF(Tabella3[STATO
PdL], "INTERROTTO")</f>
        <v>76</v>
      </c>
      <c r="I25" s="203" t="s">
        <v>57</v>
      </c>
      <c r="J25" s="204"/>
      <c r="K25" s="34">
        <f>COUNTIF(QueryGenerale[STATO
PdL], "INTERROTTO")</f>
        <v>125</v>
      </c>
    </row>
    <row r="26" spans="1:11" ht="15.75" customHeight="1" x14ac:dyDescent="0.25">
      <c r="A26" s="30" t="str">
        <f>IF($B$25="NAS",
    "\\192.168.11.251\Database_Tecnico_SMI\cartella strumentale condivisa\ALLEGRETTI\CARICA_PROGRAMMAZIONE.xlsm",
    IF($B$25="NAS LOCALE PC GIANKY",
        "C:\Users\gianc\OneDrive\Documenti\MEGA\Caricamenti MEGA\NAS LOCALE\cartella strumentale condivisa\CARICA_PROGRAMMAZIONE.xlsm",
        IF($B$25="NAS LOCALE PC COEMI",
            "C:\Users\Coemi\Desktop\NAS LOCALE\cartella strumentale condivisa\CARICA_PROGRAMMAZIONE.xlsm",
            ""
        )
    )
)</f>
        <v>\\192.168.11.251\Database_Tecnico_SMI\cartella strumentale condivisa\ALLEGRETTI\CARICA_PROGRAMMAZIONE.xlsm</v>
      </c>
      <c r="B26" s="31"/>
      <c r="C26" s="31"/>
      <c r="D26" s="31"/>
      <c r="E26" s="198" t="s">
        <v>52</v>
      </c>
      <c r="F26" s="199"/>
      <c r="G26" s="34">
        <f>COUNTIF(Tabella3[STATO
PdL], "DA CHIUDERE")</f>
        <v>317</v>
      </c>
      <c r="H26" s="31"/>
      <c r="I26" s="198" t="s">
        <v>52</v>
      </c>
      <c r="J26" s="199"/>
      <c r="K26" s="34">
        <f>COUNTIF(QueryGenerale[STATO
PdL], "DA CHIUDERE")</f>
        <v>793</v>
      </c>
    </row>
    <row r="27" spans="1:11" ht="15.75" customHeight="1" x14ac:dyDescent="0.25">
      <c r="A27" s="37" t="s">
        <v>62</v>
      </c>
      <c r="E27" s="198" t="s">
        <v>58</v>
      </c>
      <c r="F27" s="199"/>
      <c r="G27" s="35">
        <f>COUNTIF(Tabella3[STATO
PdL], "CHIUSO")</f>
        <v>0</v>
      </c>
      <c r="I27" s="198" t="s">
        <v>58</v>
      </c>
      <c r="J27" s="199"/>
      <c r="K27" s="35">
        <f>COUNTIF(QueryGenerale[STATO
PdL], "CHIUSO")</f>
        <v>0</v>
      </c>
    </row>
    <row r="28" spans="1:11" ht="15.75" customHeight="1" x14ac:dyDescent="0.25">
      <c r="A28" s="30" t="str">
        <f>IF($B$25="NAS",
    "\\192.168.11.251\Database_Tecnico_SMI\cartella strumentale condivisa\ALLEGRETTI\CARICA_PROGRAMMAZIONE.xlsm",
    IF($B$25="NAS LOCALE PC GIANKY",
        "C:\Users\gianc\Downloads\Ricerca.xlsx",
        IF($B$25="NAS LOCALE PC COEMI",
            "C:\Users\Coemi\Desktop\NAS LOCALE\cartella strumentale condivisa\CARICA_PROGRAMMAZIONE.xlsm",
            ""
        )
    )
)</f>
        <v>\\192.168.11.251\Database_Tecnico_SMI\cartella strumentale condivisa\ALLEGRETTI\CARICA_PROGRAMMAZIONE.xlsm</v>
      </c>
      <c r="E28" s="198" t="s">
        <v>22</v>
      </c>
      <c r="F28" s="199"/>
      <c r="G28" s="34">
        <f ca="1">COUNTIF(Tabella3[PO], "X")</f>
        <v>0</v>
      </c>
      <c r="I28" s="198" t="s">
        <v>22</v>
      </c>
      <c r="J28" s="199"/>
      <c r="K28" s="34">
        <f>COUNTIF(QueryGenerale[PO], "X")</f>
        <v>0</v>
      </c>
    </row>
    <row r="29" spans="1:11" ht="16.5" customHeight="1" thickBot="1" x14ac:dyDescent="0.3">
      <c r="E29" s="200" t="s">
        <v>34</v>
      </c>
      <c r="F29" s="201"/>
      <c r="G29" s="36">
        <f>COUNTIF(Tabella3[PS], "X")</f>
        <v>8</v>
      </c>
      <c r="I29" s="200" t="s">
        <v>34</v>
      </c>
      <c r="J29" s="201"/>
      <c r="K29" s="36">
        <f>COUNTIF(QueryGenerale[PS], "X")</f>
        <v>24</v>
      </c>
    </row>
    <row r="30" spans="1:11" ht="15" thickBot="1" x14ac:dyDescent="0.25"/>
    <row r="31" spans="1:11" ht="18.75" x14ac:dyDescent="0.3">
      <c r="E31" s="207" t="s">
        <v>204</v>
      </c>
      <c r="F31" s="208"/>
      <c r="G31" s="209"/>
    </row>
    <row r="32" spans="1:11" ht="15.75" x14ac:dyDescent="0.25">
      <c r="E32" s="205" t="s">
        <v>21</v>
      </c>
      <c r="F32" s="206"/>
      <c r="G32" s="34">
        <f>COUNTIF(TabellaCTE910[STATO
PdL], "RICHIESTO")</f>
        <v>17</v>
      </c>
    </row>
    <row r="33" spans="5:7" ht="15.75" x14ac:dyDescent="0.25">
      <c r="E33" s="203" t="s">
        <v>44</v>
      </c>
      <c r="F33" s="204"/>
      <c r="G33" s="34">
        <f>COUNTIF(TabellaCTE910[STATO
PdL], "EMESSO")</f>
        <v>2</v>
      </c>
    </row>
    <row r="34" spans="5:7" ht="15.75" x14ac:dyDescent="0.25">
      <c r="E34" s="198" t="s">
        <v>121</v>
      </c>
      <c r="F34" s="199"/>
      <c r="G34" s="34">
        <f>COUNTIF(TabellaCTE910[STATO
PdL], "IN CORSO")</f>
        <v>0</v>
      </c>
    </row>
    <row r="35" spans="5:7" ht="15.75" x14ac:dyDescent="0.25">
      <c r="E35" s="203" t="s">
        <v>57</v>
      </c>
      <c r="F35" s="204"/>
      <c r="G35" s="34">
        <f>COUNTIF(TabellaCTE910[STATO
PdL], "INTERROTTO")</f>
        <v>0</v>
      </c>
    </row>
    <row r="36" spans="5:7" ht="15.75" x14ac:dyDescent="0.25">
      <c r="E36" s="198" t="s">
        <v>52</v>
      </c>
      <c r="F36" s="199"/>
      <c r="G36" s="34">
        <f>COUNTIF(TabellaCTE910[STATO
PdL], "DA CHIUDERE")</f>
        <v>0</v>
      </c>
    </row>
    <row r="37" spans="5:7" ht="15.75" x14ac:dyDescent="0.25">
      <c r="E37" s="198" t="s">
        <v>58</v>
      </c>
      <c r="F37" s="199"/>
      <c r="G37" s="35">
        <f>COUNTIF(TabellaCTE910[STATO
PdL], "CHIUSO")</f>
        <v>0</v>
      </c>
    </row>
    <row r="38" spans="5:7" ht="15.75" x14ac:dyDescent="0.25">
      <c r="E38" s="198" t="s">
        <v>22</v>
      </c>
      <c r="F38" s="199"/>
      <c r="G38" s="34">
        <f ca="1">COUNTIF(TabellaCTE910[PO], "X")</f>
        <v>0</v>
      </c>
    </row>
    <row r="39" spans="5:7" ht="16.5" thickBot="1" x14ac:dyDescent="0.3">
      <c r="E39" s="200" t="s">
        <v>34</v>
      </c>
      <c r="F39" s="201"/>
      <c r="G39" s="36">
        <f>COUNTIF(TabellaCTE910[PS], "X")</f>
        <v>8</v>
      </c>
    </row>
  </sheetData>
  <mergeCells count="64">
    <mergeCell ref="E36:F36"/>
    <mergeCell ref="E37:F37"/>
    <mergeCell ref="E38:F38"/>
    <mergeCell ref="E39:F39"/>
    <mergeCell ref="E31:G31"/>
    <mergeCell ref="E32:F32"/>
    <mergeCell ref="E33:F33"/>
    <mergeCell ref="E34:F34"/>
    <mergeCell ref="E35:F35"/>
    <mergeCell ref="I25:J25"/>
    <mergeCell ref="I26:J26"/>
    <mergeCell ref="I27:J27"/>
    <mergeCell ref="I28:J28"/>
    <mergeCell ref="I29:J29"/>
    <mergeCell ref="E28:F28"/>
    <mergeCell ref="I8:J8"/>
    <mergeCell ref="I9:J9"/>
    <mergeCell ref="I11:K11"/>
    <mergeCell ref="I12:J12"/>
    <mergeCell ref="I13:J13"/>
    <mergeCell ref="I14:J14"/>
    <mergeCell ref="I15:J15"/>
    <mergeCell ref="I16:J16"/>
    <mergeCell ref="I17:J17"/>
    <mergeCell ref="I18:J18"/>
    <mergeCell ref="I19:J19"/>
    <mergeCell ref="I21:K21"/>
    <mergeCell ref="I22:J22"/>
    <mergeCell ref="I23:J23"/>
    <mergeCell ref="I24:J24"/>
    <mergeCell ref="E23:F23"/>
    <mergeCell ref="E24:F24"/>
    <mergeCell ref="E25:F25"/>
    <mergeCell ref="E26:F26"/>
    <mergeCell ref="E27:F27"/>
    <mergeCell ref="E17:F17"/>
    <mergeCell ref="E18:F18"/>
    <mergeCell ref="E19:F19"/>
    <mergeCell ref="E21:G21"/>
    <mergeCell ref="E22:F22"/>
    <mergeCell ref="I1:K1"/>
    <mergeCell ref="I2:J2"/>
    <mergeCell ref="I3:J3"/>
    <mergeCell ref="E1:G1"/>
    <mergeCell ref="E7:F7"/>
    <mergeCell ref="E3:F3"/>
    <mergeCell ref="E4:F4"/>
    <mergeCell ref="E5:F5"/>
    <mergeCell ref="E16:F16"/>
    <mergeCell ref="I7:J7"/>
    <mergeCell ref="E29:F29"/>
    <mergeCell ref="A2:B2"/>
    <mergeCell ref="I6:J6"/>
    <mergeCell ref="E15:F15"/>
    <mergeCell ref="I5:J5"/>
    <mergeCell ref="E14:F14"/>
    <mergeCell ref="E2:F2"/>
    <mergeCell ref="E6:F6"/>
    <mergeCell ref="I4:J4"/>
    <mergeCell ref="E13:F13"/>
    <mergeCell ref="E8:F8"/>
    <mergeCell ref="E9:F9"/>
    <mergeCell ref="E11:G11"/>
    <mergeCell ref="E12:F12"/>
  </mergeCells>
  <dataValidations count="4">
    <dataValidation type="list" allowBlank="1" showInputMessage="1" showErrorMessage="1" sqref="B6:B7" xr:uid="{00000000-0002-0000-0600-000000000000}">
      <formula1>"SI,NO,si,no,"</formula1>
    </dataValidation>
    <dataValidation type="list" allowBlank="1" showInputMessage="1" showErrorMessage="1" sqref="B25" xr:uid="{00000000-0002-0000-0600-000001000000}">
      <formula1>"NAS,NAS LOCALE PC COEMI,NAS LOCALE PC GIANKY,"</formula1>
    </dataValidation>
    <dataValidation type="list" allowBlank="1" showInputMessage="1" showErrorMessage="1" sqref="R1" xr:uid="{00000000-0002-0000-0600-000002000000}">
      <formula1>"Caldarella"</formula1>
    </dataValidation>
    <dataValidation type="list" allowBlank="1" showInputMessage="1" showErrorMessage="1" sqref="R5" xr:uid="{00000000-0002-0000-0600-000003000000}">
      <formula1>"Millo,Allegretti,"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AggiornaProgrammazione">
                <anchor moveWithCells="1" sizeWithCells="1">
                  <from>
                    <xdr:col>0</xdr:col>
                    <xdr:colOff>0</xdr:colOff>
                    <xdr:row>7</xdr:row>
                    <xdr:rowOff>9525</xdr:rowOff>
                  </from>
                  <to>
                    <xdr:col>2</xdr:col>
                    <xdr:colOff>0</xdr:colOff>
                    <xdr:row>8</xdr:row>
                    <xdr:rowOff>238125</xdr:rowOff>
                  </to>
                </anchor>
              </controlPr>
            </control>
          </mc:Choice>
        </mc:AlternateContent>
        <mc:AlternateContent xmlns:mc="http://schemas.openxmlformats.org/markup-compatibility/2006">
          <mc:Choice Requires="x14">
            <control shapeId="33794" r:id="rId5" name="Button 2">
              <controlPr defaultSize="0" print="0" autoFill="0" autoPict="0" macro="[0]!ApriUserForm3">
                <anchor moveWithCells="1" sizeWithCells="1">
                  <from>
                    <xdr:col>0</xdr:col>
                    <xdr:colOff>0</xdr:colOff>
                    <xdr:row>15</xdr:row>
                    <xdr:rowOff>9525</xdr:rowOff>
                  </from>
                  <to>
                    <xdr:col>2</xdr:col>
                    <xdr:colOff>0</xdr:colOff>
                    <xdr:row>16</xdr:row>
                    <xdr:rowOff>209550</xdr:rowOff>
                  </to>
                </anchor>
              </controlPr>
            </control>
          </mc:Choice>
        </mc:AlternateContent>
        <mc:AlternateContent xmlns:mc="http://schemas.openxmlformats.org/markup-compatibility/2006">
          <mc:Choice Requires="x14">
            <control shapeId="33797" r:id="rId6" name="Button 5">
              <controlPr defaultSize="0" print="0" autoFill="0" autoPict="0" macro="[0]!scriviAvvisiPDL">
                <anchor moveWithCells="1" sizeWithCells="1">
                  <from>
                    <xdr:col>0</xdr:col>
                    <xdr:colOff>19050</xdr:colOff>
                    <xdr:row>22</xdr:row>
                    <xdr:rowOff>28575</xdr:rowOff>
                  </from>
                  <to>
                    <xdr:col>2</xdr:col>
                    <xdr:colOff>9525</xdr:colOff>
                    <xdr:row>23</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oglio7"/>
  <dimension ref="A1:S113"/>
  <sheetViews>
    <sheetView workbookViewId="0">
      <selection activeCell="B14" sqref="B14"/>
    </sheetView>
  </sheetViews>
  <sheetFormatPr defaultColWidth="8.75" defaultRowHeight="14.25" x14ac:dyDescent="0.2"/>
  <cols>
    <col min="1" max="1" width="8.75" style="78" bestFit="1" customWidth="1"/>
    <col min="2" max="2" width="150.375" style="80" bestFit="1" customWidth="1"/>
    <col min="3" max="3" width="24.625" style="78" customWidth="1"/>
    <col min="4" max="4" width="12.125" style="78" customWidth="1"/>
    <col min="5" max="5" width="41.375" style="78" customWidth="1"/>
    <col min="6" max="6" width="22.25" style="78" customWidth="1"/>
    <col min="7" max="7" width="18.75" style="78" customWidth="1"/>
    <col min="8" max="8" width="18.875" style="78" customWidth="1"/>
    <col min="9" max="9" width="9.5" style="78" customWidth="1"/>
    <col min="10" max="10" width="3.875" style="79" customWidth="1"/>
    <col min="11" max="11" width="14.25" style="78" customWidth="1"/>
    <col min="12" max="12" width="6.625" style="78" customWidth="1"/>
    <col min="13" max="13" width="7" style="78" customWidth="1"/>
    <col min="14" max="14" width="5.5" style="78" customWidth="1"/>
    <col min="15" max="15" width="22.5" style="78" customWidth="1"/>
    <col min="16" max="16" width="20.625" style="78" customWidth="1"/>
    <col min="17" max="17" width="25.75" style="78" bestFit="1" customWidth="1"/>
    <col min="18" max="18" width="3.375" style="78" bestFit="1" customWidth="1"/>
    <col min="19" max="19" width="10.875" style="78" bestFit="1" customWidth="1"/>
    <col min="20" max="16384" width="8.75" style="77"/>
  </cols>
  <sheetData>
    <row r="1" spans="1:19" ht="15.75" customHeight="1" x14ac:dyDescent="0.2">
      <c r="A1" s="210" t="s">
        <v>105</v>
      </c>
      <c r="B1" s="211"/>
      <c r="C1" s="211"/>
      <c r="D1" s="211"/>
      <c r="E1" s="211"/>
      <c r="F1" s="211"/>
      <c r="G1" s="211"/>
      <c r="H1" s="211"/>
      <c r="I1" s="211"/>
      <c r="J1" s="86"/>
      <c r="K1" s="86"/>
      <c r="L1" s="86"/>
      <c r="M1" s="86"/>
      <c r="N1" s="86"/>
      <c r="O1" s="86"/>
      <c r="P1" s="86"/>
      <c r="Q1" s="86"/>
      <c r="R1" s="86"/>
    </row>
    <row r="2" spans="1:19" ht="15" customHeight="1" x14ac:dyDescent="0.2">
      <c r="A2" s="89" t="s">
        <v>91</v>
      </c>
      <c r="B2" s="90" t="s">
        <v>92</v>
      </c>
      <c r="C2" s="89" t="s">
        <v>93</v>
      </c>
      <c r="D2" s="89" t="s">
        <v>94</v>
      </c>
      <c r="E2" s="89" t="s">
        <v>95</v>
      </c>
      <c r="F2" s="89" t="s">
        <v>96</v>
      </c>
      <c r="G2" s="89" t="s">
        <v>97</v>
      </c>
      <c r="H2" s="89" t="s">
        <v>98</v>
      </c>
      <c r="I2" s="89" t="s">
        <v>61</v>
      </c>
      <c r="J2" s="79" t="s">
        <v>112</v>
      </c>
      <c r="K2" s="89" t="s">
        <v>110</v>
      </c>
      <c r="L2" s="89" t="s">
        <v>39</v>
      </c>
      <c r="M2" s="89" t="s">
        <v>40</v>
      </c>
      <c r="N2" s="89" t="s">
        <v>103</v>
      </c>
      <c r="O2" s="89" t="s">
        <v>73</v>
      </c>
      <c r="P2" s="89" t="s">
        <v>101</v>
      </c>
      <c r="Q2" s="89" t="s">
        <v>75</v>
      </c>
      <c r="R2" s="78" t="s">
        <v>111</v>
      </c>
      <c r="S2" s="91" t="s">
        <v>99</v>
      </c>
    </row>
    <row r="3" spans="1:19" x14ac:dyDescent="0.2">
      <c r="A3" s="92" t="s">
        <v>3582</v>
      </c>
      <c r="B3" s="92" t="s">
        <v>174</v>
      </c>
      <c r="C3" s="92" t="s">
        <v>172</v>
      </c>
      <c r="D3" s="92">
        <v>5400263807</v>
      </c>
      <c r="E3" s="92" t="s">
        <v>3218</v>
      </c>
      <c r="F3" s="92" t="s">
        <v>175</v>
      </c>
      <c r="G3" s="92" t="s">
        <v>185</v>
      </c>
      <c r="H3" s="92" t="s">
        <v>171</v>
      </c>
      <c r="I3" s="92"/>
      <c r="J3" s="92"/>
      <c r="K3" s="92"/>
      <c r="L3" s="92"/>
      <c r="M3" s="92"/>
      <c r="N3" s="92"/>
      <c r="O3" s="92"/>
      <c r="P3" s="106"/>
      <c r="Q3" s="92"/>
      <c r="R3" s="92"/>
      <c r="S3" s="92"/>
    </row>
    <row r="4" spans="1:19" x14ac:dyDescent="0.2">
      <c r="A4" s="92"/>
      <c r="B4" s="92"/>
      <c r="C4" s="92"/>
      <c r="D4" s="92"/>
      <c r="E4" s="92"/>
      <c r="F4" s="92"/>
      <c r="G4" s="92"/>
      <c r="H4" s="92"/>
      <c r="I4" s="92"/>
      <c r="J4" s="92"/>
      <c r="K4" s="92"/>
      <c r="L4" s="92"/>
      <c r="M4" s="92"/>
      <c r="N4" s="92"/>
      <c r="O4" s="92"/>
      <c r="P4" s="92"/>
      <c r="Q4" s="92"/>
      <c r="R4" s="92"/>
      <c r="S4" s="92"/>
    </row>
    <row r="5" spans="1:19" x14ac:dyDescent="0.2">
      <c r="A5" s="92"/>
      <c r="B5" s="92"/>
      <c r="C5" s="92"/>
      <c r="D5" s="92"/>
      <c r="E5" s="92"/>
      <c r="F5" s="92"/>
      <c r="G5" s="92"/>
      <c r="H5" s="92"/>
      <c r="I5" s="92"/>
      <c r="J5" s="92"/>
      <c r="K5" s="92"/>
      <c r="L5" s="92"/>
      <c r="M5" s="92"/>
      <c r="N5" s="92"/>
      <c r="O5" s="92"/>
      <c r="P5" s="92"/>
      <c r="Q5" s="92"/>
      <c r="R5" s="92"/>
      <c r="S5" s="92"/>
    </row>
    <row r="6" spans="1:19" ht="15" customHeight="1" x14ac:dyDescent="0.2">
      <c r="A6" s="92"/>
      <c r="B6" s="92"/>
      <c r="C6" s="92"/>
      <c r="D6" s="92"/>
      <c r="E6" s="92"/>
      <c r="F6" s="92"/>
      <c r="G6" s="92"/>
      <c r="H6" s="92"/>
      <c r="I6" s="92"/>
      <c r="J6" s="92"/>
      <c r="K6" s="92"/>
      <c r="L6" s="92"/>
      <c r="M6" s="92"/>
      <c r="N6" s="92"/>
      <c r="O6" s="92"/>
      <c r="P6" s="92"/>
      <c r="Q6" s="92"/>
      <c r="R6" s="92"/>
      <c r="S6" s="92"/>
    </row>
    <row r="7" spans="1:19" ht="15" customHeight="1" x14ac:dyDescent="0.2">
      <c r="A7" s="92"/>
      <c r="B7" s="92"/>
      <c r="C7" s="92"/>
      <c r="D7" s="92"/>
      <c r="E7" s="92"/>
      <c r="F7" s="92"/>
      <c r="G7" s="92"/>
      <c r="H7" s="92"/>
      <c r="I7" s="92"/>
      <c r="J7" s="92"/>
      <c r="K7" s="92"/>
      <c r="L7" s="92"/>
      <c r="M7" s="92"/>
      <c r="N7" s="92"/>
      <c r="O7" s="92"/>
      <c r="P7" s="92"/>
      <c r="Q7" s="92"/>
      <c r="R7" s="92"/>
      <c r="S7" s="92"/>
    </row>
    <row r="8" spans="1:19" ht="15" customHeight="1" x14ac:dyDescent="0.2">
      <c r="A8" s="92"/>
      <c r="B8" s="92"/>
      <c r="C8" s="92"/>
      <c r="D8" s="92"/>
      <c r="E8" s="92"/>
      <c r="F8" s="92"/>
      <c r="G8" s="92"/>
      <c r="H8" s="92"/>
      <c r="I8" s="92"/>
      <c r="J8" s="92"/>
      <c r="K8" s="92"/>
      <c r="L8" s="92"/>
      <c r="M8" s="92"/>
      <c r="N8" s="92"/>
      <c r="O8" s="92"/>
      <c r="P8" s="92"/>
      <c r="Q8" s="92"/>
      <c r="R8" s="92"/>
      <c r="S8" s="92"/>
    </row>
    <row r="9" spans="1:19" ht="15" customHeight="1" x14ac:dyDescent="0.2">
      <c r="A9" s="92"/>
      <c r="B9" s="92"/>
      <c r="C9" s="92"/>
      <c r="D9" s="92"/>
      <c r="E9" s="92"/>
      <c r="F9" s="92"/>
      <c r="G9" s="92"/>
      <c r="H9" s="92"/>
      <c r="I9" s="92"/>
      <c r="J9" s="92"/>
      <c r="K9" s="92"/>
      <c r="L9" s="92"/>
      <c r="M9" s="92"/>
      <c r="N9" s="92"/>
      <c r="O9" s="92"/>
      <c r="P9" s="92"/>
      <c r="Q9" s="92"/>
      <c r="R9" s="92"/>
      <c r="S9" s="92"/>
    </row>
    <row r="10" spans="1:19" ht="15" customHeight="1" x14ac:dyDescent="0.2">
      <c r="A10" s="92"/>
      <c r="B10" s="92"/>
      <c r="C10" s="92"/>
      <c r="D10" s="92"/>
      <c r="E10" s="92"/>
      <c r="F10" s="92"/>
      <c r="G10" s="92"/>
      <c r="H10" s="92"/>
      <c r="I10" s="92"/>
      <c r="J10" s="92"/>
      <c r="K10" s="92"/>
      <c r="L10" s="92"/>
      <c r="M10" s="92"/>
      <c r="N10" s="92"/>
      <c r="O10" s="92"/>
      <c r="P10" s="92"/>
      <c r="Q10" s="92"/>
      <c r="R10" s="92"/>
      <c r="S10" s="92"/>
    </row>
    <row r="11" spans="1:19" ht="15" customHeight="1" x14ac:dyDescent="0.2">
      <c r="A11" s="92"/>
      <c r="B11" s="92"/>
      <c r="C11" s="92"/>
      <c r="D11" s="92"/>
      <c r="E11" s="92"/>
      <c r="F11" s="92"/>
      <c r="G11" s="92"/>
      <c r="H11" s="92"/>
      <c r="I11" s="92"/>
      <c r="J11" s="92"/>
      <c r="K11" s="92"/>
      <c r="L11" s="92"/>
      <c r="M11" s="92"/>
      <c r="N11" s="92"/>
      <c r="O11" s="92"/>
      <c r="P11" s="92"/>
      <c r="Q11" s="92"/>
      <c r="R11" s="92"/>
      <c r="S11" s="92"/>
    </row>
    <row r="12" spans="1:19" ht="15" customHeight="1" x14ac:dyDescent="0.2">
      <c r="A12" s="174"/>
      <c r="B12" s="174"/>
      <c r="C12" s="174"/>
      <c r="D12" s="174"/>
      <c r="E12" s="174"/>
      <c r="F12" s="174"/>
      <c r="G12" s="174"/>
      <c r="H12" s="174"/>
      <c r="I12" s="174"/>
      <c r="J12" s="174"/>
      <c r="K12" s="174"/>
      <c r="L12" s="174"/>
      <c r="M12" s="174"/>
      <c r="N12" s="174"/>
      <c r="O12" s="174"/>
      <c r="P12" s="175"/>
      <c r="Q12" s="174"/>
      <c r="R12" s="174"/>
      <c r="S12" s="92"/>
    </row>
    <row r="13" spans="1:19" ht="15" customHeight="1" x14ac:dyDescent="0.2">
      <c r="A13" s="174"/>
      <c r="B13" s="174"/>
      <c r="C13" s="174"/>
      <c r="D13" s="174"/>
      <c r="E13" s="174"/>
      <c r="F13" s="174"/>
      <c r="G13" s="174"/>
      <c r="H13" s="174"/>
      <c r="I13" s="174"/>
      <c r="J13" s="174"/>
      <c r="K13" s="174"/>
      <c r="L13" s="174"/>
      <c r="M13" s="174"/>
      <c r="N13" s="174"/>
      <c r="O13" s="174"/>
      <c r="P13" s="175"/>
      <c r="Q13" s="174"/>
      <c r="R13" s="174"/>
      <c r="S13" s="92"/>
    </row>
    <row r="14" spans="1:19" x14ac:dyDescent="0.2">
      <c r="A14" s="191"/>
      <c r="B14" s="191"/>
      <c r="C14" s="191"/>
      <c r="D14" s="191"/>
      <c r="E14" s="191"/>
      <c r="F14" s="191"/>
      <c r="G14" s="191"/>
      <c r="H14" s="191"/>
      <c r="I14" s="191"/>
      <c r="J14" s="191"/>
      <c r="K14" s="191"/>
      <c r="L14" s="191"/>
      <c r="M14" s="191"/>
      <c r="N14" s="191"/>
      <c r="O14" s="191"/>
      <c r="P14" s="192"/>
      <c r="Q14" s="191"/>
      <c r="R14" s="191"/>
      <c r="S14" s="182"/>
    </row>
    <row r="15" spans="1:19" x14ac:dyDescent="0.2">
      <c r="A15" s="174"/>
      <c r="B15" s="174"/>
      <c r="C15" s="174"/>
      <c r="D15" s="174"/>
      <c r="E15" s="174"/>
      <c r="F15" s="174"/>
      <c r="G15" s="174"/>
      <c r="H15" s="174"/>
      <c r="I15" s="174"/>
      <c r="J15" s="174"/>
      <c r="K15" s="174"/>
      <c r="L15" s="174"/>
      <c r="M15" s="174"/>
      <c r="N15" s="174"/>
      <c r="O15" s="174"/>
      <c r="P15" s="175"/>
      <c r="Q15" s="174"/>
      <c r="R15" s="174"/>
      <c r="S15" s="92"/>
    </row>
    <row r="16" spans="1:19" ht="15" customHeight="1" x14ac:dyDescent="0.2">
      <c r="A16" s="174"/>
      <c r="B16" s="174"/>
      <c r="C16" s="174"/>
      <c r="D16" s="174"/>
      <c r="E16" s="174"/>
      <c r="F16" s="174"/>
      <c r="G16" s="174"/>
      <c r="H16" s="174"/>
      <c r="I16" s="174"/>
      <c r="J16" s="174"/>
      <c r="K16" s="174"/>
      <c r="L16" s="174"/>
      <c r="M16" s="174"/>
      <c r="N16" s="174"/>
      <c r="O16" s="174"/>
      <c r="P16" s="175"/>
      <c r="Q16" s="174"/>
      <c r="R16" s="174"/>
      <c r="S16" s="92"/>
    </row>
    <row r="17" spans="1:19" ht="15" customHeight="1" x14ac:dyDescent="0.2">
      <c r="A17" s="174"/>
      <c r="B17" s="174"/>
      <c r="C17" s="174"/>
      <c r="D17" s="174"/>
      <c r="E17" s="174"/>
      <c r="F17" s="174"/>
      <c r="G17" s="174"/>
      <c r="H17" s="174"/>
      <c r="I17" s="174"/>
      <c r="J17" s="174"/>
      <c r="K17" s="174"/>
      <c r="L17" s="174"/>
      <c r="M17" s="174"/>
      <c r="N17" s="174"/>
      <c r="O17" s="174"/>
      <c r="P17" s="175"/>
      <c r="Q17" s="174"/>
      <c r="R17" s="174"/>
      <c r="S17" s="92"/>
    </row>
    <row r="18" spans="1:19" ht="15" customHeight="1" x14ac:dyDescent="0.2">
      <c r="A18" s="92"/>
      <c r="B18" s="92"/>
      <c r="C18" s="92"/>
      <c r="D18" s="92"/>
      <c r="E18" s="92"/>
      <c r="F18" s="92"/>
      <c r="G18" s="92"/>
      <c r="H18" s="92"/>
      <c r="I18" s="92"/>
      <c r="J18" s="92"/>
      <c r="K18" s="92"/>
      <c r="L18" s="92"/>
      <c r="M18" s="92"/>
      <c r="N18" s="92"/>
      <c r="O18" s="92"/>
      <c r="P18" s="92"/>
      <c r="Q18" s="92"/>
      <c r="R18" s="92"/>
      <c r="S18" s="113"/>
    </row>
    <row r="19" spans="1:19" ht="15" customHeight="1" x14ac:dyDescent="0.2">
      <c r="A19" s="92"/>
      <c r="B19" s="92"/>
      <c r="C19" s="92"/>
      <c r="D19" s="92"/>
      <c r="E19" s="92"/>
      <c r="F19" s="92"/>
      <c r="G19" s="92"/>
      <c r="H19" s="92"/>
      <c r="I19" s="92"/>
      <c r="J19" s="92"/>
      <c r="K19" s="92"/>
      <c r="L19" s="92"/>
      <c r="M19" s="92"/>
      <c r="N19" s="92"/>
      <c r="O19" s="92"/>
      <c r="P19" s="92"/>
      <c r="Q19" s="92"/>
      <c r="R19" s="92"/>
      <c r="S19" s="113"/>
    </row>
    <row r="20" spans="1:19" x14ac:dyDescent="0.2">
      <c r="A20" s="92"/>
      <c r="B20" s="92"/>
      <c r="C20" s="92"/>
      <c r="D20" s="92"/>
      <c r="E20" s="92"/>
      <c r="F20" s="92"/>
      <c r="G20" s="92"/>
      <c r="H20" s="92"/>
      <c r="I20" s="92"/>
      <c r="J20" s="92"/>
      <c r="K20" s="92"/>
      <c r="L20" s="92"/>
      <c r="M20" s="92"/>
      <c r="N20" s="92"/>
      <c r="O20" s="92"/>
      <c r="P20" s="92"/>
      <c r="Q20" s="92"/>
      <c r="R20" s="92"/>
      <c r="S20" s="113"/>
    </row>
    <row r="21" spans="1:19" x14ac:dyDescent="0.2">
      <c r="A21" s="92"/>
      <c r="B21" s="92"/>
      <c r="C21" s="92"/>
      <c r="D21" s="92"/>
      <c r="E21" s="92"/>
      <c r="F21" s="92"/>
      <c r="G21" s="92"/>
      <c r="H21" s="92"/>
      <c r="I21" s="92"/>
      <c r="J21" s="92"/>
      <c r="K21" s="92"/>
      <c r="L21" s="92"/>
      <c r="M21" s="92"/>
      <c r="N21" s="92"/>
      <c r="O21" s="92"/>
      <c r="P21" s="92"/>
      <c r="Q21" s="92"/>
      <c r="R21" s="92"/>
      <c r="S21" s="113"/>
    </row>
    <row r="22" spans="1:19" x14ac:dyDescent="0.2">
      <c r="A22" s="92"/>
      <c r="B22" s="92"/>
      <c r="C22" s="92"/>
      <c r="D22" s="92"/>
      <c r="E22" s="92"/>
      <c r="F22" s="92"/>
      <c r="G22" s="92"/>
      <c r="H22" s="92"/>
      <c r="I22" s="92"/>
      <c r="J22" s="92"/>
      <c r="K22" s="92"/>
      <c r="L22" s="92"/>
      <c r="M22" s="92"/>
      <c r="N22" s="92"/>
      <c r="O22" s="92"/>
      <c r="P22" s="92"/>
      <c r="Q22" s="92"/>
      <c r="R22" s="92"/>
      <c r="S22" s="113"/>
    </row>
    <row r="23" spans="1:19" x14ac:dyDescent="0.2">
      <c r="A23" s="92"/>
      <c r="B23" s="92"/>
      <c r="C23" s="92"/>
      <c r="D23" s="92"/>
      <c r="E23" s="92"/>
      <c r="F23" s="92"/>
      <c r="G23" s="92"/>
      <c r="H23" s="92"/>
      <c r="I23" s="92"/>
      <c r="J23" s="92"/>
      <c r="K23" s="92"/>
      <c r="L23" s="92"/>
      <c r="M23" s="92"/>
      <c r="N23" s="92"/>
      <c r="O23" s="92"/>
      <c r="P23" s="92"/>
      <c r="Q23" s="92"/>
      <c r="R23" s="92"/>
      <c r="S23" s="113"/>
    </row>
    <row r="24" spans="1:19" x14ac:dyDescent="0.2">
      <c r="A24" s="92"/>
      <c r="B24" s="92"/>
      <c r="C24" s="92"/>
      <c r="D24" s="92"/>
      <c r="E24" s="92"/>
      <c r="F24" s="92"/>
      <c r="G24" s="92"/>
      <c r="H24" s="92"/>
      <c r="I24" s="92"/>
      <c r="J24" s="92"/>
      <c r="K24" s="92"/>
      <c r="L24" s="92"/>
      <c r="M24" s="92"/>
      <c r="N24" s="92"/>
      <c r="O24" s="92"/>
      <c r="P24" s="92"/>
      <c r="Q24" s="92"/>
      <c r="R24" s="92"/>
      <c r="S24" s="113"/>
    </row>
    <row r="25" spans="1:19" x14ac:dyDescent="0.2">
      <c r="A25" s="92"/>
      <c r="B25" s="92"/>
      <c r="C25" s="92"/>
      <c r="D25" s="92"/>
      <c r="E25" s="92"/>
      <c r="F25" s="92"/>
      <c r="G25" s="92"/>
      <c r="H25" s="92"/>
      <c r="I25" s="92"/>
      <c r="J25" s="92"/>
      <c r="K25" s="92"/>
      <c r="L25" s="92"/>
      <c r="M25" s="92"/>
      <c r="N25" s="92"/>
      <c r="O25" s="92"/>
      <c r="P25" s="92"/>
      <c r="Q25" s="92"/>
      <c r="R25" s="92"/>
      <c r="S25" s="113"/>
    </row>
    <row r="26" spans="1:19" x14ac:dyDescent="0.2">
      <c r="A26" s="113"/>
      <c r="B26" s="113"/>
      <c r="C26" s="113"/>
      <c r="D26" s="113"/>
      <c r="E26" s="113"/>
      <c r="F26" s="113"/>
      <c r="G26" s="113"/>
      <c r="H26" s="113"/>
      <c r="I26" s="113"/>
      <c r="J26" s="113"/>
      <c r="K26" s="113"/>
      <c r="L26" s="113"/>
      <c r="M26" s="113"/>
      <c r="N26" s="113"/>
      <c r="O26" s="113"/>
      <c r="P26" s="113"/>
      <c r="Q26" s="113"/>
      <c r="R26" s="113"/>
      <c r="S26" s="113"/>
    </row>
    <row r="27" spans="1:19" x14ac:dyDescent="0.2">
      <c r="A27" s="113"/>
      <c r="B27" s="113"/>
      <c r="C27" s="113"/>
      <c r="D27" s="113"/>
      <c r="E27" s="113"/>
      <c r="F27" s="113"/>
      <c r="G27" s="113"/>
      <c r="H27" s="113"/>
      <c r="I27" s="113"/>
      <c r="J27" s="113"/>
      <c r="K27" s="113"/>
      <c r="L27" s="113"/>
      <c r="M27" s="113"/>
      <c r="N27" s="113"/>
      <c r="O27" s="113"/>
      <c r="P27" s="113"/>
      <c r="Q27" s="113"/>
      <c r="R27" s="113"/>
      <c r="S27" s="113"/>
    </row>
    <row r="28" spans="1:19" x14ac:dyDescent="0.2">
      <c r="A28" s="113"/>
      <c r="B28" s="113"/>
      <c r="C28" s="113"/>
      <c r="D28" s="113"/>
      <c r="E28" s="113"/>
      <c r="F28" s="113"/>
      <c r="G28" s="113"/>
      <c r="H28" s="113"/>
      <c r="I28" s="113"/>
      <c r="J28" s="113"/>
      <c r="K28" s="113"/>
      <c r="L28" s="113"/>
      <c r="M28" s="113"/>
      <c r="N28" s="113"/>
      <c r="O28" s="113"/>
      <c r="P28" s="113"/>
      <c r="Q28" s="113"/>
      <c r="R28" s="113"/>
      <c r="S28" s="113"/>
    </row>
    <row r="29" spans="1:19" x14ac:dyDescent="0.2">
      <c r="A29" s="113"/>
      <c r="B29" s="113"/>
      <c r="C29" s="113"/>
      <c r="D29" s="113"/>
      <c r="E29" s="113"/>
      <c r="F29" s="113"/>
      <c r="G29" s="113"/>
      <c r="H29" s="113"/>
      <c r="I29" s="113"/>
      <c r="J29" s="113"/>
      <c r="K29" s="113"/>
      <c r="L29" s="113"/>
      <c r="M29" s="113"/>
      <c r="N29" s="113"/>
      <c r="O29" s="113"/>
      <c r="P29" s="113"/>
      <c r="Q29" s="113"/>
      <c r="R29" s="113"/>
      <c r="S29" s="113"/>
    </row>
    <row r="30" spans="1:19" x14ac:dyDescent="0.2">
      <c r="A30" s="113"/>
      <c r="B30" s="113"/>
      <c r="C30" s="113"/>
      <c r="D30" s="113"/>
      <c r="E30" s="113"/>
      <c r="F30" s="113"/>
      <c r="G30" s="113"/>
      <c r="H30" s="113"/>
      <c r="I30" s="113"/>
      <c r="J30" s="113"/>
      <c r="K30" s="113"/>
      <c r="L30" s="113"/>
      <c r="M30" s="113"/>
      <c r="N30" s="113"/>
      <c r="O30" s="113"/>
      <c r="P30" s="113"/>
      <c r="Q30" s="113"/>
      <c r="R30" s="113"/>
      <c r="S30" s="113"/>
    </row>
    <row r="31" spans="1:19" x14ac:dyDescent="0.2">
      <c r="A31" s="113"/>
      <c r="B31" s="113"/>
      <c r="C31" s="113"/>
      <c r="D31" s="113"/>
      <c r="E31" s="113"/>
      <c r="F31" s="113"/>
      <c r="G31" s="113"/>
      <c r="H31" s="113"/>
      <c r="I31" s="113"/>
      <c r="J31" s="113"/>
      <c r="K31" s="113"/>
      <c r="L31" s="113"/>
      <c r="M31" s="113"/>
      <c r="N31" s="113"/>
      <c r="O31" s="113"/>
      <c r="P31" s="113"/>
      <c r="Q31" s="113"/>
      <c r="R31" s="113"/>
      <c r="S31" s="113"/>
    </row>
    <row r="32" spans="1:19" x14ac:dyDescent="0.2">
      <c r="A32" s="113"/>
      <c r="B32" s="113"/>
      <c r="C32" s="113"/>
      <c r="D32" s="113"/>
      <c r="E32" s="113"/>
      <c r="F32" s="113"/>
      <c r="G32" s="113"/>
      <c r="H32" s="113"/>
      <c r="I32" s="113"/>
      <c r="J32" s="113"/>
      <c r="K32" s="113"/>
      <c r="L32" s="113"/>
      <c r="M32" s="113"/>
      <c r="N32" s="113"/>
      <c r="O32" s="113"/>
      <c r="P32" s="113"/>
      <c r="Q32" s="113"/>
      <c r="R32" s="113"/>
      <c r="S32" s="113"/>
    </row>
    <row r="33" spans="1:19" x14ac:dyDescent="0.2">
      <c r="A33" s="113"/>
      <c r="B33" s="113"/>
      <c r="C33" s="113"/>
      <c r="D33" s="113"/>
      <c r="E33" s="113"/>
      <c r="F33" s="113"/>
      <c r="G33" s="113"/>
      <c r="H33" s="113"/>
      <c r="I33" s="113"/>
      <c r="J33" s="113"/>
      <c r="K33" s="113"/>
      <c r="L33" s="113"/>
      <c r="M33" s="113"/>
      <c r="N33" s="113"/>
      <c r="O33" s="113"/>
      <c r="P33" s="113"/>
      <c r="Q33" s="113"/>
      <c r="R33" s="113"/>
      <c r="S33" s="113"/>
    </row>
    <row r="34" spans="1:19" x14ac:dyDescent="0.2">
      <c r="A34" s="113"/>
      <c r="B34" s="113"/>
      <c r="C34" s="113"/>
      <c r="D34" s="113"/>
      <c r="E34" s="113"/>
      <c r="F34" s="113"/>
      <c r="G34" s="113"/>
      <c r="H34" s="113"/>
      <c r="I34" s="113"/>
      <c r="J34" s="113"/>
      <c r="K34" s="113"/>
      <c r="L34" s="113"/>
      <c r="M34" s="113"/>
      <c r="N34" s="113"/>
      <c r="O34" s="113"/>
      <c r="P34" s="113"/>
      <c r="Q34" s="113"/>
      <c r="R34" s="113"/>
      <c r="S34" s="113"/>
    </row>
    <row r="35" spans="1:19" x14ac:dyDescent="0.2">
      <c r="A35" s="113"/>
      <c r="B35" s="113"/>
      <c r="C35" s="113"/>
      <c r="D35" s="113"/>
      <c r="E35" s="113"/>
      <c r="F35" s="113"/>
      <c r="G35" s="113"/>
      <c r="H35" s="113"/>
      <c r="I35" s="113"/>
      <c r="J35" s="113"/>
      <c r="K35" s="113"/>
      <c r="L35" s="113"/>
      <c r="M35" s="113"/>
      <c r="N35" s="113"/>
      <c r="O35" s="113"/>
      <c r="P35" s="113"/>
      <c r="Q35" s="113"/>
      <c r="R35" s="113"/>
      <c r="S35" s="113"/>
    </row>
    <row r="36" spans="1:19" x14ac:dyDescent="0.2">
      <c r="A36" s="113"/>
      <c r="B36" s="113"/>
      <c r="C36" s="113"/>
      <c r="D36" s="113"/>
      <c r="E36" s="113"/>
      <c r="F36" s="113"/>
      <c r="G36" s="113"/>
      <c r="H36" s="113"/>
      <c r="I36" s="113"/>
      <c r="J36" s="113"/>
      <c r="K36" s="113"/>
      <c r="L36" s="113"/>
      <c r="M36" s="113"/>
      <c r="N36" s="113"/>
      <c r="O36" s="113"/>
      <c r="P36" s="113"/>
      <c r="Q36" s="113"/>
      <c r="R36" s="113"/>
      <c r="S36" s="113"/>
    </row>
    <row r="37" spans="1:19" x14ac:dyDescent="0.2">
      <c r="A37" s="88"/>
      <c r="B37" s="88"/>
      <c r="C37" s="88"/>
      <c r="D37" s="88"/>
      <c r="E37" s="88"/>
      <c r="F37" s="88"/>
      <c r="G37" s="88"/>
      <c r="H37" s="88"/>
      <c r="I37" s="88"/>
      <c r="J37" s="88"/>
      <c r="K37" s="88"/>
      <c r="L37" s="88"/>
      <c r="M37" s="88"/>
      <c r="N37" s="88"/>
      <c r="O37" s="88"/>
      <c r="P37" s="88"/>
      <c r="Q37" s="88"/>
      <c r="R37" s="88"/>
      <c r="S37" s="88"/>
    </row>
    <row r="38" spans="1:19" x14ac:dyDescent="0.2">
      <c r="A38" s="88"/>
      <c r="B38" s="88"/>
      <c r="C38" s="88"/>
      <c r="D38" s="88"/>
      <c r="E38" s="88"/>
      <c r="F38" s="88"/>
      <c r="G38" s="88"/>
      <c r="H38" s="88"/>
      <c r="I38" s="88"/>
      <c r="J38" s="88"/>
      <c r="K38" s="88"/>
      <c r="L38" s="88"/>
      <c r="M38" s="88"/>
      <c r="N38" s="88"/>
      <c r="O38" s="88"/>
      <c r="P38" s="88"/>
      <c r="Q38" s="88"/>
      <c r="R38" s="88"/>
      <c r="S38" s="88"/>
    </row>
    <row r="39" spans="1:19" x14ac:dyDescent="0.2">
      <c r="A39" s="88"/>
      <c r="B39" s="88"/>
      <c r="C39" s="88"/>
      <c r="D39" s="88"/>
      <c r="E39" s="88"/>
      <c r="F39" s="88"/>
      <c r="G39" s="88"/>
      <c r="H39" s="88"/>
      <c r="I39" s="88"/>
      <c r="J39" s="88"/>
      <c r="K39" s="88"/>
      <c r="L39" s="88"/>
      <c r="M39" s="88"/>
      <c r="N39" s="88"/>
      <c r="O39" s="88"/>
      <c r="P39" s="88"/>
      <c r="Q39" s="88"/>
      <c r="R39" s="88"/>
      <c r="S39" s="88"/>
    </row>
    <row r="40" spans="1:19" x14ac:dyDescent="0.2">
      <c r="A40" s="88"/>
      <c r="B40" s="88"/>
      <c r="C40" s="88"/>
      <c r="D40" s="88"/>
      <c r="E40" s="88"/>
      <c r="F40" s="88"/>
      <c r="G40" s="88"/>
      <c r="H40" s="88"/>
      <c r="I40" s="88"/>
      <c r="J40" s="88"/>
      <c r="K40" s="88"/>
      <c r="L40" s="88"/>
      <c r="M40" s="88"/>
      <c r="N40" s="88"/>
      <c r="O40" s="88"/>
      <c r="P40" s="88"/>
      <c r="Q40" s="88"/>
      <c r="R40" s="88"/>
      <c r="S40" s="88"/>
    </row>
    <row r="41" spans="1:19" x14ac:dyDescent="0.2">
      <c r="A41" s="88"/>
      <c r="B41" s="88"/>
      <c r="C41" s="88"/>
      <c r="D41" s="88"/>
      <c r="E41" s="88"/>
      <c r="F41" s="88"/>
      <c r="G41" s="88"/>
      <c r="H41" s="88"/>
      <c r="I41" s="88"/>
      <c r="J41" s="88"/>
      <c r="K41" s="88"/>
      <c r="L41" s="88"/>
      <c r="M41" s="88"/>
      <c r="N41" s="88"/>
      <c r="O41" s="88"/>
      <c r="P41" s="88"/>
      <c r="Q41" s="88"/>
      <c r="R41" s="88"/>
      <c r="S41" s="88"/>
    </row>
    <row r="42" spans="1:19" x14ac:dyDescent="0.2">
      <c r="A42" s="88"/>
      <c r="B42" s="165"/>
      <c r="C42" s="88"/>
      <c r="D42" s="88"/>
      <c r="E42" s="88"/>
      <c r="F42" s="88"/>
      <c r="G42" s="88"/>
      <c r="H42" s="88"/>
      <c r="I42" s="88"/>
      <c r="J42" s="88"/>
      <c r="K42" s="88"/>
      <c r="L42" s="88"/>
      <c r="M42" s="88"/>
      <c r="N42" s="88"/>
      <c r="O42" s="88"/>
      <c r="P42" s="88"/>
      <c r="Q42" s="88"/>
      <c r="R42" s="88"/>
      <c r="S42" s="88"/>
    </row>
    <row r="43" spans="1:19" x14ac:dyDescent="0.2">
      <c r="A43" s="88"/>
      <c r="B43" s="88"/>
      <c r="C43" s="88"/>
      <c r="D43" s="88"/>
      <c r="E43" s="88"/>
      <c r="F43" s="88"/>
      <c r="G43" s="88"/>
      <c r="H43" s="88"/>
      <c r="I43" s="88"/>
      <c r="J43" s="88"/>
      <c r="K43" s="88"/>
      <c r="L43" s="88"/>
      <c r="M43" s="88"/>
      <c r="N43" s="88"/>
      <c r="O43" s="88"/>
      <c r="P43" s="88"/>
      <c r="Q43" s="88"/>
      <c r="R43" s="88"/>
      <c r="S43" s="88"/>
    </row>
    <row r="44" spans="1:19" x14ac:dyDescent="0.2">
      <c r="A44" s="88"/>
      <c r="B44" s="88"/>
      <c r="C44" s="88"/>
      <c r="D44" s="88"/>
      <c r="E44" s="88"/>
      <c r="F44" s="88"/>
      <c r="G44" s="88"/>
      <c r="H44" s="88"/>
      <c r="I44" s="88"/>
      <c r="J44" s="88"/>
      <c r="K44" s="88"/>
      <c r="L44" s="88"/>
      <c r="M44" s="88"/>
      <c r="N44" s="88"/>
      <c r="O44" s="88"/>
      <c r="P44" s="88"/>
      <c r="Q44" s="88"/>
      <c r="R44" s="88"/>
      <c r="S44" s="88"/>
    </row>
    <row r="45" spans="1:19" x14ac:dyDescent="0.2">
      <c r="A45" s="88"/>
      <c r="B45" s="88"/>
      <c r="C45" s="88"/>
      <c r="D45" s="88"/>
      <c r="E45" s="88"/>
      <c r="F45" s="88"/>
      <c r="G45" s="88"/>
      <c r="H45" s="88"/>
      <c r="I45" s="88"/>
      <c r="J45" s="88"/>
      <c r="K45" s="88"/>
      <c r="L45" s="88"/>
      <c r="M45" s="88"/>
      <c r="N45" s="88"/>
      <c r="O45" s="88"/>
      <c r="P45" s="88"/>
      <c r="Q45" s="88"/>
      <c r="R45" s="88"/>
      <c r="S45" s="88"/>
    </row>
    <row r="46" spans="1:19" x14ac:dyDescent="0.2">
      <c r="A46" s="88"/>
      <c r="B46" s="88"/>
      <c r="C46" s="88"/>
      <c r="D46" s="88"/>
      <c r="E46" s="88"/>
      <c r="F46" s="88"/>
      <c r="G46" s="88"/>
      <c r="H46" s="88"/>
      <c r="I46" s="88"/>
      <c r="J46" s="88"/>
      <c r="K46" s="88"/>
      <c r="L46" s="88"/>
      <c r="M46" s="88"/>
      <c r="N46" s="88"/>
      <c r="O46" s="88"/>
      <c r="P46" s="88"/>
      <c r="Q46" s="88"/>
      <c r="R46" s="88"/>
      <c r="S46" s="88"/>
    </row>
    <row r="47" spans="1:19" x14ac:dyDescent="0.2">
      <c r="A47" s="88" t="s">
        <v>3219</v>
      </c>
      <c r="B47" s="88" t="s">
        <v>3220</v>
      </c>
      <c r="C47" s="88" t="s">
        <v>172</v>
      </c>
      <c r="D47" s="88">
        <v>5400245426</v>
      </c>
      <c r="E47" s="88" t="s">
        <v>3221</v>
      </c>
      <c r="F47" s="88" t="s">
        <v>3222</v>
      </c>
      <c r="G47" s="88" t="s">
        <v>3223</v>
      </c>
      <c r="H47" s="88" t="s">
        <v>3212</v>
      </c>
      <c r="I47" s="88"/>
      <c r="J47" s="88"/>
      <c r="K47" s="88"/>
      <c r="L47" s="88"/>
      <c r="M47" s="88"/>
      <c r="N47" s="88"/>
      <c r="O47" s="88"/>
      <c r="P47" s="88"/>
      <c r="Q47" s="88"/>
      <c r="R47" s="88"/>
      <c r="S47" s="88" t="s">
        <v>176</v>
      </c>
    </row>
    <row r="48" spans="1:19" x14ac:dyDescent="0.2">
      <c r="A48" s="88" t="s">
        <v>3224</v>
      </c>
      <c r="B48" s="88" t="s">
        <v>3225</v>
      </c>
      <c r="C48" s="88" t="s">
        <v>172</v>
      </c>
      <c r="D48" s="88" t="s">
        <v>3211</v>
      </c>
      <c r="E48" s="88" t="s">
        <v>3226</v>
      </c>
      <c r="F48" s="88">
        <v>2100</v>
      </c>
      <c r="G48" s="88" t="s">
        <v>3227</v>
      </c>
      <c r="H48" s="88" t="s">
        <v>3212</v>
      </c>
      <c r="I48" s="88"/>
      <c r="J48" s="88"/>
      <c r="K48" s="88"/>
      <c r="L48" s="88"/>
      <c r="M48" s="88"/>
      <c r="N48" s="88"/>
      <c r="O48" s="88"/>
      <c r="P48" s="88"/>
      <c r="Q48" s="88"/>
      <c r="R48" s="88"/>
      <c r="S48" s="88" t="s">
        <v>69</v>
      </c>
    </row>
    <row r="49" spans="1:19" x14ac:dyDescent="0.2">
      <c r="A49" s="88" t="s">
        <v>177</v>
      </c>
      <c r="B49" s="88" t="s">
        <v>178</v>
      </c>
      <c r="C49" s="88" t="s">
        <v>183</v>
      </c>
      <c r="D49" s="88">
        <v>5400263664</v>
      </c>
      <c r="E49" s="88" t="s">
        <v>3228</v>
      </c>
      <c r="F49" s="88">
        <v>1800</v>
      </c>
      <c r="G49" s="88" t="s">
        <v>170</v>
      </c>
      <c r="H49" s="88" t="s">
        <v>3212</v>
      </c>
      <c r="I49" s="88"/>
      <c r="J49" s="88"/>
      <c r="K49" s="88"/>
      <c r="L49" s="88"/>
      <c r="M49" s="88"/>
      <c r="N49" s="88"/>
      <c r="O49" s="88"/>
      <c r="P49" s="88"/>
      <c r="Q49" s="88"/>
      <c r="R49" s="88"/>
      <c r="S49" s="88" t="s">
        <v>69</v>
      </c>
    </row>
    <row r="50" spans="1:19" x14ac:dyDescent="0.2">
      <c r="A50" s="88" t="s">
        <v>3229</v>
      </c>
      <c r="B50" s="88" t="s">
        <v>3230</v>
      </c>
      <c r="C50" s="88" t="s">
        <v>3206</v>
      </c>
      <c r="D50" s="88">
        <v>5400263368</v>
      </c>
      <c r="E50" s="88" t="s">
        <v>3231</v>
      </c>
      <c r="F50" s="88" t="s">
        <v>184</v>
      </c>
      <c r="G50" s="88" t="s">
        <v>3213</v>
      </c>
      <c r="H50" s="88" t="s">
        <v>3214</v>
      </c>
      <c r="I50" s="88"/>
      <c r="J50" s="88"/>
      <c r="K50" s="88"/>
      <c r="L50" s="88"/>
      <c r="M50" s="88"/>
      <c r="N50" s="88"/>
      <c r="O50" s="88"/>
      <c r="P50" s="88"/>
      <c r="Q50" s="88"/>
      <c r="R50" s="88"/>
      <c r="S50" s="88" t="s">
        <v>176</v>
      </c>
    </row>
    <row r="51" spans="1:19" x14ac:dyDescent="0.2">
      <c r="A51" s="88" t="s">
        <v>180</v>
      </c>
      <c r="B51" s="88" t="s">
        <v>174</v>
      </c>
      <c r="C51" s="88" t="s">
        <v>169</v>
      </c>
      <c r="D51" s="88">
        <v>5400263807</v>
      </c>
      <c r="E51" s="88" t="s">
        <v>3218</v>
      </c>
      <c r="F51" s="88" t="s">
        <v>175</v>
      </c>
      <c r="G51" s="88" t="s">
        <v>185</v>
      </c>
      <c r="H51" s="88" t="s">
        <v>171</v>
      </c>
      <c r="I51" s="88"/>
      <c r="J51" s="88"/>
      <c r="K51" s="88"/>
      <c r="L51" s="88"/>
      <c r="M51" s="88"/>
      <c r="N51" s="88"/>
      <c r="O51" s="88"/>
      <c r="P51" s="88"/>
      <c r="Q51" s="88"/>
      <c r="R51" s="88"/>
      <c r="S51" s="88" t="s">
        <v>176</v>
      </c>
    </row>
    <row r="52" spans="1:19" x14ac:dyDescent="0.2">
      <c r="A52" s="88" t="s">
        <v>3232</v>
      </c>
      <c r="B52" s="88" t="s">
        <v>3233</v>
      </c>
      <c r="C52" s="88" t="s">
        <v>172</v>
      </c>
      <c r="D52" s="88">
        <v>5400264366</v>
      </c>
      <c r="E52" s="88" t="s">
        <v>3234</v>
      </c>
      <c r="F52" s="88" t="s">
        <v>2967</v>
      </c>
      <c r="G52" s="88" t="s">
        <v>3213</v>
      </c>
      <c r="H52" s="88" t="s">
        <v>3214</v>
      </c>
      <c r="I52" s="88"/>
      <c r="J52" s="88"/>
      <c r="K52" s="88"/>
      <c r="L52" s="88"/>
      <c r="M52" s="88"/>
      <c r="N52" s="88"/>
      <c r="O52" s="88"/>
      <c r="P52" s="88"/>
      <c r="Q52" s="88"/>
      <c r="R52" s="88"/>
      <c r="S52" s="88" t="s">
        <v>176</v>
      </c>
    </row>
    <row r="53" spans="1:19" x14ac:dyDescent="0.2">
      <c r="A53" s="88" t="s">
        <v>3235</v>
      </c>
      <c r="B53" s="88" t="s">
        <v>3236</v>
      </c>
      <c r="C53" s="88" t="s">
        <v>3237</v>
      </c>
      <c r="D53" s="88" t="s">
        <v>3215</v>
      </c>
      <c r="E53" s="88" t="s">
        <v>3221</v>
      </c>
      <c r="F53" s="88" t="s">
        <v>3222</v>
      </c>
      <c r="G53" s="88" t="s">
        <v>3223</v>
      </c>
      <c r="H53" s="88" t="s">
        <v>3212</v>
      </c>
      <c r="I53" s="88"/>
      <c r="J53" s="88"/>
      <c r="K53" s="88"/>
      <c r="L53" s="88"/>
      <c r="M53" s="88"/>
      <c r="N53" s="88"/>
      <c r="O53" s="88"/>
      <c r="P53" s="88"/>
      <c r="Q53" s="88"/>
      <c r="R53" s="88"/>
      <c r="S53" s="88" t="s">
        <v>176</v>
      </c>
    </row>
    <row r="54" spans="1:19" x14ac:dyDescent="0.2">
      <c r="A54" s="88" t="s">
        <v>3238</v>
      </c>
      <c r="B54" s="88" t="s">
        <v>3239</v>
      </c>
      <c r="C54" s="88" t="s">
        <v>183</v>
      </c>
      <c r="D54" s="88">
        <v>5400263362</v>
      </c>
      <c r="E54" s="88" t="s">
        <v>3240</v>
      </c>
      <c r="F54" s="88">
        <v>1000</v>
      </c>
      <c r="G54" s="88" t="s">
        <v>3217</v>
      </c>
      <c r="H54" s="88" t="s">
        <v>3216</v>
      </c>
      <c r="I54" s="88"/>
      <c r="J54" s="88"/>
      <c r="K54" s="88"/>
      <c r="L54" s="88"/>
      <c r="M54" s="88"/>
      <c r="N54" s="88"/>
      <c r="O54" s="88"/>
      <c r="P54" s="88"/>
      <c r="Q54" s="88"/>
      <c r="R54" s="88"/>
      <c r="S54" s="88" t="s">
        <v>176</v>
      </c>
    </row>
    <row r="55" spans="1:19" x14ac:dyDescent="0.2">
      <c r="A55" s="88" t="s">
        <v>3241</v>
      </c>
      <c r="B55" s="88" t="s">
        <v>3242</v>
      </c>
      <c r="C55" s="88" t="s">
        <v>3237</v>
      </c>
      <c r="D55" s="88" t="s">
        <v>3211</v>
      </c>
      <c r="E55" s="88" t="s">
        <v>3243</v>
      </c>
      <c r="F55" s="88">
        <v>2100</v>
      </c>
      <c r="G55" s="88" t="s">
        <v>3227</v>
      </c>
      <c r="H55" s="88" t="s">
        <v>3212</v>
      </c>
      <c r="I55" s="88"/>
      <c r="J55" s="88"/>
      <c r="K55" s="88"/>
      <c r="L55" s="88"/>
      <c r="M55" s="88"/>
      <c r="N55" s="88"/>
      <c r="O55" s="88"/>
      <c r="P55" s="88"/>
      <c r="Q55" s="88"/>
      <c r="R55" s="88"/>
      <c r="S55" s="88" t="s">
        <v>176</v>
      </c>
    </row>
    <row r="56" spans="1:19" x14ac:dyDescent="0.2">
      <c r="A56" s="88" t="s">
        <v>3244</v>
      </c>
      <c r="B56" s="88" t="s">
        <v>3245</v>
      </c>
      <c r="C56" s="88" t="s">
        <v>3237</v>
      </c>
      <c r="D56" s="88" t="s">
        <v>3211</v>
      </c>
      <c r="E56" s="88" t="s">
        <v>3246</v>
      </c>
      <c r="F56" s="88" t="s">
        <v>2967</v>
      </c>
      <c r="G56" s="88" t="s">
        <v>3213</v>
      </c>
      <c r="H56" s="88" t="s">
        <v>3212</v>
      </c>
      <c r="I56" s="88"/>
      <c r="J56" s="88"/>
      <c r="K56" s="88"/>
      <c r="L56" s="88"/>
      <c r="M56" s="88"/>
      <c r="N56" s="88"/>
      <c r="O56" s="88"/>
      <c r="P56" s="88"/>
      <c r="Q56" s="88"/>
      <c r="R56" s="88"/>
      <c r="S56" s="88" t="s">
        <v>176</v>
      </c>
    </row>
    <row r="57" spans="1:19" x14ac:dyDescent="0.2">
      <c r="A57" s="88" t="s">
        <v>3247</v>
      </c>
      <c r="B57" s="88" t="s">
        <v>3248</v>
      </c>
      <c r="C57" s="88" t="s">
        <v>169</v>
      </c>
      <c r="D57" s="88">
        <v>5400263638</v>
      </c>
      <c r="E57" s="88" t="s">
        <v>3249</v>
      </c>
      <c r="F57" s="88">
        <v>4400</v>
      </c>
      <c r="G57" s="88" t="s">
        <v>193</v>
      </c>
      <c r="H57" s="88" t="s">
        <v>3191</v>
      </c>
      <c r="I57" s="88"/>
      <c r="J57" s="88"/>
      <c r="K57" s="88"/>
      <c r="L57" s="88"/>
      <c r="M57" s="88"/>
      <c r="N57" s="88"/>
      <c r="O57" s="88"/>
      <c r="P57" s="88"/>
      <c r="Q57" s="88"/>
      <c r="R57" s="88"/>
      <c r="S57" s="88" t="s">
        <v>69</v>
      </c>
    </row>
    <row r="58" spans="1:19" x14ac:dyDescent="0.2">
      <c r="A58" s="88" t="s">
        <v>3250</v>
      </c>
      <c r="B58" s="88" t="s">
        <v>3251</v>
      </c>
      <c r="C58" s="88" t="s">
        <v>169</v>
      </c>
      <c r="D58" s="88">
        <v>5400263638</v>
      </c>
      <c r="E58" s="88" t="s">
        <v>3198</v>
      </c>
      <c r="F58" s="88">
        <v>4400</v>
      </c>
      <c r="G58" s="88" t="s">
        <v>193</v>
      </c>
      <c r="H58" s="88" t="s">
        <v>3191</v>
      </c>
      <c r="I58" s="88"/>
      <c r="J58" s="88"/>
      <c r="K58" s="88"/>
      <c r="L58" s="88"/>
      <c r="M58" s="88"/>
      <c r="N58" s="88"/>
      <c r="O58" s="88"/>
      <c r="P58" s="88"/>
      <c r="Q58" s="88"/>
      <c r="R58" s="88"/>
      <c r="S58" s="88" t="s">
        <v>69</v>
      </c>
    </row>
    <row r="59" spans="1:19" x14ac:dyDescent="0.2">
      <c r="A59" s="88" t="s">
        <v>3252</v>
      </c>
      <c r="B59" s="88" t="s">
        <v>3253</v>
      </c>
      <c r="C59" s="88" t="s">
        <v>169</v>
      </c>
      <c r="D59" s="88">
        <v>5400263638</v>
      </c>
      <c r="E59" s="88" t="s">
        <v>3201</v>
      </c>
      <c r="F59" s="88">
        <v>4400</v>
      </c>
      <c r="G59" s="88" t="s">
        <v>193</v>
      </c>
      <c r="H59" s="88" t="s">
        <v>3191</v>
      </c>
      <c r="I59" s="88"/>
      <c r="J59" s="88"/>
      <c r="K59" s="88"/>
      <c r="L59" s="88"/>
      <c r="M59" s="88"/>
      <c r="N59" s="88"/>
      <c r="O59" s="88"/>
      <c r="P59" s="88"/>
      <c r="Q59" s="88"/>
      <c r="R59" s="88"/>
      <c r="S59" s="88" t="s">
        <v>69</v>
      </c>
    </row>
    <row r="60" spans="1:19" x14ac:dyDescent="0.2">
      <c r="A60" s="88" t="s">
        <v>189</v>
      </c>
      <c r="B60" s="88" t="s">
        <v>190</v>
      </c>
      <c r="C60" s="88" t="s">
        <v>169</v>
      </c>
      <c r="D60" s="88">
        <v>5400264667</v>
      </c>
      <c r="E60" s="88" t="s">
        <v>3254</v>
      </c>
      <c r="F60" s="88">
        <v>1800</v>
      </c>
      <c r="G60" s="88" t="s">
        <v>170</v>
      </c>
      <c r="H60" s="88" t="s">
        <v>171</v>
      </c>
      <c r="I60" s="88"/>
      <c r="J60" s="88"/>
      <c r="K60" s="88"/>
      <c r="L60" s="88"/>
      <c r="M60" s="88"/>
      <c r="N60" s="88"/>
      <c r="O60" s="88"/>
      <c r="P60" s="88"/>
      <c r="Q60" s="88"/>
      <c r="R60" s="88"/>
      <c r="S60" s="88" t="s">
        <v>69</v>
      </c>
    </row>
    <row r="61" spans="1:19" x14ac:dyDescent="0.2">
      <c r="A61" s="88" t="s">
        <v>187</v>
      </c>
      <c r="B61" s="88" t="s">
        <v>188</v>
      </c>
      <c r="C61" s="88" t="s">
        <v>169</v>
      </c>
      <c r="D61" s="88">
        <v>5400263813</v>
      </c>
      <c r="E61" s="88" t="s">
        <v>3255</v>
      </c>
      <c r="F61" s="88">
        <v>200</v>
      </c>
      <c r="G61" s="88" t="s">
        <v>173</v>
      </c>
      <c r="H61" s="88" t="s">
        <v>171</v>
      </c>
      <c r="I61" s="88"/>
      <c r="J61" s="88"/>
      <c r="K61" s="88"/>
      <c r="L61" s="88"/>
      <c r="M61" s="88"/>
      <c r="N61" s="88"/>
      <c r="O61" s="88"/>
      <c r="P61" s="88"/>
      <c r="Q61" s="88"/>
      <c r="R61" s="88"/>
      <c r="S61" s="88" t="s">
        <v>69</v>
      </c>
    </row>
    <row r="62" spans="1:19" x14ac:dyDescent="0.2">
      <c r="A62" s="88" t="s">
        <v>3256</v>
      </c>
      <c r="B62" s="88" t="s">
        <v>3257</v>
      </c>
      <c r="C62" s="88" t="s">
        <v>183</v>
      </c>
      <c r="D62" s="88" t="s">
        <v>3211</v>
      </c>
      <c r="E62" s="88" t="s">
        <v>3258</v>
      </c>
      <c r="F62" s="88">
        <v>500</v>
      </c>
      <c r="G62" s="88" t="s">
        <v>3217</v>
      </c>
      <c r="H62" s="88" t="s">
        <v>3216</v>
      </c>
      <c r="I62" s="88"/>
      <c r="J62" s="88"/>
      <c r="K62" s="88"/>
      <c r="L62" s="88"/>
      <c r="M62" s="88"/>
      <c r="N62" s="88"/>
      <c r="O62" s="88"/>
      <c r="P62" s="88"/>
      <c r="Q62" s="88"/>
      <c r="R62" s="88"/>
      <c r="S62" s="88" t="s">
        <v>69</v>
      </c>
    </row>
    <row r="63" spans="1:19" x14ac:dyDescent="0.2">
      <c r="A63" s="88" t="s">
        <v>196</v>
      </c>
      <c r="B63" s="88" t="s">
        <v>197</v>
      </c>
      <c r="C63" s="88" t="s">
        <v>3206</v>
      </c>
      <c r="D63" s="88">
        <v>5400263809</v>
      </c>
      <c r="E63" s="88" t="s">
        <v>3259</v>
      </c>
      <c r="F63" s="88">
        <v>1000</v>
      </c>
      <c r="G63" s="88" t="s">
        <v>3217</v>
      </c>
      <c r="H63" s="88" t="s">
        <v>171</v>
      </c>
      <c r="I63" s="88"/>
      <c r="J63" s="88"/>
      <c r="K63" s="88"/>
      <c r="L63" s="88"/>
      <c r="M63" s="88"/>
      <c r="N63" s="88"/>
      <c r="O63" s="88"/>
      <c r="P63" s="88"/>
      <c r="Q63" s="88"/>
      <c r="R63" s="88"/>
      <c r="S63" s="88" t="s">
        <v>176</v>
      </c>
    </row>
    <row r="64" spans="1:19" x14ac:dyDescent="0.2">
      <c r="A64" s="88" t="s">
        <v>3286</v>
      </c>
      <c r="B64" s="88" t="s">
        <v>3287</v>
      </c>
      <c r="C64" s="88" t="s">
        <v>169</v>
      </c>
      <c r="D64" s="88">
        <v>5400261992</v>
      </c>
      <c r="E64" s="88" t="s">
        <v>3283</v>
      </c>
      <c r="F64" s="88">
        <v>1800</v>
      </c>
      <c r="G64" s="88" t="s">
        <v>170</v>
      </c>
      <c r="H64" s="88" t="s">
        <v>171</v>
      </c>
      <c r="I64" s="88"/>
      <c r="J64" s="88"/>
      <c r="K64" s="88"/>
      <c r="L64" s="88"/>
      <c r="M64" s="88"/>
      <c r="N64" s="88"/>
      <c r="O64" s="88"/>
      <c r="P64" s="88"/>
      <c r="Q64" s="88"/>
      <c r="R64" s="88"/>
      <c r="S64" s="88" t="s">
        <v>176</v>
      </c>
    </row>
    <row r="65" spans="1:19" x14ac:dyDescent="0.2">
      <c r="A65" s="88" t="s">
        <v>3284</v>
      </c>
      <c r="B65" s="88" t="s">
        <v>3285</v>
      </c>
      <c r="C65" s="88" t="s">
        <v>169</v>
      </c>
      <c r="D65" s="88">
        <v>5400261992</v>
      </c>
      <c r="E65" s="88" t="s">
        <v>3283</v>
      </c>
      <c r="F65" s="88">
        <v>1800</v>
      </c>
      <c r="G65" s="88" t="s">
        <v>170</v>
      </c>
      <c r="H65" s="88" t="s">
        <v>171</v>
      </c>
      <c r="I65" s="88"/>
      <c r="J65" s="88"/>
      <c r="K65" s="88"/>
      <c r="L65" s="88"/>
      <c r="M65" s="88"/>
      <c r="N65" s="88"/>
      <c r="O65" s="88"/>
      <c r="P65" s="88"/>
      <c r="Q65" s="88"/>
      <c r="R65" s="88"/>
      <c r="S65" s="88" t="s">
        <v>176</v>
      </c>
    </row>
    <row r="66" spans="1:19" x14ac:dyDescent="0.2">
      <c r="A66" s="88" t="s">
        <v>3281</v>
      </c>
      <c r="B66" s="88" t="s">
        <v>3282</v>
      </c>
      <c r="C66" s="88" t="s">
        <v>169</v>
      </c>
      <c r="D66" s="88">
        <v>5400261992</v>
      </c>
      <c r="E66" s="88" t="s">
        <v>3283</v>
      </c>
      <c r="F66" s="88">
        <v>1800</v>
      </c>
      <c r="G66" s="88" t="s">
        <v>170</v>
      </c>
      <c r="H66" s="88" t="s">
        <v>171</v>
      </c>
      <c r="I66" s="88"/>
      <c r="J66" s="88"/>
      <c r="K66" s="88"/>
      <c r="L66" s="88"/>
      <c r="M66" s="88"/>
      <c r="N66" s="88"/>
      <c r="O66" s="88"/>
      <c r="P66" s="88"/>
      <c r="Q66" s="88"/>
      <c r="R66" s="88"/>
      <c r="S66" s="88" t="s">
        <v>176</v>
      </c>
    </row>
    <row r="67" spans="1:19" x14ac:dyDescent="0.2">
      <c r="A67" s="88" t="s">
        <v>3279</v>
      </c>
      <c r="B67" s="88" t="s">
        <v>2432</v>
      </c>
      <c r="C67" s="88" t="s">
        <v>183</v>
      </c>
      <c r="D67" s="88" t="s">
        <v>3211</v>
      </c>
      <c r="E67" s="88" t="s">
        <v>3280</v>
      </c>
      <c r="F67" s="88">
        <v>1200</v>
      </c>
      <c r="G67" s="88" t="s">
        <v>170</v>
      </c>
      <c r="H67" s="88" t="s">
        <v>3212</v>
      </c>
      <c r="I67" s="88"/>
      <c r="J67" s="88"/>
      <c r="K67" s="88"/>
      <c r="L67" s="88"/>
      <c r="M67" s="88"/>
      <c r="N67" s="88"/>
      <c r="O67" s="88"/>
      <c r="P67" s="88"/>
      <c r="Q67" s="88"/>
      <c r="R67" s="88"/>
      <c r="S67" s="88" t="s">
        <v>176</v>
      </c>
    </row>
    <row r="68" spans="1:19" x14ac:dyDescent="0.2">
      <c r="A68" s="88" t="s">
        <v>2483</v>
      </c>
      <c r="B68" s="88"/>
      <c r="C68" s="88"/>
      <c r="D68" s="88"/>
      <c r="E68" s="88"/>
      <c r="F68" s="88"/>
      <c r="G68" s="88"/>
      <c r="H68" s="88"/>
      <c r="I68" s="88"/>
      <c r="J68" s="88"/>
      <c r="K68" s="88"/>
      <c r="L68" s="88"/>
      <c r="M68" s="88"/>
      <c r="N68" s="88"/>
      <c r="O68" s="88"/>
      <c r="P68" s="88"/>
      <c r="Q68" s="88"/>
      <c r="R68" s="88"/>
      <c r="S68" s="88" t="s">
        <v>176</v>
      </c>
    </row>
    <row r="69" spans="1:19" x14ac:dyDescent="0.2">
      <c r="A69" s="88" t="s">
        <v>3521</v>
      </c>
      <c r="B69" s="88" t="s">
        <v>3522</v>
      </c>
      <c r="C69" s="88" t="s">
        <v>172</v>
      </c>
      <c r="D69" s="88" t="s">
        <v>3215</v>
      </c>
      <c r="E69" s="88" t="s">
        <v>3523</v>
      </c>
      <c r="F69" s="88">
        <v>1200</v>
      </c>
      <c r="G69" s="88" t="s">
        <v>170</v>
      </c>
      <c r="H69" s="88" t="s">
        <v>3216</v>
      </c>
      <c r="I69" s="88"/>
      <c r="J69" s="88"/>
      <c r="K69" s="88"/>
      <c r="L69" s="88"/>
      <c r="M69" s="88"/>
      <c r="N69" s="88"/>
      <c r="O69" s="88"/>
      <c r="P69" s="88"/>
      <c r="Q69" s="88"/>
      <c r="R69" s="88"/>
      <c r="S69" s="88" t="s">
        <v>176</v>
      </c>
    </row>
    <row r="70" spans="1:19" x14ac:dyDescent="0.2">
      <c r="A70" s="88" t="s">
        <v>3530</v>
      </c>
      <c r="B70" s="88" t="s">
        <v>3531</v>
      </c>
      <c r="C70" s="88" t="s">
        <v>172</v>
      </c>
      <c r="D70" s="88">
        <v>5400263811</v>
      </c>
      <c r="E70" s="88" t="s">
        <v>3532</v>
      </c>
      <c r="F70" s="88">
        <v>900</v>
      </c>
      <c r="G70" s="88" t="s">
        <v>173</v>
      </c>
      <c r="H70" s="88" t="s">
        <v>171</v>
      </c>
      <c r="I70" s="88"/>
      <c r="J70" s="88"/>
      <c r="K70" s="88"/>
      <c r="L70" s="88"/>
      <c r="M70" s="88"/>
      <c r="N70" s="88"/>
      <c r="O70" s="88"/>
      <c r="P70" s="88"/>
      <c r="Q70" s="88"/>
      <c r="R70" s="88"/>
      <c r="S70" s="88" t="s">
        <v>176</v>
      </c>
    </row>
    <row r="71" spans="1:19" x14ac:dyDescent="0.2">
      <c r="A71" s="88" t="s">
        <v>3553</v>
      </c>
      <c r="B71" s="88" t="s">
        <v>3554</v>
      </c>
      <c r="C71" s="88" t="s">
        <v>172</v>
      </c>
      <c r="D71" s="88">
        <v>5400263815</v>
      </c>
      <c r="E71" s="88" t="s">
        <v>3555</v>
      </c>
      <c r="F71" s="88">
        <v>400</v>
      </c>
      <c r="G71" s="88" t="s">
        <v>173</v>
      </c>
      <c r="H71" s="88" t="s">
        <v>171</v>
      </c>
      <c r="I71" s="88"/>
      <c r="J71" s="88"/>
      <c r="K71" s="88"/>
      <c r="L71" s="88"/>
      <c r="M71" s="88"/>
      <c r="N71" s="88"/>
      <c r="O71" s="88"/>
      <c r="P71" s="88"/>
      <c r="Q71" s="88"/>
      <c r="R71" s="88"/>
      <c r="S71" s="88" t="s">
        <v>69</v>
      </c>
    </row>
    <row r="72" spans="1:19" x14ac:dyDescent="0.2">
      <c r="A72" s="88" t="s">
        <v>3560</v>
      </c>
      <c r="B72" s="88" t="s">
        <v>3561</v>
      </c>
      <c r="C72" s="88" t="s">
        <v>183</v>
      </c>
      <c r="D72" s="88" t="s">
        <v>3562</v>
      </c>
      <c r="E72" s="88" t="s">
        <v>3563</v>
      </c>
      <c r="F72" s="88">
        <v>700</v>
      </c>
      <c r="G72" s="88" t="s">
        <v>170</v>
      </c>
      <c r="H72" s="88" t="s">
        <v>3212</v>
      </c>
      <c r="I72" s="88"/>
      <c r="J72" s="88"/>
      <c r="K72" s="88"/>
      <c r="L72" s="88"/>
      <c r="M72" s="88"/>
      <c r="N72" s="88"/>
      <c r="O72" s="88"/>
      <c r="P72" s="88"/>
      <c r="Q72" s="88"/>
      <c r="R72" s="88"/>
      <c r="S72" s="88" t="s">
        <v>176</v>
      </c>
    </row>
    <row r="73" spans="1:19" x14ac:dyDescent="0.2">
      <c r="A73" s="88" t="s">
        <v>3556</v>
      </c>
      <c r="B73" s="88" t="s">
        <v>3557</v>
      </c>
      <c r="C73" s="88" t="s">
        <v>183</v>
      </c>
      <c r="D73" s="88">
        <v>5400263872</v>
      </c>
      <c r="E73" s="88" t="s">
        <v>3558</v>
      </c>
      <c r="F73" s="88" t="s">
        <v>3559</v>
      </c>
      <c r="G73" s="88" t="s">
        <v>3558</v>
      </c>
      <c r="H73" s="88" t="s">
        <v>3212</v>
      </c>
      <c r="I73" s="88"/>
      <c r="J73" s="88"/>
      <c r="K73" s="88"/>
      <c r="L73" s="88"/>
      <c r="M73" s="88"/>
      <c r="N73" s="88"/>
      <c r="O73" s="88"/>
      <c r="P73" s="88"/>
      <c r="Q73" s="88"/>
      <c r="R73" s="88"/>
      <c r="S73" s="88" t="s">
        <v>176</v>
      </c>
    </row>
    <row r="74" spans="1:19" x14ac:dyDescent="0.2">
      <c r="A74" s="88"/>
      <c r="B74" s="88"/>
      <c r="C74" s="88"/>
      <c r="D74" s="88"/>
      <c r="E74" s="88"/>
      <c r="F74" s="88"/>
      <c r="G74" s="88"/>
      <c r="H74" s="88"/>
      <c r="I74" s="88"/>
      <c r="J74" s="88"/>
      <c r="K74" s="88"/>
      <c r="L74" s="88"/>
      <c r="M74" s="88"/>
      <c r="N74" s="88"/>
      <c r="O74" s="88"/>
      <c r="P74" s="88"/>
      <c r="Q74" s="88"/>
      <c r="R74" s="88"/>
      <c r="S74" s="88"/>
    </row>
    <row r="87" spans="1:19" x14ac:dyDescent="0.2">
      <c r="A87" s="88"/>
      <c r="B87" s="88"/>
      <c r="C87" s="88"/>
      <c r="D87" s="88"/>
      <c r="E87" s="88"/>
      <c r="F87" s="88"/>
      <c r="G87" s="88"/>
      <c r="H87" s="88"/>
      <c r="I87" s="88"/>
      <c r="J87" s="88"/>
      <c r="K87" s="88"/>
      <c r="L87" s="88"/>
      <c r="M87" s="88"/>
      <c r="N87" s="88"/>
      <c r="O87" s="88"/>
      <c r="P87" s="88"/>
      <c r="Q87" s="88"/>
      <c r="R87" s="88"/>
      <c r="S87" s="88"/>
    </row>
    <row r="88" spans="1:19" x14ac:dyDescent="0.2">
      <c r="A88" s="88"/>
      <c r="B88" s="88"/>
      <c r="C88" s="88"/>
      <c r="D88" s="88"/>
      <c r="E88" s="88"/>
      <c r="F88" s="88"/>
      <c r="G88" s="88"/>
      <c r="H88" s="88"/>
      <c r="I88" s="88"/>
      <c r="J88" s="88"/>
      <c r="K88" s="88"/>
      <c r="L88" s="88"/>
      <c r="M88" s="88"/>
      <c r="N88" s="88"/>
      <c r="O88" s="88"/>
      <c r="P88" s="88"/>
      <c r="Q88" s="88"/>
      <c r="R88" s="88"/>
      <c r="S88" s="88"/>
    </row>
    <row r="89" spans="1:19" x14ac:dyDescent="0.2">
      <c r="A89" s="88"/>
      <c r="B89" s="88"/>
      <c r="C89" s="88"/>
      <c r="D89" s="88"/>
      <c r="E89" s="88"/>
      <c r="F89" s="88"/>
      <c r="G89" s="88"/>
      <c r="H89" s="88"/>
      <c r="I89" s="88"/>
      <c r="J89" s="88"/>
      <c r="K89" s="88"/>
      <c r="L89" s="88"/>
      <c r="M89" s="88"/>
      <c r="N89" s="88"/>
      <c r="O89" s="88"/>
      <c r="P89" s="88"/>
      <c r="Q89" s="88"/>
      <c r="R89" s="88"/>
      <c r="S89" s="88"/>
    </row>
    <row r="90" spans="1:19" x14ac:dyDescent="0.2">
      <c r="B90" s="88"/>
      <c r="C90" s="88"/>
      <c r="D90" s="88"/>
      <c r="E90" s="88"/>
      <c r="F90" s="88"/>
      <c r="G90" s="88"/>
      <c r="H90" s="88"/>
      <c r="I90" s="88"/>
      <c r="J90" s="88"/>
      <c r="K90" s="88"/>
      <c r="L90" s="88"/>
      <c r="M90" s="88"/>
      <c r="N90" s="88"/>
      <c r="O90" s="88"/>
      <c r="P90" s="88"/>
      <c r="Q90" s="88"/>
      <c r="R90" s="88"/>
      <c r="S90" s="88"/>
    </row>
    <row r="91" spans="1:19" x14ac:dyDescent="0.2">
      <c r="A91" s="88"/>
      <c r="B91" s="88"/>
      <c r="C91" s="88"/>
      <c r="D91" s="88"/>
      <c r="E91" s="88"/>
      <c r="F91" s="88"/>
      <c r="G91" s="88"/>
      <c r="H91" s="88"/>
      <c r="I91" s="88"/>
      <c r="J91" s="88"/>
      <c r="K91" s="88"/>
      <c r="L91" s="88"/>
      <c r="M91" s="88"/>
      <c r="N91" s="88"/>
      <c r="O91" s="88"/>
      <c r="P91" s="88"/>
      <c r="Q91" s="88"/>
      <c r="R91" s="88"/>
      <c r="S91" s="88"/>
    </row>
    <row r="92" spans="1:19" x14ac:dyDescent="0.2">
      <c r="A92" s="88"/>
      <c r="B92" s="88"/>
      <c r="C92" s="88"/>
      <c r="D92" s="88"/>
      <c r="E92" s="88"/>
      <c r="F92" s="88"/>
      <c r="G92" s="88"/>
      <c r="H92" s="88"/>
      <c r="I92" s="88"/>
      <c r="J92" s="88"/>
      <c r="K92" s="88"/>
      <c r="L92" s="88"/>
      <c r="M92" s="88"/>
      <c r="N92" s="88"/>
      <c r="O92" s="88"/>
      <c r="P92" s="88"/>
      <c r="Q92" s="88"/>
      <c r="R92" s="88"/>
      <c r="S92" s="88"/>
    </row>
    <row r="93" spans="1:19" x14ac:dyDescent="0.2">
      <c r="A93" s="88"/>
      <c r="B93" s="88"/>
      <c r="C93" s="88"/>
      <c r="D93" s="88"/>
      <c r="E93" s="88"/>
      <c r="F93" s="88"/>
      <c r="G93" s="88"/>
      <c r="H93" s="88"/>
      <c r="I93" s="88"/>
      <c r="J93" s="88"/>
      <c r="K93" s="88"/>
      <c r="L93" s="88"/>
      <c r="M93" s="88"/>
      <c r="N93" s="88"/>
      <c r="O93" s="88"/>
      <c r="P93" s="88"/>
      <c r="Q93" s="88"/>
      <c r="R93" s="88"/>
      <c r="S93" s="88"/>
    </row>
    <row r="94" spans="1:19" x14ac:dyDescent="0.2">
      <c r="A94" s="88"/>
      <c r="B94" s="88"/>
      <c r="C94" s="88"/>
      <c r="D94" s="88"/>
      <c r="E94" s="88"/>
      <c r="F94" s="88"/>
      <c r="G94" s="88"/>
      <c r="H94" s="88"/>
      <c r="I94" s="88"/>
      <c r="J94" s="88"/>
      <c r="K94" s="88"/>
      <c r="L94" s="88"/>
      <c r="M94" s="88"/>
      <c r="N94" s="88"/>
      <c r="O94" s="88"/>
      <c r="P94" s="88"/>
      <c r="Q94" s="88"/>
      <c r="R94" s="88"/>
      <c r="S94" s="88"/>
    </row>
    <row r="95" spans="1:19" x14ac:dyDescent="0.2">
      <c r="A95" s="88"/>
      <c r="B95" s="88"/>
      <c r="C95" s="88"/>
      <c r="D95" s="88"/>
      <c r="E95" s="88"/>
      <c r="F95" s="88"/>
      <c r="G95" s="88"/>
      <c r="H95" s="88"/>
      <c r="I95" s="88"/>
      <c r="J95" s="88"/>
      <c r="K95" s="88"/>
      <c r="L95" s="88"/>
      <c r="M95" s="88"/>
      <c r="N95" s="88"/>
      <c r="O95" s="88"/>
      <c r="P95" s="88"/>
      <c r="Q95" s="88"/>
      <c r="R95" s="88"/>
      <c r="S95" s="88"/>
    </row>
    <row r="96" spans="1:19" x14ac:dyDescent="0.2">
      <c r="A96" s="88"/>
      <c r="B96" s="88"/>
      <c r="C96" s="88"/>
      <c r="D96" s="88"/>
      <c r="E96" s="88"/>
      <c r="F96" s="88"/>
      <c r="G96" s="88"/>
      <c r="H96" s="88"/>
      <c r="I96" s="88"/>
      <c r="J96" s="88"/>
      <c r="K96" s="88"/>
      <c r="L96" s="88"/>
      <c r="M96" s="88"/>
      <c r="N96" s="88"/>
      <c r="O96" s="88"/>
      <c r="P96" s="88"/>
      <c r="Q96" s="88"/>
      <c r="R96" s="88"/>
      <c r="S96" s="88"/>
    </row>
    <row r="97" spans="1:19" x14ac:dyDescent="0.2">
      <c r="A97" s="88"/>
      <c r="B97" s="88"/>
      <c r="C97" s="88"/>
      <c r="D97" s="88"/>
      <c r="E97" s="88"/>
      <c r="F97" s="88"/>
      <c r="G97" s="88"/>
      <c r="H97" s="88"/>
      <c r="I97" s="88"/>
      <c r="J97" s="88"/>
      <c r="K97" s="88"/>
      <c r="L97" s="88"/>
      <c r="M97" s="88"/>
      <c r="N97" s="88"/>
      <c r="O97" s="88"/>
      <c r="P97" s="88"/>
      <c r="Q97" s="88"/>
      <c r="R97" s="88"/>
      <c r="S97" s="88"/>
    </row>
    <row r="98" spans="1:19" x14ac:dyDescent="0.2">
      <c r="A98" s="88"/>
      <c r="B98" s="88"/>
      <c r="C98" s="88"/>
      <c r="D98" s="88"/>
      <c r="E98" s="88"/>
      <c r="F98" s="88"/>
      <c r="G98" s="88"/>
      <c r="H98" s="88"/>
      <c r="I98" s="88"/>
      <c r="J98" s="88"/>
      <c r="K98" s="88"/>
      <c r="L98" s="88"/>
      <c r="M98" s="88"/>
      <c r="N98" s="88"/>
      <c r="O98" s="88"/>
      <c r="P98" s="88"/>
      <c r="Q98" s="88"/>
      <c r="R98" s="88"/>
      <c r="S98" s="88"/>
    </row>
    <row r="99" spans="1:19" x14ac:dyDescent="0.2">
      <c r="A99" s="88"/>
      <c r="B99" s="88"/>
      <c r="C99" s="88"/>
      <c r="D99" s="88"/>
      <c r="E99" s="88"/>
      <c r="F99" s="88"/>
      <c r="G99" s="88"/>
      <c r="H99" s="88"/>
      <c r="I99" s="88"/>
      <c r="J99" s="88"/>
      <c r="K99" s="88"/>
      <c r="L99" s="88"/>
      <c r="M99" s="88"/>
      <c r="N99" s="88"/>
      <c r="O99" s="88"/>
      <c r="P99" s="88"/>
      <c r="Q99" s="88"/>
      <c r="R99" s="88"/>
      <c r="S99" s="88"/>
    </row>
    <row r="113" spans="1:19" x14ac:dyDescent="0.2">
      <c r="A113" s="88"/>
      <c r="B113" s="88"/>
      <c r="C113" s="88"/>
      <c r="D113" s="88"/>
      <c r="E113" s="88"/>
      <c r="F113" s="88"/>
      <c r="G113" s="88"/>
      <c r="H113" s="88"/>
      <c r="I113" s="88"/>
      <c r="J113" s="88"/>
      <c r="K113" s="88"/>
      <c r="L113" s="88"/>
      <c r="M113" s="88"/>
      <c r="N113" s="88"/>
      <c r="O113" s="88"/>
      <c r="P113" s="88"/>
      <c r="Q113" s="88"/>
      <c r="R113" s="88"/>
      <c r="S113" s="88"/>
    </row>
  </sheetData>
  <mergeCells count="1">
    <mergeCell ref="A1:I1"/>
  </mergeCells>
  <conditionalFormatting sqref="A113:S113">
    <cfRule type="expression" dxfId="34" priority="38">
      <formula>$S113="NO"</formula>
    </cfRule>
  </conditionalFormatting>
  <conditionalFormatting sqref="A12:R20">
    <cfRule type="expression" dxfId="33" priority="34">
      <formula>$S12="NO"</formula>
    </cfRule>
  </conditionalFormatting>
  <conditionalFormatting sqref="A21:R25">
    <cfRule type="expression" dxfId="32" priority="24">
      <formula>$S21="NO"</formula>
    </cfRule>
  </conditionalFormatting>
  <conditionalFormatting sqref="S25">
    <cfRule type="expression" dxfId="31" priority="14">
      <formula>$S25="NO"</formula>
    </cfRule>
  </conditionalFormatting>
  <conditionalFormatting sqref="A26:S33">
    <cfRule type="expression" dxfId="30" priority="12">
      <formula>$S26="NO"</formula>
    </cfRule>
  </conditionalFormatting>
  <conditionalFormatting sqref="A34:S34">
    <cfRule type="expression" dxfId="29" priority="11">
      <formula>$S34="NO"</formula>
    </cfRule>
  </conditionalFormatting>
  <conditionalFormatting sqref="A35:S36">
    <cfRule type="expression" dxfId="28" priority="10">
      <formula>$S35="NO"</formula>
    </cfRule>
  </conditionalFormatting>
  <conditionalFormatting sqref="S18">
    <cfRule type="expression" dxfId="27" priority="8">
      <formula>$S18="NO"</formula>
    </cfRule>
  </conditionalFormatting>
  <conditionalFormatting sqref="A3:R17">
    <cfRule type="expression" dxfId="26" priority="7">
      <formula>$S3="NO"</formula>
    </cfRule>
  </conditionalFormatting>
  <conditionalFormatting sqref="S3">
    <cfRule type="expression" dxfId="25" priority="5">
      <formula>$S3="NO"</formula>
    </cfRule>
  </conditionalFormatting>
  <conditionalFormatting sqref="A37:S66">
    <cfRule type="expression" dxfId="24" priority="4">
      <formula>$S37="NO"</formula>
    </cfRule>
  </conditionalFormatting>
  <conditionalFormatting sqref="S19:S24">
    <cfRule type="expression" dxfId="23" priority="3">
      <formula>$S19="NO"</formula>
    </cfRule>
  </conditionalFormatting>
  <conditionalFormatting sqref="S4:S17">
    <cfRule type="expression" dxfId="22" priority="2">
      <formula>$S4="NO"</formula>
    </cfRule>
  </conditionalFormatting>
  <conditionalFormatting sqref="A67:S72">
    <cfRule type="expression" dxfId="21" priority="1">
      <formula>$S67="NO"</formula>
    </cfRule>
  </conditionalFormatting>
  <dataValidations count="1">
    <dataValidation type="list" allowBlank="1" showInputMessage="1" showErrorMessage="1" sqref="K12:K18 K3:K9" xr:uid="{65C956C0-CFDB-4D68-A9D7-408AE258E114}">
      <formula1>"RICHIESTO,EMESSO,IN CORSO,INTERROTTO,DA CHIUDERE,SCADUTO,CHIUSO,"</formula1>
    </dataValidation>
  </dataValidations>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65891" r:id="rId4" name="Button 3">
              <controlPr defaultSize="0" print="0" autoFill="0" autoPict="0" macro="[0]!CaricaNuoviPdL">
                <anchor moveWithCells="1" sizeWithCells="1">
                  <from>
                    <xdr:col>1</xdr:col>
                    <xdr:colOff>4000500</xdr:colOff>
                    <xdr:row>0</xdr:row>
                    <xdr:rowOff>0</xdr:rowOff>
                  </from>
                  <to>
                    <xdr:col>1</xdr:col>
                    <xdr:colOff>5810250</xdr:colOff>
                    <xdr:row>0</xdr:row>
                    <xdr:rowOff>190500</xdr:rowOff>
                  </to>
                </anchor>
              </controlPr>
            </control>
          </mc:Choice>
        </mc:AlternateContent>
      </controls>
    </mc:Choice>
  </mc:AlternateContent>
  <tableParts count="1">
    <tablePart r:id="rId5"/>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oglio8">
    <tabColor rgb="FFFFC000"/>
  </sheetPr>
  <dimension ref="A1:Q30"/>
  <sheetViews>
    <sheetView topLeftCell="A4" workbookViewId="0">
      <selection activeCell="A10" sqref="A10"/>
    </sheetView>
  </sheetViews>
  <sheetFormatPr defaultRowHeight="14.25" x14ac:dyDescent="0.2"/>
  <cols>
    <col min="1" max="1" width="64.125" bestFit="1" customWidth="1"/>
    <col min="2" max="2" width="1.375" customWidth="1"/>
    <col min="3" max="3" width="9.375" bestFit="1" customWidth="1"/>
    <col min="4" max="4" width="42.375" bestFit="1" customWidth="1"/>
    <col min="5" max="5" width="8.75" bestFit="1" customWidth="1"/>
    <col min="6" max="6" width="4.125" bestFit="1" customWidth="1"/>
    <col min="7" max="7" width="3.625" bestFit="1" customWidth="1"/>
    <col min="8" max="8" width="4.375" customWidth="1"/>
    <col min="9" max="9" width="2.625" bestFit="1" customWidth="1"/>
    <col min="10" max="10" width="4.125" bestFit="1" customWidth="1"/>
    <col min="11" max="11" width="13.5" bestFit="1" customWidth="1"/>
    <col min="12" max="12" width="3.5" bestFit="1" customWidth="1"/>
    <col min="13" max="13" width="4.25" customWidth="1"/>
    <col min="14" max="14" width="2.875" bestFit="1" customWidth="1"/>
    <col min="15" max="15" width="57" style="54" bestFit="1" customWidth="1"/>
    <col min="16" max="16" width="10.75" bestFit="1" customWidth="1"/>
    <col min="17" max="17" width="22.25" bestFit="1" customWidth="1"/>
  </cols>
  <sheetData>
    <row r="1" spans="1:17" ht="36.75" customHeight="1" x14ac:dyDescent="0.25">
      <c r="A1" t="s">
        <v>3518</v>
      </c>
      <c r="C1" s="53" t="s">
        <v>61</v>
      </c>
      <c r="D1" s="53" t="s">
        <v>70</v>
      </c>
      <c r="E1" s="53" t="s">
        <v>71</v>
      </c>
      <c r="F1" s="53" t="s">
        <v>3</v>
      </c>
      <c r="G1" s="53" t="s">
        <v>4</v>
      </c>
      <c r="H1" s="53" t="s">
        <v>5</v>
      </c>
      <c r="I1" s="53" t="s">
        <v>6</v>
      </c>
      <c r="J1" s="52" t="s">
        <v>7</v>
      </c>
      <c r="K1" s="53" t="s">
        <v>72</v>
      </c>
      <c r="L1" s="52" t="s">
        <v>39</v>
      </c>
      <c r="M1" s="52" t="s">
        <v>40</v>
      </c>
      <c r="N1" s="52" t="s">
        <v>103</v>
      </c>
      <c r="O1" s="53" t="s">
        <v>73</v>
      </c>
      <c r="P1" s="53" t="s">
        <v>74</v>
      </c>
      <c r="Q1" s="53" t="s">
        <v>75</v>
      </c>
    </row>
    <row r="2" spans="1:17" ht="15" x14ac:dyDescent="0.2">
      <c r="A2" s="46" t="s">
        <v>3517</v>
      </c>
      <c r="C2" s="47" t="str">
        <f>IFERROR(MID('caricamento Desiderata'!A2,FIND("Avviso n° ",'caricamento Desiderata'!A2)+10,LEN('caricamento Desiderata'!A2)),"")</f>
        <v>10229281</v>
      </c>
      <c r="D2" s="47" t="str">
        <f>IF('caricamento Desiderata'!A2="", "", IFERROR(LEFT('caricamento Desiderata'!A2,FIND("Avviso n° ",'caricamento Desiderata'!A2)-1),'caricamento Desiderata'!A2))</f>
        <v xml:space="preserve">700: VERIFICA FUNZ 07B600ASL  controllo funzionale. </v>
      </c>
      <c r="E2" s="47" t="s">
        <v>2702</v>
      </c>
      <c r="F2" s="47"/>
      <c r="G2" s="47"/>
      <c r="H2" s="48"/>
      <c r="I2" s="48"/>
      <c r="J2" s="49"/>
      <c r="K2" s="49" t="s">
        <v>146</v>
      </c>
      <c r="L2" s="49"/>
      <c r="M2" s="49"/>
      <c r="N2" s="49"/>
      <c r="O2" s="50" t="s">
        <v>2704</v>
      </c>
      <c r="P2" s="51"/>
      <c r="Q2" s="48"/>
    </row>
    <row r="3" spans="1:17" ht="15" x14ac:dyDescent="0.2">
      <c r="A3" s="97" t="s">
        <v>3482</v>
      </c>
      <c r="C3" s="47" t="str">
        <f>IFERROR(MID('caricamento Desiderata'!A3,FIND("Avviso n° ",'caricamento Desiderata'!A3)+10,LEN('caricamento Desiderata'!A3)),"")</f>
        <v>10224442</v>
      </c>
      <c r="D3" s="47" t="str">
        <f>IF('caricamento Desiderata'!A3="", "", IFERROR(LEFT('caricamento Desiderata'!A3,FIND("Avviso n° ",'caricamento Desiderata'!A3)-1),'caricamento Desiderata'!A3))</f>
        <v xml:space="preserve">700: mtz 07P355R  controllo funzionale. </v>
      </c>
      <c r="E3" s="47" t="s">
        <v>3468</v>
      </c>
      <c r="F3" s="47"/>
      <c r="G3" s="47"/>
      <c r="H3" s="48"/>
      <c r="I3" s="48"/>
      <c r="J3" s="49"/>
      <c r="K3" s="49" t="s">
        <v>43</v>
      </c>
      <c r="L3" s="49"/>
      <c r="M3" s="49"/>
      <c r="N3" s="49"/>
      <c r="O3" s="50"/>
      <c r="P3" s="51"/>
      <c r="Q3" s="48"/>
    </row>
    <row r="4" spans="1:17" ht="15" x14ac:dyDescent="0.2">
      <c r="A4" s="93" t="s">
        <v>3483</v>
      </c>
      <c r="C4" s="47" t="str">
        <f>IFERROR(MID('caricamento Desiderata'!A4,FIND("Avviso n° ",'caricamento Desiderata'!A4)+10,LEN('caricamento Desiderata'!A4)),"")</f>
        <v>10224485</v>
      </c>
      <c r="D4" s="47" t="str">
        <f>IF('caricamento Desiderata'!A4="", "", IFERROR(LEFT('caricamento Desiderata'!A4,FIND("Avviso n° ",'caricamento Desiderata'!A4)-1),'caricamento Desiderata'!A4))</f>
        <v xml:space="preserve">700: MTZ 07T301I  controllo funzionale. </v>
      </c>
      <c r="E4" s="47" t="s">
        <v>3469</v>
      </c>
      <c r="F4" s="47"/>
      <c r="G4" s="47"/>
      <c r="H4" s="48"/>
      <c r="I4" s="48"/>
      <c r="J4" s="49"/>
      <c r="K4" s="49" t="s">
        <v>43</v>
      </c>
      <c r="L4" s="49"/>
      <c r="M4" s="49"/>
      <c r="N4" s="49"/>
      <c r="O4" s="50"/>
      <c r="P4" s="51"/>
      <c r="Q4" s="48"/>
    </row>
    <row r="5" spans="1:17" ht="15" x14ac:dyDescent="0.2">
      <c r="A5" s="93" t="s">
        <v>3484</v>
      </c>
      <c r="C5" s="47" t="str">
        <f>IFERROR(MID('caricamento Desiderata'!A5,FIND("Avviso n° ",'caricamento Desiderata'!A5)+10,LEN('caricamento Desiderata'!A5)),"")</f>
        <v>10224484</v>
      </c>
      <c r="D5" s="47" t="str">
        <f>IF('caricamento Desiderata'!A5="", "", IFERROR(LEFT('caricamento Desiderata'!A5,FIND("Avviso n° ",'caricamento Desiderata'!A5)-1),'caricamento Desiderata'!A5))</f>
        <v xml:space="preserve">700: MTZ 07Z603I controllo funzionale. </v>
      </c>
      <c r="E5" s="47" t="s">
        <v>3470</v>
      </c>
      <c r="F5" s="47"/>
      <c r="G5" s="47"/>
      <c r="H5" s="48"/>
      <c r="I5" s="48"/>
      <c r="J5" s="49"/>
      <c r="K5" s="49" t="s">
        <v>146</v>
      </c>
      <c r="L5" s="49"/>
      <c r="M5" s="49"/>
      <c r="N5" s="49"/>
      <c r="O5" s="50"/>
      <c r="P5" s="51"/>
      <c r="Q5" s="48"/>
    </row>
    <row r="6" spans="1:17" ht="28.5" x14ac:dyDescent="0.2">
      <c r="A6" s="94" t="s">
        <v>3485</v>
      </c>
      <c r="C6" s="47" t="str">
        <f>IFERROR(MID('caricamento Desiderata'!A6,FIND("Avviso n° ",'caricamento Desiderata'!A6)+10,LEN('caricamento Desiderata'!A6)),"")</f>
        <v>10226908</v>
      </c>
      <c r="D6" s="47" t="str">
        <f>IF('caricamento Desiderata'!A6="", "", IFERROR(LEFT('caricamento Desiderata'!A6,FIND("Avviso n° ",'caricamento Desiderata'!A6)-1),'caricamento Desiderata'!A6))</f>
        <v xml:space="preserve">700: 07P101CSL controllo pressostato controllo funzionale. </v>
      </c>
      <c r="E6" s="47" t="s">
        <v>2251</v>
      </c>
      <c r="F6" s="47"/>
      <c r="G6" s="47"/>
      <c r="H6" s="48"/>
      <c r="I6" s="48"/>
      <c r="J6" s="49"/>
      <c r="K6" s="49" t="s">
        <v>52</v>
      </c>
      <c r="L6" s="49"/>
      <c r="M6" s="49"/>
      <c r="N6" s="49"/>
      <c r="O6" s="50" t="s">
        <v>2253</v>
      </c>
      <c r="P6" s="51">
        <v>45754</v>
      </c>
      <c r="Q6" s="48" t="s">
        <v>238</v>
      </c>
    </row>
    <row r="7" spans="1:17" ht="15" x14ac:dyDescent="0.2">
      <c r="A7" s="45" t="s">
        <v>113</v>
      </c>
      <c r="C7" s="47" t="str">
        <f>IFERROR(MID('caricamento Desiderata'!A7,FIND("Avviso n° ",'caricamento Desiderata'!A7)+10,LEN('caricamento Desiderata'!A7)),"")</f>
        <v>00000002</v>
      </c>
      <c r="D7" s="47" t="str">
        <f>IF('caricamento Desiderata'!A7="", "", IFERROR(LEFT('caricamento Desiderata'!A7,FIND("Avviso n° ",'caricamento Desiderata'!A7)-1),'caricamento Desiderata'!A7))</f>
        <v xml:space="preserve">700A - RIPRISTINO JB TH6. </v>
      </c>
      <c r="E7" s="47" t="s">
        <v>100</v>
      </c>
      <c r="F7" s="47"/>
      <c r="G7" s="47"/>
      <c r="H7" s="48"/>
      <c r="I7" s="48"/>
      <c r="J7" s="49"/>
      <c r="K7" s="49" t="s">
        <v>43</v>
      </c>
      <c r="L7" s="49" t="s">
        <v>8</v>
      </c>
      <c r="M7" s="49"/>
      <c r="N7" s="49"/>
      <c r="O7" s="50" t="s">
        <v>3477</v>
      </c>
      <c r="P7" s="51">
        <v>45817</v>
      </c>
      <c r="Q7" s="48" t="s">
        <v>107</v>
      </c>
    </row>
    <row r="8" spans="1:17" ht="15.75" x14ac:dyDescent="0.2">
      <c r="A8" s="94" t="s">
        <v>3486</v>
      </c>
      <c r="C8" s="62" t="str">
        <f>IFERROR(MID('caricamento Desiderata'!A8,FIND("Avviso n° ",'caricamento Desiderata'!A8)+10,LEN('caricamento Desiderata'!A8)),"")</f>
        <v>10232613</v>
      </c>
      <c r="D8" s="62" t="str">
        <f>IF('caricamento Desiderata'!A8="", "", IFERROR(LEFT('caricamento Desiderata'!A8,FIND("Avviso n° ",'caricamento Desiderata'!A8)-1),'caricamento Desiderata'!A8))</f>
        <v xml:space="preserve">1200/3: TARATURA Z3F301. </v>
      </c>
      <c r="E8" s="62" t="s">
        <v>3291</v>
      </c>
      <c r="F8" s="62"/>
      <c r="G8" s="62"/>
      <c r="H8" s="63"/>
      <c r="I8" s="63"/>
      <c r="J8" s="64"/>
      <c r="K8" s="64" t="s">
        <v>43</v>
      </c>
      <c r="L8" s="49"/>
      <c r="M8" s="49"/>
      <c r="N8" s="49"/>
      <c r="O8" s="50"/>
      <c r="P8" s="51"/>
      <c r="Q8" s="48"/>
    </row>
    <row r="9" spans="1:17" ht="28.5" x14ac:dyDescent="0.2">
      <c r="A9" s="45" t="s">
        <v>3479</v>
      </c>
      <c r="C9" s="62" t="str">
        <f>IFERROR(MID('caricamento Desiderata'!A9,FIND("Avviso n° ",'caricamento Desiderata'!A9)+10,LEN('caricamento Desiderata'!A9)),"")</f>
        <v>00000003</v>
      </c>
      <c r="D9" s="62" t="str">
        <f>IF('caricamento Desiderata'!A9="", "", IFERROR(LEFT('caricamento Desiderata'!A9,FIND("Avviso n° ",'caricamento Desiderata'!A9)-1),'caricamento Desiderata'!A9))</f>
        <v xml:space="preserve">1800-1-F045V - ripristino funzionalit valvola. </v>
      </c>
      <c r="E9" s="62" t="s">
        <v>3290</v>
      </c>
      <c r="F9" s="62"/>
      <c r="G9" s="62"/>
      <c r="H9" s="63"/>
      <c r="I9" s="63"/>
      <c r="J9" s="64"/>
      <c r="K9" s="64" t="s">
        <v>121</v>
      </c>
      <c r="L9" s="49"/>
      <c r="M9" s="49"/>
      <c r="N9" s="49"/>
      <c r="O9" s="50" t="s">
        <v>3476</v>
      </c>
      <c r="P9" s="51">
        <v>45953</v>
      </c>
      <c r="Q9" s="48" t="s">
        <v>38</v>
      </c>
    </row>
    <row r="10" spans="1:17" ht="15.75" x14ac:dyDescent="0.2">
      <c r="A10" s="94" t="s">
        <v>3487</v>
      </c>
      <c r="C10" s="62" t="str">
        <f>IFERROR(MID('caricamento Desiderata'!A10,FIND("Avviso n° ",'caricamento Desiderata'!A10)+10,LEN('caricamento Desiderata'!A10)),"")</f>
        <v>10226805</v>
      </c>
      <c r="D10" s="62" t="str">
        <f>IF('caricamento Desiderata'!A10="", "", IFERROR(LEFT('caricamento Desiderata'!A10,FIND("Avviso n° ",'caricamento Desiderata'!A10)-1),'caricamento Desiderata'!A10))</f>
        <v xml:space="preserve">07T118I 07T113I 07T114I controllo funzionale termocoppie. </v>
      </c>
      <c r="E10" s="62" t="s">
        <v>2218</v>
      </c>
      <c r="F10" s="62"/>
      <c r="G10" s="62"/>
      <c r="H10" s="63"/>
      <c r="I10" s="63"/>
      <c r="J10" s="64"/>
      <c r="K10" s="64" t="s">
        <v>52</v>
      </c>
      <c r="L10" s="49"/>
      <c r="M10" s="49"/>
      <c r="N10" s="49"/>
      <c r="O10" s="50" t="s">
        <v>2220</v>
      </c>
      <c r="P10" s="51">
        <v>45847</v>
      </c>
      <c r="Q10" s="48" t="s">
        <v>9</v>
      </c>
    </row>
    <row r="11" spans="1:17" ht="15" x14ac:dyDescent="0.2">
      <c r="A11" s="95" t="s">
        <v>3481</v>
      </c>
      <c r="C11" s="47" t="str">
        <f>IFERROR(MID('caricamento Desiderata'!A11,FIND("Avviso n° ",'caricamento Desiderata'!A11)+10,LEN('caricamento Desiderata'!A11)),"")</f>
        <v>00000004</v>
      </c>
      <c r="D11" s="47" t="str">
        <f>IF('caricamento Desiderata'!A11="", "", IFERROR(LEFT('caricamento Desiderata'!A11,FIND("Avviso n° ",'caricamento Desiderata'!A11)-1),'caricamento Desiderata'!A11))</f>
        <v xml:space="preserve">700-1-F171R RIPRISTINO FUNZIONALE. </v>
      </c>
      <c r="E11" s="47" t="s">
        <v>2325</v>
      </c>
      <c r="F11" s="47"/>
      <c r="G11" s="47"/>
      <c r="H11" s="48"/>
      <c r="I11" s="48"/>
      <c r="J11" s="49"/>
      <c r="K11" s="49" t="s">
        <v>43</v>
      </c>
      <c r="L11" s="49"/>
      <c r="M11" s="49"/>
      <c r="N11" s="49"/>
      <c r="O11" s="50"/>
      <c r="P11" s="51"/>
      <c r="Q11" s="48"/>
    </row>
    <row r="12" spans="1:17" ht="15" x14ac:dyDescent="0.2">
      <c r="A12" s="95" t="s">
        <v>3507</v>
      </c>
      <c r="C12" s="47" t="str">
        <f>IFERROR(MID('caricamento Desiderata'!A12,FIND("Avviso n° ",'caricamento Desiderata'!A12)+10,LEN('caricamento Desiderata'!A12)),"")</f>
        <v>10229802</v>
      </c>
      <c r="D12" s="47" t="str">
        <f>IF('caricamento Desiderata'!A12="", "", IFERROR(LEFT('caricamento Desiderata'!A12,FIND("Avviso n° ",'caricamento Desiderata'!A12)-1),'caricamento Desiderata'!A12))</f>
        <v xml:space="preserve">700: RIPR 07T160I controllo funzionale. </v>
      </c>
      <c r="E12" s="47" t="s">
        <v>2497</v>
      </c>
      <c r="F12" s="47" t="s">
        <v>8</v>
      </c>
      <c r="G12" s="47"/>
      <c r="H12" s="48" t="s">
        <v>8</v>
      </c>
      <c r="I12" s="48" t="s">
        <v>8</v>
      </c>
      <c r="J12" s="49"/>
      <c r="K12" s="49" t="s">
        <v>51</v>
      </c>
      <c r="L12" s="49"/>
      <c r="M12" s="49"/>
      <c r="N12" s="49"/>
      <c r="O12" s="50" t="s">
        <v>2499</v>
      </c>
      <c r="P12" s="51">
        <v>45947</v>
      </c>
      <c r="Q12" s="48" t="s">
        <v>238</v>
      </c>
    </row>
    <row r="13" spans="1:17" ht="15" x14ac:dyDescent="0.2">
      <c r="A13" s="96" t="s">
        <v>3508</v>
      </c>
      <c r="C13" s="47" t="str">
        <f>IFERROR(MID('caricamento Desiderata'!A13,FIND("Avviso n° ",'caricamento Desiderata'!A13)+10,LEN('caricamento Desiderata'!A13)),"")</f>
        <v>10229281</v>
      </c>
      <c r="D13" s="47" t="str">
        <f>IF('caricamento Desiderata'!A13="", "", IFERROR(LEFT('caricamento Desiderata'!A13,FIND("Avviso n° ",'caricamento Desiderata'!A13)-1),'caricamento Desiderata'!A13))</f>
        <v xml:space="preserve">700: VERIFICA FUNZ 07B600ASL controllo funzionale. </v>
      </c>
      <c r="E13" s="47" t="s">
        <v>2702</v>
      </c>
      <c r="F13" s="47"/>
      <c r="G13" s="47"/>
      <c r="H13" s="48"/>
      <c r="I13" s="48"/>
      <c r="J13" s="49"/>
      <c r="K13" s="49" t="s">
        <v>146</v>
      </c>
      <c r="L13" s="49"/>
      <c r="M13" s="49"/>
      <c r="N13" s="49"/>
      <c r="O13" s="50" t="s">
        <v>2704</v>
      </c>
      <c r="P13" s="51"/>
      <c r="Q13" s="48"/>
    </row>
    <row r="14" spans="1:17" ht="15" x14ac:dyDescent="0.2">
      <c r="A14" s="97" t="s">
        <v>3509</v>
      </c>
      <c r="C14" s="47" t="str">
        <f>IFERROR(MID('caricamento Desiderata'!A14,FIND("Avviso n° ",'caricamento Desiderata'!A14)+10,LEN('caricamento Desiderata'!A14)),"")</f>
        <v>10228179</v>
      </c>
      <c r="D14" s="47" t="str">
        <f>IF('caricamento Desiderata'!A14="", "", IFERROR(LEFT('caricamento Desiderata'!A14,FIND("Avviso n° ",'caricamento Desiderata'!A14)-1),'caricamento Desiderata'!A14))</f>
        <v xml:space="preserve">1100: MTZ 11T005RC   controllo funzionale. </v>
      </c>
      <c r="E14" s="47" t="s">
        <v>2487</v>
      </c>
      <c r="F14" s="47"/>
      <c r="G14" s="47"/>
      <c r="H14" s="48"/>
      <c r="I14" s="48"/>
      <c r="J14" s="49"/>
      <c r="K14" s="49" t="s">
        <v>43</v>
      </c>
      <c r="L14" s="49"/>
      <c r="M14" s="49"/>
      <c r="N14" s="49"/>
      <c r="O14" s="50"/>
      <c r="P14" s="51"/>
      <c r="Q14" s="48"/>
    </row>
    <row r="15" spans="1:17" ht="15" x14ac:dyDescent="0.2">
      <c r="A15" s="93" t="s">
        <v>3510</v>
      </c>
      <c r="C15" s="47" t="str">
        <f>IFERROR(MID('caricamento Desiderata'!A15,FIND("Avviso n° ",'caricamento Desiderata'!A15)+10,LEN('caricamento Desiderata'!A15)),"")</f>
        <v>10228364</v>
      </c>
      <c r="D15" s="47" t="str">
        <f>IF('caricamento Desiderata'!A15="", "", IFERROR(LEFT('caricamento Desiderata'!A15,FIND("Avviso n° ",'caricamento Desiderata'!A15)-1),'caricamento Desiderata'!A15))</f>
        <v xml:space="preserve">700A-1-F225R-controllo e ripristino funzionale. </v>
      </c>
      <c r="E15" s="47" t="s">
        <v>2334</v>
      </c>
      <c r="F15" s="47"/>
      <c r="G15" s="47"/>
      <c r="H15" s="48"/>
      <c r="I15" s="48"/>
      <c r="J15" s="49"/>
      <c r="K15" s="49" t="s">
        <v>43</v>
      </c>
      <c r="L15" s="49"/>
      <c r="M15" s="49"/>
      <c r="N15" s="49"/>
      <c r="O15" s="50"/>
      <c r="P15" s="51"/>
      <c r="Q15" s="48"/>
    </row>
    <row r="16" spans="1:17" ht="28.5" x14ac:dyDescent="0.2">
      <c r="A16" s="45" t="s">
        <v>3511</v>
      </c>
      <c r="C16" s="47" t="str">
        <f>IFERROR(MID('caricamento Desiderata'!A16,FIND("Avviso n° ",'caricamento Desiderata'!A16)+10,LEN('caricamento Desiderata'!A16)),"")</f>
        <v>10228178</v>
      </c>
      <c r="D16" s="47" t="str">
        <f>IF('caricamento Desiderata'!A16="", "", IFERROR(LEFT('caricamento Desiderata'!A16,FIND("Avviso n° ",'caricamento Desiderata'!A16)-1),'caricamento Desiderata'!A16))</f>
        <v xml:space="preserve">1100: MTZ 11F016R. </v>
      </c>
      <c r="E16" s="47" t="s">
        <v>2491</v>
      </c>
      <c r="F16" s="47"/>
      <c r="G16" s="47"/>
      <c r="H16" s="48" t="s">
        <v>8</v>
      </c>
      <c r="I16" s="48"/>
      <c r="J16" s="49" t="s">
        <v>8</v>
      </c>
      <c r="K16" s="49" t="s">
        <v>51</v>
      </c>
      <c r="L16" s="49"/>
      <c r="M16" s="49" t="s">
        <v>8</v>
      </c>
      <c r="N16" s="49"/>
      <c r="O16" s="50" t="s">
        <v>2493</v>
      </c>
      <c r="P16" s="51"/>
      <c r="Q16" s="48"/>
    </row>
    <row r="17" spans="1:17" ht="42.75" x14ac:dyDescent="0.2">
      <c r="A17" s="45" t="s">
        <v>3512</v>
      </c>
      <c r="C17" s="47" t="str">
        <f>IFERROR(MID('caricamento Desiderata'!A17,FIND("Avviso n° ",'caricamento Desiderata'!A17)+10,LEN('caricamento Desiderata'!A17)),"")</f>
        <v>10227342</v>
      </c>
      <c r="D17" s="47" t="str">
        <f>IF('caricamento Desiderata'!A17="", "", IFERROR(LEFT('caricamento Desiderata'!A17,FIND("Avviso n° ",'caricamento Desiderata'!A17)-1),'caricamento Desiderata'!A17))</f>
        <v xml:space="preserve">1800: 18T033I ripristino. </v>
      </c>
      <c r="E17" s="47" t="s">
        <v>2238</v>
      </c>
      <c r="F17" s="47"/>
      <c r="G17" s="47"/>
      <c r="H17" s="48"/>
      <c r="I17" s="48"/>
      <c r="J17" s="49"/>
      <c r="K17" s="49" t="s">
        <v>52</v>
      </c>
      <c r="L17" s="49"/>
      <c r="M17" s="49"/>
      <c r="N17" s="49"/>
      <c r="O17" s="50" t="s">
        <v>2240</v>
      </c>
      <c r="P17" s="51">
        <v>45861</v>
      </c>
      <c r="Q17" s="48" t="s">
        <v>23</v>
      </c>
    </row>
    <row r="18" spans="1:17" ht="42.75" x14ac:dyDescent="0.2">
      <c r="A18" s="46" t="s">
        <v>3513</v>
      </c>
      <c r="C18" s="47" t="str">
        <f>IFERROR(MID('caricamento Desiderata'!A18,FIND("Avviso n° ",'caricamento Desiderata'!A18)+10,LEN('caricamento Desiderata'!A18)),"")</f>
        <v>10232241</v>
      </c>
      <c r="D18" s="47" t="str">
        <f>IF('caricamento Desiderata'!A18="", "", IFERROR(LEFT('caricamento Desiderata'!A18,FIND("Avviso n° ",'caricamento Desiderata'!A18)-1),'caricamento Desiderata'!A18))</f>
        <v xml:space="preserve">700: VERIFICA T006HA. </v>
      </c>
      <c r="E18" s="47" t="s">
        <v>2320</v>
      </c>
      <c r="F18" s="47"/>
      <c r="G18" s="47"/>
      <c r="H18" s="48"/>
      <c r="I18" s="48"/>
      <c r="J18" s="49"/>
      <c r="K18" s="49" t="s">
        <v>52</v>
      </c>
      <c r="L18" s="49"/>
      <c r="M18" s="49"/>
      <c r="N18" s="49"/>
      <c r="O18" s="50" t="s">
        <v>2322</v>
      </c>
      <c r="P18" s="51">
        <v>45946</v>
      </c>
      <c r="Q18" s="48" t="s">
        <v>238</v>
      </c>
    </row>
    <row r="19" spans="1:17" ht="15" x14ac:dyDescent="0.2">
      <c r="A19" s="46" t="s">
        <v>3514</v>
      </c>
      <c r="C19" s="47" t="str">
        <f>IFERROR(MID('caricamento Desiderata'!A19,FIND("Avviso n° ",'caricamento Desiderata'!A19)+10,LEN('caricamento Desiderata'!A19)),"")</f>
        <v>00000005</v>
      </c>
      <c r="D19" s="47" t="str">
        <f>IF('caricamento Desiderata'!A19="", "", IFERROR(LEFT('caricamento Desiderata'!A19,FIND("Avviso n° ",'caricamento Desiderata'!A19)-1),'caricamento Desiderata'!A19))</f>
        <v xml:space="preserve">700 - P602RC COTROLLO FUNZIONALE. </v>
      </c>
      <c r="E19" s="47" t="s">
        <v>2480</v>
      </c>
      <c r="F19" s="47"/>
      <c r="G19" s="47"/>
      <c r="H19" s="48"/>
      <c r="I19" s="48"/>
      <c r="J19" s="49"/>
      <c r="K19" s="49" t="s">
        <v>43</v>
      </c>
      <c r="L19" s="49"/>
      <c r="M19" s="49"/>
      <c r="N19" s="49"/>
      <c r="O19" s="50"/>
      <c r="P19" s="51"/>
      <c r="Q19" s="48"/>
    </row>
    <row r="20" spans="1:17" ht="42.75" x14ac:dyDescent="0.2">
      <c r="A20" s="45" t="s">
        <v>3515</v>
      </c>
      <c r="C20" s="47" t="str">
        <f>IFERROR(MID('caricamento Desiderata'!A20,FIND("Avviso n° ",'caricamento Desiderata'!A20)+10,LEN('caricamento Desiderata'!A20)),"")</f>
        <v>10232242</v>
      </c>
      <c r="D20" s="47" t="str">
        <f>IF('caricamento Desiderata'!A20="", "", IFERROR(LEFT('caricamento Desiderata'!A20,FIND("Avviso n° ",'caricamento Desiderata'!A20)-1),'caricamento Desiderata'!A20))</f>
        <v xml:space="preserve">1200/M: VERIFICA ZMT802AR. </v>
      </c>
      <c r="E20" s="47" t="s">
        <v>2503</v>
      </c>
      <c r="F20" s="47"/>
      <c r="G20" s="47"/>
      <c r="H20" s="48"/>
      <c r="I20" s="48"/>
      <c r="J20" s="49"/>
      <c r="K20" s="49" t="s">
        <v>51</v>
      </c>
      <c r="L20" s="49"/>
      <c r="M20" s="49" t="s">
        <v>8</v>
      </c>
      <c r="N20" s="49"/>
      <c r="O20" s="50" t="s">
        <v>2505</v>
      </c>
      <c r="P20" s="51">
        <v>45946</v>
      </c>
      <c r="Q20" s="48" t="s">
        <v>238</v>
      </c>
    </row>
    <row r="21" spans="1:17" ht="15" x14ac:dyDescent="0.2">
      <c r="A21" s="46" t="s">
        <v>3516</v>
      </c>
      <c r="C21" s="47" t="str">
        <f>IFERROR(MID('caricamento Desiderata'!A21,FIND("Avviso n° ",'caricamento Desiderata'!A21)+10,LEN('caricamento Desiderata'!A21)),"")</f>
        <v>10228362</v>
      </c>
      <c r="D21" s="47" t="str">
        <f>IF('caricamento Desiderata'!A21="", "", IFERROR(LEFT('caricamento Desiderata'!A21,FIND("Avviso n° ",'caricamento Desiderata'!A21)-1),'caricamento Desiderata'!A21))</f>
        <v xml:space="preserve">700: RIPR PRC001 controllo funzionale. </v>
      </c>
      <c r="E21" s="47" t="s">
        <v>2332</v>
      </c>
      <c r="F21" s="47"/>
      <c r="G21" s="47"/>
      <c r="H21" s="48"/>
      <c r="I21" s="48"/>
      <c r="J21" s="49"/>
      <c r="K21" s="49" t="s">
        <v>43</v>
      </c>
      <c r="L21" s="49"/>
      <c r="M21" s="49"/>
      <c r="N21" s="49"/>
      <c r="O21" s="50"/>
      <c r="P21" s="51"/>
      <c r="Q21" s="48"/>
    </row>
    <row r="22" spans="1:17" ht="15" x14ac:dyDescent="0.2">
      <c r="A22" s="46" t="s">
        <v>3547</v>
      </c>
      <c r="C22" s="47" t="str">
        <f>IFERROR(MID('caricamento Desiderata'!A22,FIND("Avviso n° ",'caricamento Desiderata'!A22)+10,LEN('caricamento Desiderata'!A22)),"")</f>
        <v>00000007</v>
      </c>
      <c r="D22" s="47" t="str">
        <f>IF('caricamento Desiderata'!A22="", "", IFERROR(LEFT('caricamento Desiderata'!A22,FIND("Avviso n° ",'caricamento Desiderata'!A22)-1),'caricamento Desiderata'!A22))</f>
        <v xml:space="preserve">700A-1-F202RC CONTROLLO FUNZIONALE. </v>
      </c>
      <c r="E22" s="47" t="s">
        <v>3543</v>
      </c>
      <c r="F22" s="47"/>
      <c r="G22" s="47"/>
      <c r="H22" s="48"/>
      <c r="I22" s="48"/>
      <c r="J22" s="49"/>
      <c r="K22" s="49" t="s">
        <v>146</v>
      </c>
      <c r="L22" s="49"/>
      <c r="M22" s="49"/>
      <c r="N22" s="49"/>
      <c r="O22" s="50"/>
      <c r="P22" s="51"/>
      <c r="Q22" s="48"/>
    </row>
    <row r="23" spans="1:17" ht="15" x14ac:dyDescent="0.2">
      <c r="A23" s="46" t="s">
        <v>3546</v>
      </c>
      <c r="C23" s="47" t="str">
        <f>IFERROR(MID('caricamento Desiderata'!A23,FIND("Avviso n° ",'caricamento Desiderata'!A23)+10,LEN('caricamento Desiderata'!A23)),"")</f>
        <v>00000006</v>
      </c>
      <c r="D23" s="47" t="str">
        <f>IF('caricamento Desiderata'!A23="", "", IFERROR(LEFT('caricamento Desiderata'!A23,FIND("Avviso n° ",'caricamento Desiderata'!A23)-1),'caricamento Desiderata'!A23))</f>
        <v xml:space="preserve">700-1-F024 AT/BT CONTROLLO FUNZIONALE. </v>
      </c>
      <c r="E23" s="47" t="s">
        <v>3539</v>
      </c>
      <c r="F23" s="47"/>
      <c r="G23" s="47"/>
      <c r="H23" s="48"/>
      <c r="I23" s="48"/>
      <c r="J23" s="49"/>
      <c r="K23" s="49" t="s">
        <v>146</v>
      </c>
      <c r="L23" s="49"/>
      <c r="M23" s="49"/>
      <c r="N23" s="49"/>
      <c r="O23" s="50"/>
      <c r="P23" s="51"/>
      <c r="Q23" s="48"/>
    </row>
    <row r="24" spans="1:17" ht="15" x14ac:dyDescent="0.2">
      <c r="A24" s="46" t="s">
        <v>3545</v>
      </c>
      <c r="C24" s="47" t="str">
        <f>IFERROR(MID('caricamento Desiderata'!A24,FIND("Avviso n° ",'caricamento Desiderata'!A24)+10,LEN('caricamento Desiderata'!A24)),"")</f>
        <v>10232689</v>
      </c>
      <c r="D24" s="47" t="str">
        <f>IF('caricamento Desiderata'!A24="", "", IFERROR(LEFT('caricamento Desiderata'!A24,FIND("Avviso n° ",'caricamento Desiderata'!A24)-1),'caricamento Desiderata'!A24))</f>
        <v xml:space="preserve">18-T064R ripristino funzionale. </v>
      </c>
      <c r="E24" s="47" t="s">
        <v>3538</v>
      </c>
      <c r="F24" s="47"/>
      <c r="G24" s="47"/>
      <c r="H24" s="48"/>
      <c r="I24" s="48"/>
      <c r="J24" s="49"/>
      <c r="K24" s="49" t="s">
        <v>146</v>
      </c>
      <c r="L24" s="49"/>
      <c r="M24" s="49"/>
      <c r="N24" s="49"/>
      <c r="O24" s="50"/>
      <c r="P24" s="51"/>
      <c r="Q24" s="48"/>
    </row>
    <row r="25" spans="1:17" ht="15" x14ac:dyDescent="0.2">
      <c r="A25" s="46"/>
      <c r="C25" s="47" t="str">
        <f>IFERROR(MID('caricamento Desiderata'!A25,FIND("Avviso n° ",'caricamento Desiderata'!A25)+10,LEN('caricamento Desiderata'!A25)),"")</f>
        <v/>
      </c>
      <c r="D25" s="47" t="str">
        <f>IF('caricamento Desiderata'!A25="", "", IFERROR(LEFT('caricamento Desiderata'!A25,FIND("Avviso n° ",'caricamento Desiderata'!A25)-1),'caricamento Desiderata'!A25))</f>
        <v/>
      </c>
      <c r="E25" s="47"/>
      <c r="F25" s="47"/>
      <c r="G25" s="47"/>
      <c r="H25" s="48"/>
      <c r="I25" s="48"/>
      <c r="J25" s="49"/>
      <c r="K25" s="49"/>
      <c r="L25" s="49"/>
      <c r="M25" s="49"/>
      <c r="N25" s="49"/>
      <c r="O25" s="50"/>
      <c r="P25" s="51"/>
      <c r="Q25" s="48"/>
    </row>
    <row r="26" spans="1:17" x14ac:dyDescent="0.2">
      <c r="C26" s="47" t="str">
        <f>IFERROR(MID('caricamento Desiderata'!A26,FIND("Avviso n° ",'caricamento Desiderata'!A26)+10,LEN('caricamento Desiderata'!A26)),"")</f>
        <v/>
      </c>
      <c r="D26" s="47" t="str">
        <f>IF('caricamento Desiderata'!A26="", "", IFERROR(LEFT('caricamento Desiderata'!A26,FIND("Avviso n° ",'caricamento Desiderata'!A26)-1),'caricamento Desiderata'!A26))</f>
        <v/>
      </c>
      <c r="E26" s="47"/>
      <c r="F26" s="47"/>
      <c r="G26" s="47"/>
      <c r="H26" s="48"/>
      <c r="I26" s="48"/>
      <c r="J26" s="49"/>
      <c r="K26" s="49"/>
      <c r="L26" s="49"/>
      <c r="M26" s="49"/>
      <c r="N26" s="49"/>
      <c r="O26" s="50"/>
      <c r="P26" s="51"/>
      <c r="Q26" s="48"/>
    </row>
    <row r="27" spans="1:17" x14ac:dyDescent="0.2">
      <c r="C27" s="47" t="str">
        <f>IFERROR(MID('caricamento Desiderata'!A27,FIND("Avviso n° ",'caricamento Desiderata'!A27)+10,LEN('caricamento Desiderata'!A27)),"")</f>
        <v/>
      </c>
      <c r="D27" s="47" t="str">
        <f>IF('caricamento Desiderata'!A27="", "", IFERROR(LEFT('caricamento Desiderata'!A27,FIND("Avviso n° ",'caricamento Desiderata'!A27)-1),'caricamento Desiderata'!A27))</f>
        <v/>
      </c>
      <c r="E27" s="47"/>
      <c r="F27" s="47"/>
      <c r="G27" s="47"/>
      <c r="H27" s="48"/>
      <c r="I27" s="48"/>
      <c r="J27" s="49"/>
      <c r="K27" s="49"/>
      <c r="L27" s="49"/>
      <c r="M27" s="49"/>
      <c r="N27" s="49"/>
      <c r="O27" s="50"/>
      <c r="P27" s="51"/>
      <c r="Q27" s="48"/>
    </row>
    <row r="28" spans="1:17" x14ac:dyDescent="0.2">
      <c r="C28" s="47" t="str">
        <f>IFERROR(MID('caricamento Desiderata'!A28,FIND("Avviso n° ",'caricamento Desiderata'!A28)+10,LEN('caricamento Desiderata'!A28)),"")</f>
        <v/>
      </c>
      <c r="D28" s="47" t="str">
        <f>IF('caricamento Desiderata'!A28="", "", IFERROR(LEFT('caricamento Desiderata'!A28,FIND("Avviso n° ",'caricamento Desiderata'!A28)-1),'caricamento Desiderata'!A28))</f>
        <v/>
      </c>
      <c r="E28" s="47"/>
      <c r="F28" s="47"/>
      <c r="G28" s="47"/>
      <c r="H28" s="48"/>
      <c r="I28" s="48"/>
      <c r="J28" s="49"/>
      <c r="K28" s="49"/>
      <c r="L28" s="49"/>
      <c r="M28" s="49"/>
      <c r="N28" s="49"/>
      <c r="O28" s="50"/>
      <c r="P28" s="51"/>
      <c r="Q28" s="48"/>
    </row>
    <row r="29" spans="1:17" x14ac:dyDescent="0.2">
      <c r="C29" s="47" t="str">
        <f>IFERROR(MID('caricamento Desiderata'!A29,FIND("Avviso n° ",'caricamento Desiderata'!A29)+10,LEN('caricamento Desiderata'!A29)),"")</f>
        <v/>
      </c>
      <c r="D29" s="47" t="str">
        <f>IF('caricamento Desiderata'!A29="", "", IFERROR(LEFT('caricamento Desiderata'!A29,FIND("Avviso n° ",'caricamento Desiderata'!A29)-1),'caricamento Desiderata'!A29))</f>
        <v/>
      </c>
      <c r="E29" s="47"/>
      <c r="F29" s="47"/>
      <c r="G29" s="47"/>
      <c r="H29" s="48"/>
      <c r="I29" s="48"/>
      <c r="J29" s="49"/>
      <c r="K29" s="49"/>
      <c r="L29" s="49"/>
      <c r="M29" s="49"/>
      <c r="N29" s="49"/>
      <c r="O29" s="50"/>
      <c r="P29" s="51"/>
      <c r="Q29" s="48"/>
    </row>
    <row r="30" spans="1:17" x14ac:dyDescent="0.2">
      <c r="C30" s="47" t="str">
        <f>IFERROR(MID('caricamento Desiderata'!A30,FIND("Avviso n° ",'caricamento Desiderata'!A30)+10,LEN('caricamento Desiderata'!A30)),"")</f>
        <v/>
      </c>
      <c r="D30" s="47" t="str">
        <f>IF('caricamento Desiderata'!A30="", "", IFERROR(LEFT('caricamento Desiderata'!A30,FIND("Avviso n° ",'caricamento Desiderata'!A30)-1),'caricamento Desiderata'!A30))</f>
        <v/>
      </c>
      <c r="E30" s="47"/>
      <c r="F30" s="47"/>
      <c r="G30" s="47"/>
      <c r="H30" s="48"/>
      <c r="I30" s="48"/>
      <c r="J30" s="49"/>
      <c r="K30" s="49"/>
      <c r="L30" s="49"/>
      <c r="M30" s="49"/>
      <c r="N30" s="49"/>
      <c r="O30" s="50"/>
      <c r="P30" s="51"/>
      <c r="Q30" s="48"/>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0290" r:id="rId4" name="Button 2">
              <controlPr defaultSize="0" print="0" autoFill="0" autoPict="0" macro="[0]!popolaDesiderata">
                <anchor moveWithCells="1" sizeWithCells="1">
                  <from>
                    <xdr:col>0</xdr:col>
                    <xdr:colOff>0</xdr:colOff>
                    <xdr:row>0</xdr:row>
                    <xdr:rowOff>0</xdr:rowOff>
                  </from>
                  <to>
                    <xdr:col>0</xdr:col>
                    <xdr:colOff>1695450</xdr:colOff>
                    <xdr:row>0</xdr:row>
                    <xdr:rowOff>171450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oglio10">
    <tabColor rgb="FFFF0000"/>
    <pageSetUpPr fitToPage="1"/>
  </sheetPr>
  <dimension ref="A1:O42"/>
  <sheetViews>
    <sheetView workbookViewId="0">
      <selection activeCell="C18" sqref="C18"/>
    </sheetView>
  </sheetViews>
  <sheetFormatPr defaultColWidth="8.75" defaultRowHeight="14.25" x14ac:dyDescent="0.2"/>
  <cols>
    <col min="1" max="1" width="20.875" style="73" bestFit="1" customWidth="1"/>
    <col min="2" max="2" width="46.5" style="73" bestFit="1" customWidth="1"/>
    <col min="3" max="3" width="8.75" style="73" customWidth="1"/>
    <col min="4" max="4" width="10.75" style="73" bestFit="1" customWidth="1"/>
    <col min="5" max="9" width="4.375" style="73" customWidth="1"/>
    <col min="10" max="12" width="4.5" style="73" customWidth="1"/>
    <col min="13" max="13" width="76.25" style="73" customWidth="1"/>
    <col min="14" max="14" width="41.625" style="72" bestFit="1" customWidth="1"/>
    <col min="15" max="15" width="25" style="73" bestFit="1" customWidth="1"/>
    <col min="16" max="16384" width="8.75" style="73"/>
  </cols>
  <sheetData>
    <row r="1" spans="1:14" s="54" customFormat="1" ht="27.95" customHeight="1" x14ac:dyDescent="0.45">
      <c r="A1" s="215" t="str">
        <f>'caricamento Desiderata'!A1</f>
        <v>Quadro situazione PA3S al 23.10.2025</v>
      </c>
      <c r="B1" s="215"/>
      <c r="C1" s="215"/>
      <c r="D1" s="215"/>
      <c r="E1" s="215"/>
      <c r="F1" s="215"/>
      <c r="G1" s="215"/>
      <c r="H1" s="215"/>
      <c r="I1" s="215"/>
      <c r="J1" s="215"/>
      <c r="K1" s="215"/>
      <c r="L1" s="215"/>
      <c r="M1" s="215"/>
      <c r="N1" s="215"/>
    </row>
    <row r="2" spans="1:14" s="54" customFormat="1" ht="14.1" customHeight="1" x14ac:dyDescent="0.2">
      <c r="A2" s="58"/>
      <c r="N2" s="65"/>
    </row>
    <row r="3" spans="1:14" s="54" customFormat="1" ht="14.1" hidden="1" customHeight="1" x14ac:dyDescent="0.25">
      <c r="A3" s="56" t="s">
        <v>76</v>
      </c>
      <c r="B3" s="55"/>
      <c r="C3" s="55"/>
      <c r="D3" s="55"/>
      <c r="E3" s="55"/>
      <c r="F3" s="55"/>
      <c r="G3" s="55"/>
      <c r="H3" s="55"/>
      <c r="I3" s="55"/>
      <c r="J3" s="55"/>
      <c r="K3" s="55"/>
      <c r="L3" s="55"/>
      <c r="N3" s="65"/>
    </row>
    <row r="4" spans="1:14" ht="13.9" hidden="1" customHeight="1" x14ac:dyDescent="0.2">
      <c r="A4" s="76" t="s">
        <v>61</v>
      </c>
      <c r="B4" s="59" t="s">
        <v>70</v>
      </c>
      <c r="C4" s="59" t="s">
        <v>71</v>
      </c>
    </row>
    <row r="5" spans="1:14" s="54" customFormat="1" ht="14.1" hidden="1" customHeight="1" x14ac:dyDescent="0.2">
      <c r="A5" s="57" t="str">
        <f>IF(ISBLANK('caricamento Desiderata'!E2), IF(ISBLANK('caricamento Desiderata'!C2), "", 'caricamento Desiderata'!C2), "")</f>
        <v/>
      </c>
      <c r="B5" s="57" t="str">
        <f>IF(ISBLANK('caricamento Desiderata'!E2), IF(ISBLANK('caricamento Desiderata'!D2), "", 'caricamento Desiderata'!D2), "")</f>
        <v/>
      </c>
      <c r="C5" s="57"/>
      <c r="N5" s="65"/>
    </row>
    <row r="6" spans="1:14" s="54" customFormat="1" ht="14.1" hidden="1" customHeight="1" x14ac:dyDescent="0.2">
      <c r="N6" s="65"/>
    </row>
    <row r="7" spans="1:14" s="54" customFormat="1" ht="14.1" customHeight="1" x14ac:dyDescent="0.25">
      <c r="A7" s="56" t="s">
        <v>60</v>
      </c>
      <c r="B7" s="55"/>
      <c r="C7" s="55"/>
      <c r="D7" s="67"/>
      <c r="E7" s="67"/>
      <c r="F7" s="67"/>
      <c r="G7" s="67"/>
      <c r="H7" s="67"/>
      <c r="I7" s="67"/>
      <c r="J7" s="67"/>
      <c r="K7" s="67"/>
      <c r="L7" s="67"/>
      <c r="N7" s="65"/>
    </row>
    <row r="8" spans="1:14" ht="13.9" customHeight="1" x14ac:dyDescent="0.2">
      <c r="A8" s="76" t="s">
        <v>61</v>
      </c>
      <c r="B8" s="59" t="s">
        <v>70</v>
      </c>
      <c r="C8" s="59" t="s">
        <v>71</v>
      </c>
      <c r="D8" s="74" t="s">
        <v>72</v>
      </c>
      <c r="E8" s="59" t="s">
        <v>3</v>
      </c>
      <c r="F8" s="59" t="s">
        <v>4</v>
      </c>
      <c r="G8" s="59" t="s">
        <v>5</v>
      </c>
      <c r="H8" s="59" t="s">
        <v>6</v>
      </c>
      <c r="I8" s="60" t="s">
        <v>7</v>
      </c>
    </row>
    <row r="9" spans="1:14" s="54" customFormat="1" ht="14.1" customHeight="1" x14ac:dyDescent="0.2">
      <c r="A9" s="57" t="str">
        <f>IF(AND(COUNTIF('caricamento Desiderata'!F2:J2, "X") = 0, 'caricamento Desiderata'!E2 &lt;&gt; "", OR(TRIM('caricamento Desiderata'!K2)="EMESSO", TRIM('caricamento Desiderata'!K2)="RICHIESTO")), 'caricamento Desiderata'!C2, "")</f>
        <v>10229281</v>
      </c>
      <c r="B9" s="57" t="str">
        <f>IF(AND(COUNTIF('caricamento Desiderata'!F2:J2, "X") = 0, 'caricamento Desiderata'!E2 &lt;&gt; "", OR(TRIM('caricamento Desiderata'!K2)="EMESSO", TRIM('caricamento Desiderata'!K2)="RICHIESTO")), 'caricamento Desiderata'!D2, "")</f>
        <v xml:space="preserve">700: VERIFICA FUNZ 07B600ASL  controllo funzionale. </v>
      </c>
      <c r="C9" s="57" t="str">
        <f>IF(AND(COUNTIF('caricamento Desiderata'!F2:J2, "X") = 0, 'caricamento Desiderata'!E2 &lt;&gt; "", OR(TRIM('caricamento Desiderata'!K2)="EMESSO", TRIM('caricamento Desiderata'!K2)="RICHIESTO")), 'caricamento Desiderata'!E2, "")</f>
        <v>556064/C</v>
      </c>
      <c r="D9" s="57" t="str">
        <f>IF(AND(COUNTIF('caricamento Desiderata'!F2:J2, "X") = 0, 'caricamento Desiderata'!E2 &lt;&gt; "", OR(TRIM('caricamento Desiderata'!K2)="EMESSO", TRIM('caricamento Desiderata'!K2)="RICHIESTO")), 'caricamento Desiderata'!K2, "")</f>
        <v>RICHIESTO</v>
      </c>
      <c r="E9" s="68"/>
      <c r="F9" s="68"/>
      <c r="G9" s="68"/>
      <c r="H9" s="68"/>
      <c r="I9" s="68"/>
      <c r="N9" s="65"/>
    </row>
    <row r="10" spans="1:14" s="54" customFormat="1" ht="14.1" customHeight="1" x14ac:dyDescent="0.2">
      <c r="A10" s="57" t="str">
        <f>IF(AND(COUNTIF('caricamento Desiderata'!F3:J3, "X") = 0, 'caricamento Desiderata'!E3 &lt;&gt; "", OR(TRIM('caricamento Desiderata'!K3)="EMESSO", TRIM('caricamento Desiderata'!K3)="RICHIESTO")), 'caricamento Desiderata'!C3, "")</f>
        <v>10224442</v>
      </c>
      <c r="B10" s="57" t="str">
        <f>IF(AND(COUNTIF('caricamento Desiderata'!F3:J3, "X") = 0, 'caricamento Desiderata'!E3 &lt;&gt; "", OR(TRIM('caricamento Desiderata'!K3)="EMESSO", TRIM('caricamento Desiderata'!K3)="RICHIESTO")), 'caricamento Desiderata'!D3, "")</f>
        <v xml:space="preserve">700: mtz 07P355R  controllo funzionale. </v>
      </c>
      <c r="C10" s="57" t="str">
        <f>IF(AND(COUNTIF('caricamento Desiderata'!F3:J3, "X") = 0, 'caricamento Desiderata'!E3 &lt;&gt; "", OR(TRIM('caricamento Desiderata'!K3)="EMESSO", TRIM('caricamento Desiderata'!K3)="RICHIESTO")), 'caricamento Desiderata'!E3, "")</f>
        <v>556802/C</v>
      </c>
      <c r="D10" s="57" t="str">
        <f>IF(AND(COUNTIF('caricamento Desiderata'!F3:J3, "X") = 0, 'caricamento Desiderata'!E3 &lt;&gt; "", OR(TRIM('caricamento Desiderata'!K3)="EMESSO", TRIM('caricamento Desiderata'!K3)="RICHIESTO")), 'caricamento Desiderata'!K3, "")</f>
        <v>EMESSO</v>
      </c>
      <c r="E10" s="68"/>
      <c r="F10" s="68"/>
      <c r="G10" s="68"/>
      <c r="H10" s="68"/>
      <c r="I10" s="68"/>
      <c r="N10" s="65"/>
    </row>
    <row r="11" spans="1:14" s="54" customFormat="1" ht="14.1" customHeight="1" x14ac:dyDescent="0.2">
      <c r="A11" s="57" t="str">
        <f>IF(AND(COUNTIF('caricamento Desiderata'!F4:J4, "X") = 0, 'caricamento Desiderata'!E4 &lt;&gt; "", OR(TRIM('caricamento Desiderata'!K4)="EMESSO", TRIM('caricamento Desiderata'!K4)="RICHIESTO")), 'caricamento Desiderata'!C4, "")</f>
        <v>10224485</v>
      </c>
      <c r="B11" s="57" t="str">
        <f>IF(AND(COUNTIF('caricamento Desiderata'!F4:J4, "X") = 0, 'caricamento Desiderata'!E4 &lt;&gt; "", OR(TRIM('caricamento Desiderata'!K4)="EMESSO", TRIM('caricamento Desiderata'!K4)="RICHIESTO")), 'caricamento Desiderata'!D4, "")</f>
        <v xml:space="preserve">700: MTZ 07T301I  controllo funzionale. </v>
      </c>
      <c r="C11" s="57" t="str">
        <f>IF(AND(COUNTIF('caricamento Desiderata'!F4:J4, "X") = 0, 'caricamento Desiderata'!E4 &lt;&gt; "", OR(TRIM('caricamento Desiderata'!K4)="EMESSO", TRIM('caricamento Desiderata'!K4)="RICHIESTO")), 'caricamento Desiderata'!E4, "")</f>
        <v>556805/C</v>
      </c>
      <c r="D11" s="57" t="str">
        <f>IF(AND(COUNTIF('caricamento Desiderata'!F4:J4, "X") = 0, 'caricamento Desiderata'!E4 &lt;&gt; "", OR(TRIM('caricamento Desiderata'!K4)="EMESSO", TRIM('caricamento Desiderata'!K4)="RICHIESTO")), 'caricamento Desiderata'!K4, "")</f>
        <v>EMESSO</v>
      </c>
      <c r="E11" s="68"/>
      <c r="F11" s="68"/>
      <c r="G11" s="68"/>
      <c r="H11" s="68"/>
      <c r="I11" s="68"/>
      <c r="N11" s="65"/>
    </row>
    <row r="12" spans="1:14" s="54" customFormat="1" ht="14.1" customHeight="1" x14ac:dyDescent="0.2">
      <c r="A12" s="57" t="str">
        <f>IF(AND(COUNTIF('caricamento Desiderata'!F5:J5, "X") = 0, 'caricamento Desiderata'!E5 &lt;&gt; "", OR(TRIM('caricamento Desiderata'!K5)="EMESSO", TRIM('caricamento Desiderata'!K5)="RICHIESTO")), 'caricamento Desiderata'!C5, "")</f>
        <v>10224484</v>
      </c>
      <c r="B12" s="57" t="str">
        <f>IF(AND(COUNTIF('caricamento Desiderata'!F5:J5, "X") = 0, 'caricamento Desiderata'!E5 &lt;&gt; "", OR(TRIM('caricamento Desiderata'!K5)="EMESSO", TRIM('caricamento Desiderata'!K5)="RICHIESTO")), 'caricamento Desiderata'!D5, "")</f>
        <v xml:space="preserve">700: MTZ 07Z603I controllo funzionale. </v>
      </c>
      <c r="C12" s="57" t="str">
        <f>IF(AND(COUNTIF('caricamento Desiderata'!F5:J5, "X") = 0, 'caricamento Desiderata'!E5 &lt;&gt; "", OR(TRIM('caricamento Desiderata'!K5)="EMESSO", TRIM('caricamento Desiderata'!K5)="RICHIESTO")), 'caricamento Desiderata'!E5, "")</f>
        <v>556807/C</v>
      </c>
      <c r="D12" s="57" t="str">
        <f>IF(AND(COUNTIF('caricamento Desiderata'!F5:J5, "X") = 0, 'caricamento Desiderata'!E5 &lt;&gt; "", OR(TRIM('caricamento Desiderata'!K5)="EMESSO", TRIM('caricamento Desiderata'!K5)="RICHIESTO")), 'caricamento Desiderata'!K5, "")</f>
        <v>RICHIESTO</v>
      </c>
      <c r="E12" s="68"/>
      <c r="F12" s="68"/>
      <c r="G12" s="68"/>
      <c r="H12" s="68"/>
      <c r="I12" s="68"/>
      <c r="N12" s="65"/>
    </row>
    <row r="13" spans="1:14" s="54" customFormat="1" ht="14.1" customHeight="1" x14ac:dyDescent="0.2">
      <c r="A13" s="57" t="str">
        <f>IF(AND(COUNTIF('caricamento Desiderata'!F7:J7, "X") = 0, 'caricamento Desiderata'!E7 &lt;&gt; "", OR(TRIM('caricamento Desiderata'!K7)="EMESSO", TRIM('caricamento Desiderata'!K7)="RICHIESTO")), 'caricamento Desiderata'!C7, "")</f>
        <v>00000002</v>
      </c>
      <c r="B13" s="57" t="str">
        <f>IF(AND(COUNTIF('caricamento Desiderata'!F7:J7, "X") = 0, 'caricamento Desiderata'!E7 &lt;&gt; "", OR(TRIM('caricamento Desiderata'!K7)="EMESSO", TRIM('caricamento Desiderata'!K7)="RICHIESTO")), 'caricamento Desiderata'!D7, "")</f>
        <v xml:space="preserve">700A - RIPRISTINO JB TH6. </v>
      </c>
      <c r="C13" s="57" t="str">
        <f>IF(AND(COUNTIF('caricamento Desiderata'!F7:J7, "X") = 0, 'caricamento Desiderata'!E7 &lt;&gt; "", OR(TRIM('caricamento Desiderata'!K7)="EMESSO", TRIM('caricamento Desiderata'!K7)="RICHIESTO")), 'caricamento Desiderata'!E7, "")</f>
        <v>539875/C</v>
      </c>
      <c r="D13" s="57" t="str">
        <f>IF(AND(COUNTIF('caricamento Desiderata'!F7:J7, "X") = 0, 'caricamento Desiderata'!E7 &lt;&gt; "", OR(TRIM('caricamento Desiderata'!K7)="EMESSO", TRIM('caricamento Desiderata'!K7)="RICHIESTO")), 'caricamento Desiderata'!K7, "")</f>
        <v>EMESSO</v>
      </c>
      <c r="E13" s="68"/>
      <c r="F13" s="68"/>
      <c r="G13" s="68"/>
      <c r="H13" s="68"/>
      <c r="I13" s="68"/>
      <c r="N13" s="65"/>
    </row>
    <row r="14" spans="1:14" s="54" customFormat="1" ht="14.1" customHeight="1" x14ac:dyDescent="0.2">
      <c r="A14" s="57" t="str">
        <f>IF(AND(COUNTIF('caricamento Desiderata'!F8:J8, "X") = 0, 'caricamento Desiderata'!E8 &lt;&gt; "", OR(TRIM('caricamento Desiderata'!K8)="EMESSO", TRIM('caricamento Desiderata'!K8)="RICHIESTO")), 'caricamento Desiderata'!C8, "")</f>
        <v>10232613</v>
      </c>
      <c r="B14" s="57" t="str">
        <f>IF(AND(COUNTIF('caricamento Desiderata'!F8:J8, "X") = 0, 'caricamento Desiderata'!E8 &lt;&gt; "", OR(TRIM('caricamento Desiderata'!K8)="EMESSO", TRIM('caricamento Desiderata'!K8)="RICHIESTO")), 'caricamento Desiderata'!D8, "")</f>
        <v xml:space="preserve">1200/3: TARATURA Z3F301. </v>
      </c>
      <c r="C14" s="57" t="str">
        <f>IF(AND(COUNTIF('caricamento Desiderata'!F8:J8, "X") = 0, 'caricamento Desiderata'!E8 &lt;&gt; "", OR(TRIM('caricamento Desiderata'!K8)="EMESSO", TRIM('caricamento Desiderata'!K8)="RICHIESTO")), 'caricamento Desiderata'!E8, "")</f>
        <v>556723/C</v>
      </c>
      <c r="D14" s="57" t="str">
        <f>IF(AND(COUNTIF('caricamento Desiderata'!F8:J8, "X") = 0, 'caricamento Desiderata'!E8 &lt;&gt; "", OR(TRIM('caricamento Desiderata'!K8)="EMESSO", TRIM('caricamento Desiderata'!K8)="RICHIESTO")), 'caricamento Desiderata'!K8, "")</f>
        <v>EMESSO</v>
      </c>
      <c r="E14" s="68"/>
      <c r="F14" s="68"/>
      <c r="G14" s="68"/>
      <c r="H14" s="68"/>
      <c r="I14" s="68"/>
      <c r="N14" s="65"/>
    </row>
    <row r="15" spans="1:14" s="54" customFormat="1" ht="14.1" customHeight="1" x14ac:dyDescent="0.2">
      <c r="A15" s="57" t="str">
        <f>IF(AND(COUNTIF('caricamento Desiderata'!F11:J11, "X") = 0, 'caricamento Desiderata'!E11 &lt;&gt; "", OR(TRIM('caricamento Desiderata'!K11)="EMESSO", TRIM('caricamento Desiderata'!K11)="RICHIESTO")), 'caricamento Desiderata'!C11, "")</f>
        <v>00000004</v>
      </c>
      <c r="B15" s="57" t="str">
        <f>IF(AND(COUNTIF('caricamento Desiderata'!F11:J11, "X") = 0, 'caricamento Desiderata'!E11 &lt;&gt; "", OR(TRIM('caricamento Desiderata'!K11)="EMESSO", TRIM('caricamento Desiderata'!K11)="RICHIESTO")), 'caricamento Desiderata'!D11, "")</f>
        <v xml:space="preserve">700-1-F171R RIPRISTINO FUNZIONALE. </v>
      </c>
      <c r="C15" s="57" t="str">
        <f>IF(AND(COUNTIF('caricamento Desiderata'!F11:J11, "X") = 0, 'caricamento Desiderata'!E11 &lt;&gt; "", OR(TRIM('caricamento Desiderata'!K11)="EMESSO", TRIM('caricamento Desiderata'!K11)="RICHIESTO")), 'caricamento Desiderata'!E11, "")</f>
        <v>556269/C</v>
      </c>
      <c r="D15" s="57" t="str">
        <f>IF(AND(COUNTIF('caricamento Desiderata'!F11:J11, "X") = 0, 'caricamento Desiderata'!E11 &lt;&gt; "", OR(TRIM('caricamento Desiderata'!K11)="EMESSO", TRIM('caricamento Desiderata'!K11)="RICHIESTO")), 'caricamento Desiderata'!K11, "")</f>
        <v>EMESSO</v>
      </c>
      <c r="E15" s="68"/>
      <c r="F15" s="68"/>
      <c r="G15" s="68"/>
      <c r="H15" s="68"/>
      <c r="I15" s="68"/>
      <c r="N15" s="65"/>
    </row>
    <row r="16" spans="1:14" s="54" customFormat="1" ht="14.1" customHeight="1" x14ac:dyDescent="0.2">
      <c r="A16" s="57" t="str">
        <f>IF(AND(COUNTIF('caricamento Desiderata'!F13:J13, "X") = 0, 'caricamento Desiderata'!E13 &lt;&gt; "", OR(TRIM('caricamento Desiderata'!K13)="EMESSO", TRIM('caricamento Desiderata'!K13)="RICHIESTO")), 'caricamento Desiderata'!C13, "")</f>
        <v>10229281</v>
      </c>
      <c r="B16" s="57" t="str">
        <f>IF(AND(COUNTIF('caricamento Desiderata'!F13:J13, "X") = 0, 'caricamento Desiderata'!E13 &lt;&gt; "", OR(TRIM('caricamento Desiderata'!K13)="EMESSO", TRIM('caricamento Desiderata'!K13)="RICHIESTO")), 'caricamento Desiderata'!D13, "")</f>
        <v xml:space="preserve">700: VERIFICA FUNZ 07B600ASL controllo funzionale. </v>
      </c>
      <c r="C16" s="57" t="str">
        <f>IF(AND(COUNTIF('caricamento Desiderata'!F13:J13, "X") = 0, 'caricamento Desiderata'!E13 &lt;&gt; "", OR(TRIM('caricamento Desiderata'!K13)="EMESSO", TRIM('caricamento Desiderata'!K13)="RICHIESTO")), 'caricamento Desiderata'!E13, "")</f>
        <v>556064/C</v>
      </c>
      <c r="D16" s="57" t="str">
        <f>IF(AND(COUNTIF('caricamento Desiderata'!F13:J13, "X") = 0, 'caricamento Desiderata'!E13 &lt;&gt; "", OR(TRIM('caricamento Desiderata'!K13)="EMESSO", TRIM('caricamento Desiderata'!K13)="RICHIESTO")), 'caricamento Desiderata'!K13, "")</f>
        <v>RICHIESTO</v>
      </c>
      <c r="E16" s="68"/>
      <c r="F16" s="68"/>
      <c r="G16" s="68"/>
      <c r="H16" s="68"/>
      <c r="I16" s="68"/>
      <c r="N16" s="65"/>
    </row>
    <row r="17" spans="1:15" s="54" customFormat="1" ht="14.1" customHeight="1" x14ac:dyDescent="0.2">
      <c r="A17" s="57" t="str">
        <f>IF(AND(COUNTIF('caricamento Desiderata'!F14:J14, "X") = 0, 'caricamento Desiderata'!E14 &lt;&gt; "", OR(TRIM('caricamento Desiderata'!K14)="EMESSO", TRIM('caricamento Desiderata'!K14)="RICHIESTO")), 'caricamento Desiderata'!C14, "")</f>
        <v>10228179</v>
      </c>
      <c r="B17" s="57" t="str">
        <f>IF(AND(COUNTIF('caricamento Desiderata'!F14:J14, "X") = 0, 'caricamento Desiderata'!E14 &lt;&gt; "", OR(TRIM('caricamento Desiderata'!K14)="EMESSO", TRIM('caricamento Desiderata'!K14)="RICHIESTO")), 'caricamento Desiderata'!D14, "")</f>
        <v xml:space="preserve">1100: MTZ 11T005RC   controllo funzionale. </v>
      </c>
      <c r="C17" s="57" t="str">
        <f>IF(AND(COUNTIF('caricamento Desiderata'!F14:J14, "X") = 0, 'caricamento Desiderata'!E14 &lt;&gt; "", OR(TRIM('caricamento Desiderata'!K14)="EMESSO", TRIM('caricamento Desiderata'!K14)="RICHIESTO")), 'caricamento Desiderata'!E14, "")</f>
        <v>556070/C</v>
      </c>
      <c r="D17" s="57" t="str">
        <f>IF(AND(COUNTIF('caricamento Desiderata'!F14:J14, "X") = 0, 'caricamento Desiderata'!E14 &lt;&gt; "", OR(TRIM('caricamento Desiderata'!K14)="EMESSO", TRIM('caricamento Desiderata'!K14)="RICHIESTO")), 'caricamento Desiderata'!K14, "")</f>
        <v>EMESSO</v>
      </c>
      <c r="E17" s="68"/>
      <c r="F17" s="68"/>
      <c r="G17" s="68"/>
      <c r="H17" s="68"/>
      <c r="I17" s="68"/>
      <c r="N17" s="65"/>
    </row>
    <row r="18" spans="1:15" s="54" customFormat="1" ht="14.1" customHeight="1" x14ac:dyDescent="0.2">
      <c r="A18" s="57" t="str">
        <f>IF(AND(COUNTIF('caricamento Desiderata'!F15:J15, "X") = 0, 'caricamento Desiderata'!E15 &lt;&gt; "", OR(TRIM('caricamento Desiderata'!K15)="EMESSO", TRIM('caricamento Desiderata'!K15)="RICHIESTO")), 'caricamento Desiderata'!C15, "")</f>
        <v>10228364</v>
      </c>
      <c r="B18" s="57" t="str">
        <f>IF(AND(COUNTIF('caricamento Desiderata'!F15:J15, "X") = 0, 'caricamento Desiderata'!E15 &lt;&gt; "", OR(TRIM('caricamento Desiderata'!K15)="EMESSO", TRIM('caricamento Desiderata'!K15)="RICHIESTO")), 'caricamento Desiderata'!D15, "")</f>
        <v xml:space="preserve">700A-1-F225R-controllo e ripristino funzionale. </v>
      </c>
      <c r="C18" s="57" t="str">
        <f>IF(AND(COUNTIF('caricamento Desiderata'!F15:J15, "X") = 0, 'caricamento Desiderata'!E15 &lt;&gt; "", OR(TRIM('caricamento Desiderata'!K15)="EMESSO", TRIM('caricamento Desiderata'!K15)="RICHIESTO")), 'caricamento Desiderata'!E15, "")</f>
        <v>546738/C</v>
      </c>
      <c r="D18" s="57" t="str">
        <f>IF(AND(COUNTIF('caricamento Desiderata'!F15:J15, "X") = 0, 'caricamento Desiderata'!E15 &lt;&gt; "", OR(TRIM('caricamento Desiderata'!K15)="EMESSO", TRIM('caricamento Desiderata'!K15)="RICHIESTO")), 'caricamento Desiderata'!K15, "")</f>
        <v>EMESSO</v>
      </c>
      <c r="E18" s="68"/>
      <c r="F18" s="68"/>
      <c r="G18" s="68"/>
      <c r="H18" s="68"/>
      <c r="I18" s="68"/>
      <c r="N18" s="65"/>
    </row>
    <row r="19" spans="1:15" s="54" customFormat="1" ht="14.1" customHeight="1" x14ac:dyDescent="0.2">
      <c r="A19" s="57" t="str">
        <f>IF(AND(COUNTIF('caricamento Desiderata'!F19:J19, "X") = 0, 'caricamento Desiderata'!E19 &lt;&gt; "", OR(TRIM('caricamento Desiderata'!K19)="EMESSO", TRIM('caricamento Desiderata'!K19)="RICHIESTO")), 'caricamento Desiderata'!C19, "")</f>
        <v>00000005</v>
      </c>
      <c r="B19" s="57" t="str">
        <f>IF(AND(COUNTIF('caricamento Desiderata'!F19:J19, "X") = 0, 'caricamento Desiderata'!E19 &lt;&gt; "", OR(TRIM('caricamento Desiderata'!K19)="EMESSO", TRIM('caricamento Desiderata'!K19)="RICHIESTO")), 'caricamento Desiderata'!D19, "")</f>
        <v xml:space="preserve">700 - P602RC COTROLLO FUNZIONALE. </v>
      </c>
      <c r="C19" s="57" t="str">
        <f>IF(AND(COUNTIF('caricamento Desiderata'!F19:J19, "X") = 0, 'caricamento Desiderata'!E19 &lt;&gt; "", OR(TRIM('caricamento Desiderata'!K19)="EMESSO", TRIM('caricamento Desiderata'!K19)="RICHIESTO")), 'caricamento Desiderata'!E19, "")</f>
        <v>555603/C</v>
      </c>
      <c r="D19" s="57" t="str">
        <f>IF(AND(COUNTIF('caricamento Desiderata'!F19:J19, "X") = 0, 'caricamento Desiderata'!E19 &lt;&gt; "", OR(TRIM('caricamento Desiderata'!K19)="EMESSO", TRIM('caricamento Desiderata'!K19)="RICHIESTO")), 'caricamento Desiderata'!K19, "")</f>
        <v>EMESSO</v>
      </c>
      <c r="E19" s="68"/>
      <c r="F19" s="68"/>
      <c r="G19" s="68"/>
      <c r="H19" s="68"/>
      <c r="I19" s="68"/>
      <c r="N19" s="65"/>
    </row>
    <row r="20" spans="1:15" s="54" customFormat="1" ht="14.1" customHeight="1" x14ac:dyDescent="0.2">
      <c r="A20" s="57" t="str">
        <f>IF(AND(COUNTIF('caricamento Desiderata'!F21:J21, "X") = 0, 'caricamento Desiderata'!E21 &lt;&gt; "", OR(TRIM('caricamento Desiderata'!K21)="EMESSO", TRIM('caricamento Desiderata'!K21)="RICHIESTO")), 'caricamento Desiderata'!C21, "")</f>
        <v>10228362</v>
      </c>
      <c r="B20" s="57" t="str">
        <f>IF(AND(COUNTIF('caricamento Desiderata'!F21:J21, "X") = 0, 'caricamento Desiderata'!E21 &lt;&gt; "", OR(TRIM('caricamento Desiderata'!K21)="EMESSO", TRIM('caricamento Desiderata'!K21)="RICHIESTO")), 'caricamento Desiderata'!D21, "")</f>
        <v xml:space="preserve">700: RIPR PRC001 controllo funzionale. </v>
      </c>
      <c r="C20" s="57" t="str">
        <f>IF(AND(COUNTIF('caricamento Desiderata'!F21:J21, "X") = 0, 'caricamento Desiderata'!E21 &lt;&gt; "", OR(TRIM('caricamento Desiderata'!K21)="EMESSO", TRIM('caricamento Desiderata'!K21)="RICHIESTO")), 'caricamento Desiderata'!E21, "")</f>
        <v>546734/C</v>
      </c>
      <c r="D20" s="57" t="str">
        <f>IF(AND(COUNTIF('caricamento Desiderata'!F21:J21, "X") = 0, 'caricamento Desiderata'!E21 &lt;&gt; "", OR(TRIM('caricamento Desiderata'!K21)="EMESSO", TRIM('caricamento Desiderata'!K21)="RICHIESTO")), 'caricamento Desiderata'!K21, "")</f>
        <v>EMESSO</v>
      </c>
      <c r="E20" s="68"/>
      <c r="F20" s="68"/>
      <c r="G20" s="68"/>
      <c r="H20" s="68"/>
      <c r="I20" s="68"/>
      <c r="N20" s="65"/>
    </row>
    <row r="21" spans="1:15" s="54" customFormat="1" ht="14.1" customHeight="1" x14ac:dyDescent="0.2">
      <c r="A21" s="57" t="str">
        <f>IF(AND(COUNTIF('caricamento Desiderata'!F22:J22, "X") = 0, 'caricamento Desiderata'!E22 &lt;&gt; "", OR(TRIM('caricamento Desiderata'!K22)="EMESSO", TRIM('caricamento Desiderata'!K22)="RICHIESTO")), 'caricamento Desiderata'!C22, "")</f>
        <v>00000007</v>
      </c>
      <c r="B21" s="57" t="str">
        <f>IF(AND(COUNTIF('caricamento Desiderata'!F22:J22, "X") = 0, 'caricamento Desiderata'!E22 &lt;&gt; "", OR(TRIM('caricamento Desiderata'!K22)="EMESSO", TRIM('caricamento Desiderata'!K22)="RICHIESTO")), 'caricamento Desiderata'!D22, "")</f>
        <v xml:space="preserve">700A-1-F202RC CONTROLLO FUNZIONALE. </v>
      </c>
      <c r="C21" s="57" t="str">
        <f>IF(AND(COUNTIF('caricamento Desiderata'!F22:J22, "X") = 0, 'caricamento Desiderata'!E22 &lt;&gt; "", OR(TRIM('caricamento Desiderata'!K22)="EMESSO", TRIM('caricamento Desiderata'!K22)="RICHIESTO")), 'caricamento Desiderata'!E22, "")</f>
        <v>556926/C</v>
      </c>
      <c r="D21" s="57" t="str">
        <f>IF(AND(COUNTIF('caricamento Desiderata'!F22:J22, "X") = 0, 'caricamento Desiderata'!E22 &lt;&gt; "", OR(TRIM('caricamento Desiderata'!K22)="EMESSO", TRIM('caricamento Desiderata'!K22)="RICHIESTO")), 'caricamento Desiderata'!K22, "")</f>
        <v>RICHIESTO</v>
      </c>
      <c r="E21" s="68"/>
      <c r="F21" s="68"/>
      <c r="G21" s="68"/>
      <c r="H21" s="68"/>
      <c r="I21" s="68"/>
      <c r="N21" s="65"/>
    </row>
    <row r="22" spans="1:15" s="54" customFormat="1" ht="14.1" customHeight="1" x14ac:dyDescent="0.2">
      <c r="A22" s="57" t="str">
        <f>IF(AND(COUNTIF('caricamento Desiderata'!F23:J23, "X") = 0, 'caricamento Desiderata'!E23 &lt;&gt; "", OR(TRIM('caricamento Desiderata'!K23)="EMESSO", TRIM('caricamento Desiderata'!K23)="RICHIESTO")), 'caricamento Desiderata'!C23, "")</f>
        <v>00000006</v>
      </c>
      <c r="B22" s="57" t="str">
        <f>IF(AND(COUNTIF('caricamento Desiderata'!F23:J23, "X") = 0, 'caricamento Desiderata'!E23 &lt;&gt; "", OR(TRIM('caricamento Desiderata'!K23)="EMESSO", TRIM('caricamento Desiderata'!K23)="RICHIESTO")), 'caricamento Desiderata'!D23, "")</f>
        <v xml:space="preserve">700-1-F024 AT/BT CONTROLLO FUNZIONALE. </v>
      </c>
      <c r="C22" s="57" t="str">
        <f>IF(AND(COUNTIF('caricamento Desiderata'!F23:J23, "X") = 0, 'caricamento Desiderata'!E23 &lt;&gt; "", OR(TRIM('caricamento Desiderata'!K23)="EMESSO", TRIM('caricamento Desiderata'!K23)="RICHIESTO")), 'caricamento Desiderata'!E23, "")</f>
        <v>556922/C</v>
      </c>
      <c r="D22" s="57" t="str">
        <f>IF(AND(COUNTIF('caricamento Desiderata'!F23:J23, "X") = 0, 'caricamento Desiderata'!E23 &lt;&gt; "", OR(TRIM('caricamento Desiderata'!K23)="EMESSO", TRIM('caricamento Desiderata'!K23)="RICHIESTO")), 'caricamento Desiderata'!K23, "")</f>
        <v>RICHIESTO</v>
      </c>
      <c r="E22" s="68"/>
      <c r="F22" s="68"/>
      <c r="G22" s="68"/>
      <c r="H22" s="68"/>
      <c r="I22" s="68"/>
      <c r="N22" s="65"/>
    </row>
    <row r="23" spans="1:15" s="54" customFormat="1" ht="14.1" customHeight="1" x14ac:dyDescent="0.2">
      <c r="A23" s="57" t="str">
        <f>IF(AND(COUNTIF('caricamento Desiderata'!F24:J24, "X") = 0, 'caricamento Desiderata'!E24 &lt;&gt; "", OR(TRIM('caricamento Desiderata'!K24)="EMESSO", TRIM('caricamento Desiderata'!K24)="RICHIESTO")), 'caricamento Desiderata'!C24, "")</f>
        <v>10232689</v>
      </c>
      <c r="B23" s="57" t="str">
        <f>IF(AND(COUNTIF('caricamento Desiderata'!F24:J24, "X") = 0, 'caricamento Desiderata'!E24 &lt;&gt; "", OR(TRIM('caricamento Desiderata'!K24)="EMESSO", TRIM('caricamento Desiderata'!K24)="RICHIESTO")), 'caricamento Desiderata'!D24, "")</f>
        <v xml:space="preserve">18-T064R ripristino funzionale. </v>
      </c>
      <c r="C23" s="57" t="str">
        <f>IF(AND(COUNTIF('caricamento Desiderata'!F24:J24, "X") = 0, 'caricamento Desiderata'!E24 &lt;&gt; "", OR(TRIM('caricamento Desiderata'!K24)="EMESSO", TRIM('caricamento Desiderata'!K24)="RICHIESTO")), 'caricamento Desiderata'!E24, "")</f>
        <v>556919/C</v>
      </c>
      <c r="D23" s="57" t="str">
        <f>IF(AND(COUNTIF('caricamento Desiderata'!F24:J24, "X") = 0, 'caricamento Desiderata'!E24 &lt;&gt; "", OR(TRIM('caricamento Desiderata'!K24)="EMESSO", TRIM('caricamento Desiderata'!K24)="RICHIESTO")), 'caricamento Desiderata'!K24, "")</f>
        <v>RICHIESTO</v>
      </c>
      <c r="E23" s="68"/>
      <c r="F23" s="68"/>
      <c r="G23" s="68"/>
      <c r="H23" s="68"/>
      <c r="I23" s="68"/>
      <c r="N23" s="65"/>
    </row>
    <row r="24" spans="1:15" s="54" customFormat="1" ht="14.1" customHeight="1" x14ac:dyDescent="0.2">
      <c r="A24" s="61"/>
      <c r="B24" s="61"/>
      <c r="C24" s="61"/>
      <c r="D24" s="61"/>
      <c r="E24" s="61"/>
      <c r="F24" s="61"/>
      <c r="G24" s="61"/>
      <c r="H24" s="69"/>
      <c r="I24" s="69"/>
      <c r="J24" s="69"/>
      <c r="K24" s="69"/>
      <c r="L24" s="69"/>
      <c r="N24" s="65"/>
    </row>
    <row r="25" spans="1:15" s="54" customFormat="1" ht="14.1" hidden="1" customHeight="1" x14ac:dyDescent="0.25">
      <c r="A25" s="56" t="s">
        <v>78</v>
      </c>
      <c r="B25" s="61"/>
      <c r="C25" s="61"/>
      <c r="D25" s="61"/>
      <c r="E25" s="61"/>
      <c r="F25" s="61"/>
      <c r="G25" s="61"/>
      <c r="H25" s="69"/>
      <c r="I25" s="69"/>
      <c r="J25" s="69"/>
      <c r="K25" s="69"/>
      <c r="L25" s="69"/>
      <c r="N25" s="65"/>
    </row>
    <row r="26" spans="1:15" ht="13.9" hidden="1" customHeight="1" x14ac:dyDescent="0.2">
      <c r="A26" s="76" t="s">
        <v>61</v>
      </c>
      <c r="B26" s="59" t="s">
        <v>70</v>
      </c>
      <c r="C26" s="59" t="s">
        <v>71</v>
      </c>
      <c r="D26" s="74" t="s">
        <v>72</v>
      </c>
      <c r="E26" s="59" t="s">
        <v>3</v>
      </c>
      <c r="F26" s="59" t="s">
        <v>4</v>
      </c>
      <c r="G26" s="59" t="s">
        <v>5</v>
      </c>
      <c r="H26" s="59" t="s">
        <v>6</v>
      </c>
      <c r="I26" s="60" t="s">
        <v>7</v>
      </c>
    </row>
    <row r="27" spans="1:15" s="54" customFormat="1" ht="14.1" hidden="1" customHeight="1" x14ac:dyDescent="0.2">
      <c r="A27" s="57" t="str">
        <f>IF(AND(COUNTIF('caricamento Desiderata'!F2:J2, "X") &gt;= 1, 'caricamento Desiderata'!E2 &lt;&gt; "", AND(TRIM('caricamento Desiderata'!K2)&lt;&gt;"CHIUSO", TRIM('caricamento Desiderata'!K2)&lt;&gt;"DA CHIUDERE", TRIM('caricamento Desiderata'!K2)&lt;&gt;"INTERROTTO")), IF('caricamento Desiderata'!C2=0, "", 'caricamento Desiderata'!C2), "")</f>
        <v/>
      </c>
      <c r="B27" s="57" t="str">
        <f>IF(AND(COUNTIF('caricamento Desiderata'!F2:J2, "X") &gt;= 1, 'caricamento Desiderata'!E2 &lt;&gt; "", AND(TRIM('caricamento Desiderata'!K2)&lt;&gt;"CHIUSO", TRIM('caricamento Desiderata'!K2)&lt;&gt;"DA CHIUDERE", TRIM('caricamento Desiderata'!K2)&lt;&gt;"INTERROTTO")), IF('caricamento Desiderata'!D2=0, "", 'caricamento Desiderata'!D2), "")</f>
        <v/>
      </c>
      <c r="C27" s="57" t="str">
        <f>IF(AND(COUNTIF('caricamento Desiderata'!F2:J2, "X") &gt;= 1, 'caricamento Desiderata'!E2 &lt;&gt; "", AND(TRIM('caricamento Desiderata'!K2)&lt;&gt;"CHIUSO", TRIM('caricamento Desiderata'!K2)&lt;&gt;"DA CHIUDERE", TRIM('caricamento Desiderata'!K2)&lt;&gt;"INTERROTTO")), IF('caricamento Desiderata'!E2=0, "", 'caricamento Desiderata'!E2), "")</f>
        <v/>
      </c>
      <c r="D27" s="57" t="str">
        <f>IF(AND(COUNTIF('caricamento Desiderata'!F2:J2, "X") &gt;= 1, 'caricamento Desiderata'!E2 &lt;&gt; "", AND(TRIM('caricamento Desiderata'!K2)&lt;&gt;"CHIUSO", TRIM('caricamento Desiderata'!K2)&lt;&gt;"DA CHIUDERE", TRIM('caricamento Desiderata'!K2)&lt;&gt;"INTERROTTO")), IF('caricamento Desiderata'!K2=0, "", 'caricamento Desiderata'!K2), "")</f>
        <v/>
      </c>
      <c r="E27" s="68" t="str">
        <f>IF(AND(COUNTIF('caricamento Desiderata'!F2:J2, "X") &gt;= 1, 'caricamento Desiderata'!E2 &lt;&gt; "", AND(TRIM('caricamento Desiderata'!K2)&lt;&gt;"CHIUSO", TRIM('caricamento Desiderata'!K2)&lt;&gt;"DA CHIUDERE", TRIM('caricamento Desiderata'!K2)&lt;&gt;"INTERROTTO")), IF('caricamento Desiderata'!F2=0, "", 'caricamento Desiderata'!F2), "")</f>
        <v/>
      </c>
      <c r="F27" s="68" t="str">
        <f>IF(AND(COUNTIF('caricamento Desiderata'!F2:J2, "X") &gt;= 1, 'caricamento Desiderata'!E2 &lt;&gt; "", AND(TRIM('caricamento Desiderata'!K2)&lt;&gt;"CHIUSO", TRIM('caricamento Desiderata'!K2)&lt;&gt;"DA CHIUDERE", TRIM('caricamento Desiderata'!K2)&lt;&gt;"INTERROTTO")), IF('caricamento Desiderata'!G2=0, "", 'caricamento Desiderata'!G2), "")</f>
        <v/>
      </c>
      <c r="G27" s="68" t="str">
        <f>IF(AND(COUNTIF('caricamento Desiderata'!F2:J2, "X") &gt;= 1, 'caricamento Desiderata'!E2 &lt;&gt; "", AND(TRIM('caricamento Desiderata'!K2)&lt;&gt;"CHIUSO", TRIM('caricamento Desiderata'!K2)&lt;&gt;"DA CHIUDERE", TRIM('caricamento Desiderata'!K2)&lt;&gt;"INTERROTTO")), IF('caricamento Desiderata'!H2=0, "", 'caricamento Desiderata'!H2), "")</f>
        <v/>
      </c>
      <c r="H27" s="68" t="str">
        <f>IF(AND(COUNTIF('caricamento Desiderata'!F2:J2, "X") &gt;= 1, 'caricamento Desiderata'!E2 &lt;&gt; "", AND(TRIM('caricamento Desiderata'!K2)&lt;&gt;"CHIUSO", TRIM('caricamento Desiderata'!K2)&lt;&gt;"DA CHIUDERE", TRIM('caricamento Desiderata'!K2)&lt;&gt;"INTERROTTO")), IF('caricamento Desiderata'!I2=0, "", 'caricamento Desiderata'!I2), "")</f>
        <v/>
      </c>
      <c r="I27" s="68" t="str">
        <f>IF(AND(COUNTIF('caricamento Desiderata'!F2:J2, "X") &gt;= 1, 'caricamento Desiderata'!E2 &lt;&gt; "", AND(TRIM('caricamento Desiderata'!K2)&lt;&gt;"CHIUSO", TRIM('caricamento Desiderata'!K2)&lt;&gt;"DA CHIUDERE", TRIM('caricamento Desiderata'!K2)&lt;&gt;"INTERROTTO")), IF('caricamento Desiderata'!J2=0, "", 'caricamento Desiderata'!J2), "")</f>
        <v/>
      </c>
      <c r="N27" s="65"/>
    </row>
    <row r="28" spans="1:15" s="54" customFormat="1" ht="14.1" hidden="1" customHeight="1" x14ac:dyDescent="0.2">
      <c r="A28" s="61"/>
      <c r="B28" s="61"/>
      <c r="C28" s="61"/>
      <c r="D28" s="61"/>
      <c r="E28" s="61"/>
      <c r="F28" s="61"/>
      <c r="G28" s="61"/>
      <c r="H28" s="69"/>
      <c r="I28" s="69"/>
      <c r="J28" s="69"/>
      <c r="K28" s="69"/>
      <c r="L28" s="69"/>
      <c r="N28" s="65"/>
    </row>
    <row r="29" spans="1:15" s="54" customFormat="1" ht="14.1" customHeight="1" x14ac:dyDescent="0.25">
      <c r="A29" s="56" t="s">
        <v>57</v>
      </c>
      <c r="B29" s="55"/>
      <c r="C29" s="55"/>
      <c r="D29" s="55"/>
      <c r="E29" s="55"/>
      <c r="F29" s="55"/>
      <c r="G29" s="55"/>
      <c r="H29" s="55"/>
      <c r="I29" s="55"/>
      <c r="J29" s="55"/>
      <c r="K29" s="55"/>
      <c r="L29" s="55"/>
      <c r="M29" s="55"/>
      <c r="N29" s="55"/>
      <c r="O29" s="55"/>
    </row>
    <row r="30" spans="1:15" ht="13.9" customHeight="1" x14ac:dyDescent="0.2">
      <c r="A30" s="76" t="s">
        <v>61</v>
      </c>
      <c r="B30" s="59" t="s">
        <v>70</v>
      </c>
      <c r="C30" s="59" t="s">
        <v>71</v>
      </c>
      <c r="D30" s="75" t="s">
        <v>102</v>
      </c>
      <c r="E30" s="75" t="s">
        <v>39</v>
      </c>
      <c r="F30" s="75" t="s">
        <v>40</v>
      </c>
      <c r="G30" s="75" t="s">
        <v>103</v>
      </c>
      <c r="H30" s="216" t="s">
        <v>73</v>
      </c>
      <c r="I30" s="216"/>
      <c r="J30" s="216"/>
      <c r="K30" s="216"/>
      <c r="L30" s="216"/>
      <c r="M30" s="216"/>
      <c r="N30" s="60" t="s">
        <v>75</v>
      </c>
    </row>
    <row r="31" spans="1:15" s="54" customFormat="1" ht="14.1" hidden="1" customHeight="1" x14ac:dyDescent="0.2">
      <c r="A31" s="57" t="str">
        <f>IF(TRIM('caricamento Desiderata'!K2)="INTERROTTO", TRIM('caricamento Desiderata'!C2), "")</f>
        <v/>
      </c>
      <c r="B31" s="57" t="str">
        <f>IF(TRIM('caricamento Desiderata'!K2)="INTERROTTO", 'caricamento Desiderata'!D2, "")</f>
        <v/>
      </c>
      <c r="C31" s="57" t="str">
        <f>IF(TRIM('caricamento Desiderata'!K2)="INTERROTTO", 'caricamento Desiderata'!E2, "")</f>
        <v/>
      </c>
      <c r="D31" s="70" t="str">
        <f>IF(TRIM('caricamento Desiderata'!K2)="INTERROTTO", TEXT('caricamento Desiderata'!P2, "gg/mm/aaaa"), "")</f>
        <v/>
      </c>
      <c r="E31" s="68" t="str">
        <f>IF(AND('caricamento Desiderata'!E2 &lt;&gt; "", TRIM('caricamento Desiderata'!K2) = "INTERROTTO", 'caricamento Desiderata'!L2 = "X"), 'caricamento Desiderata'!L2, "")</f>
        <v/>
      </c>
      <c r="F31" s="68" t="str">
        <f>IF(AND('caricamento Desiderata'!E2 &lt;&gt; "", TRIM('caricamento Desiderata'!K2) = "INTERROTTO", 'caricamento Desiderata'!M2 = "X"), 'caricamento Desiderata'!M2, "")</f>
        <v/>
      </c>
      <c r="G31" s="68" t="str">
        <f>IF(AND('caricamento Desiderata'!E2 &lt;&gt; "", TRIM('caricamento Desiderata'!K2) = "INTERROTTO", 'caricamento Desiderata'!N2 = "X"), 'caricamento Desiderata'!N2, "")</f>
        <v/>
      </c>
      <c r="H31" s="217" t="str">
        <f>IF(TRIM('caricamento Desiderata'!K2)="INTERROTTO", 'caricamento Desiderata'!O2, "")</f>
        <v/>
      </c>
      <c r="I31" s="218"/>
      <c r="J31" s="218"/>
      <c r="K31" s="218"/>
      <c r="L31" s="218"/>
      <c r="M31" s="219"/>
      <c r="N31" s="71" t="str">
        <f>IF(TRIM('caricamento Desiderata'!K2)="INTERROTTO", 'caricamento Desiderata'!Q2, "")</f>
        <v/>
      </c>
    </row>
    <row r="32" spans="1:15" s="54" customFormat="1" ht="14.1" customHeight="1" x14ac:dyDescent="0.2">
      <c r="A32" s="57" t="str">
        <f>IF(TRIM('caricamento Desiderata'!K12)="INTERROTTO", TRIM('caricamento Desiderata'!C12), "")</f>
        <v>10229802</v>
      </c>
      <c r="B32" s="57" t="str">
        <f>IF(TRIM('caricamento Desiderata'!K12)="INTERROTTO", 'caricamento Desiderata'!D12, "")</f>
        <v xml:space="preserve">700: RIPR 07T160I controllo funzionale. </v>
      </c>
      <c r="C32" s="57" t="str">
        <f>IF(TRIM('caricamento Desiderata'!K12)="INTERROTTO", 'caricamento Desiderata'!E12, "")</f>
        <v>549771/C</v>
      </c>
      <c r="D32" s="70" t="str">
        <f>IF(TRIM('caricamento Desiderata'!K12)="INTERROTTO", TEXT('caricamento Desiderata'!P12, "gg/mm/aaaa"), "")</f>
        <v>17/10/2025</v>
      </c>
      <c r="E32" s="68" t="str">
        <f>IF(AND('caricamento Desiderata'!E12 &lt;&gt; "", TRIM('caricamento Desiderata'!K12) = "INTERROTTO", 'caricamento Desiderata'!L12 = "X"), 'caricamento Desiderata'!L12, "")</f>
        <v/>
      </c>
      <c r="F32" s="68" t="str">
        <f>IF(AND('caricamento Desiderata'!E12 &lt;&gt; "", TRIM('caricamento Desiderata'!K12) = "INTERROTTO", 'caricamento Desiderata'!M12 = "X"), 'caricamento Desiderata'!M12, "")</f>
        <v/>
      </c>
      <c r="G32" s="68" t="str">
        <f>IF(AND('caricamento Desiderata'!E12 &lt;&gt; "", TRIM('caricamento Desiderata'!K12) = "INTERROTTO", 'caricamento Desiderata'!N12 = "X"), 'caricamento Desiderata'!N12, "")</f>
        <v/>
      </c>
      <c r="H32" s="217" t="str">
        <f>IF(TRIM('caricamento Desiderata'!K12)="INTERROTTO", 'caricamento Desiderata'!O12, "")</f>
        <v>CONTROLLATA TEMPERATURA, NESSUNA ANOMALIA</v>
      </c>
      <c r="I32" s="218"/>
      <c r="J32" s="218"/>
      <c r="K32" s="218"/>
      <c r="L32" s="218"/>
      <c r="M32" s="219"/>
      <c r="N32" s="71" t="str">
        <f>IF(TRIM('caricamento Desiderata'!K12)="INTERROTTO", 'caricamento Desiderata'!Q12, "")</f>
        <v>TARASCIO</v>
      </c>
    </row>
    <row r="33" spans="1:15" s="54" customFormat="1" ht="27.95" customHeight="1" x14ac:dyDescent="0.2">
      <c r="A33" s="57" t="str">
        <f>IF(TRIM('caricamento Desiderata'!K16)="INTERROTTO", TRIM('caricamento Desiderata'!C16), "")</f>
        <v>10228178</v>
      </c>
      <c r="B33" s="57" t="str">
        <f>IF(TRIM('caricamento Desiderata'!K16)="INTERROTTO", 'caricamento Desiderata'!D16, "")</f>
        <v xml:space="preserve">1100: MTZ 11F016R. </v>
      </c>
      <c r="C33" s="57" t="str">
        <f>IF(TRIM('caricamento Desiderata'!K16)="INTERROTTO", 'caricamento Desiderata'!E16, "")</f>
        <v>556053/C</v>
      </c>
      <c r="D33" s="70" t="str">
        <f>IF(TRIM('caricamento Desiderata'!K16)="INTERROTTO", TEXT('caricamento Desiderata'!P16, "gg/mm/aaaa"), "")</f>
        <v>00/01/1900</v>
      </c>
      <c r="E33" s="68" t="str">
        <f>IF(AND('caricamento Desiderata'!E16 &lt;&gt; "", TRIM('caricamento Desiderata'!K16) = "INTERROTTO", 'caricamento Desiderata'!L16 = "X"), 'caricamento Desiderata'!L16, "")</f>
        <v/>
      </c>
      <c r="F33" s="68" t="str">
        <f>IF(AND('caricamento Desiderata'!E16 &lt;&gt; "", TRIM('caricamento Desiderata'!K16) = "INTERROTTO", 'caricamento Desiderata'!M16 = "X"), 'caricamento Desiderata'!M16, "")</f>
        <v>X</v>
      </c>
      <c r="G33" s="68" t="str">
        <f>IF(AND('caricamento Desiderata'!E16 &lt;&gt; "", TRIM('caricamento Desiderata'!K16) = "INTERROTTO", 'caricamento Desiderata'!N16 = "X"), 'caricamento Desiderata'!N16, "")</f>
        <v/>
      </c>
      <c r="H33" s="217" t="str">
        <f>IF(TRIM('caricamento Desiderata'!K16)="INTERROTTO", 'caricamento Desiderata'!O16, "")</f>
        <v>PER EFFETTUARE IL CONTROLLO SERVE PONTEGGIO. DA SOSTITUIRE GRUPPO BYPASS MECCANICO GUASTO.</v>
      </c>
      <c r="I33" s="218"/>
      <c r="J33" s="218"/>
      <c r="K33" s="218"/>
      <c r="L33" s="218"/>
      <c r="M33" s="219"/>
      <c r="N33" s="71">
        <f>IF(TRIM('caricamento Desiderata'!K16)="INTERROTTO", 'caricamento Desiderata'!Q16, "")</f>
        <v>0</v>
      </c>
    </row>
    <row r="34" spans="1:15" s="54" customFormat="1" ht="27.95" customHeight="1" x14ac:dyDescent="0.2">
      <c r="A34" s="57" t="str">
        <f>IF(TRIM('caricamento Desiderata'!K20)="INTERROTTO", TRIM('caricamento Desiderata'!C20), "")</f>
        <v>10232242</v>
      </c>
      <c r="B34" s="57" t="str">
        <f>IF(TRIM('caricamento Desiderata'!K20)="INTERROTTO", 'caricamento Desiderata'!D20, "")</f>
        <v xml:space="preserve">1200/M: VERIFICA ZMT802AR. </v>
      </c>
      <c r="C34" s="57" t="str">
        <f>IF(TRIM('caricamento Desiderata'!K20)="INTERROTTO", 'caricamento Desiderata'!E20, "")</f>
        <v>555303/C</v>
      </c>
      <c r="D34" s="70" t="str">
        <f>IF(TRIM('caricamento Desiderata'!K20)="INTERROTTO", TEXT('caricamento Desiderata'!P20, "gg/mm/aaaa"), "")</f>
        <v>16/10/2025</v>
      </c>
      <c r="E34" s="68" t="str">
        <f>IF(AND('caricamento Desiderata'!E20 &lt;&gt; "", TRIM('caricamento Desiderata'!K20) = "INTERROTTO", 'caricamento Desiderata'!L20 = "X"), 'caricamento Desiderata'!L20, "")</f>
        <v/>
      </c>
      <c r="F34" s="68" t="str">
        <f>IF(AND('caricamento Desiderata'!E20 &lt;&gt; "", TRIM('caricamento Desiderata'!K20) = "INTERROTTO", 'caricamento Desiderata'!M20 = "X"), 'caricamento Desiderata'!M20, "")</f>
        <v>X</v>
      </c>
      <c r="G34" s="68" t="str">
        <f>IF(AND('caricamento Desiderata'!E20 &lt;&gt; "", TRIM('caricamento Desiderata'!K20) = "INTERROTTO", 'caricamento Desiderata'!N20 = "X"), 'caricamento Desiderata'!N20, "")</f>
        <v/>
      </c>
      <c r="H34" s="217" t="str">
        <f>IF(TRIM('caricamento Desiderata'!K20)="INTERROTTO", 'caricamento Desiderata'!O20, "")</f>
        <v>TROVATO FILO LENTO A RETRO QUADRO, SERRATO. ALLINEATA MISURA CON SALA CONTROLLO ( 0-400°C )PER ISPEZIONARE IL TERMOELEMENTO NECESSITA PONTEGGIO</v>
      </c>
      <c r="I34" s="218"/>
      <c r="J34" s="218"/>
      <c r="K34" s="218"/>
      <c r="L34" s="218"/>
      <c r="M34" s="219"/>
      <c r="N34" s="71" t="str">
        <f>IF(TRIM('caricamento Desiderata'!K20)="INTERROTTO", 'caricamento Desiderata'!Q20, "")</f>
        <v>TARASCIO</v>
      </c>
    </row>
    <row r="35" spans="1:15" s="54" customFormat="1" ht="14.1" customHeight="1" x14ac:dyDescent="0.2">
      <c r="N35" s="65"/>
    </row>
    <row r="36" spans="1:15" s="54" customFormat="1" ht="14.1" customHeight="1" x14ac:dyDescent="0.25">
      <c r="A36" s="56" t="s">
        <v>77</v>
      </c>
      <c r="B36" s="55"/>
      <c r="C36" s="55"/>
      <c r="D36" s="55"/>
      <c r="E36" s="55"/>
      <c r="F36" s="55"/>
      <c r="G36" s="55"/>
      <c r="H36" s="55"/>
      <c r="I36" s="55"/>
      <c r="J36" s="55"/>
      <c r="K36" s="55"/>
      <c r="L36" s="55"/>
      <c r="M36" s="55"/>
      <c r="N36" s="55"/>
      <c r="O36" s="55"/>
    </row>
    <row r="37" spans="1:15" ht="13.9" customHeight="1" x14ac:dyDescent="0.2">
      <c r="A37" s="76" t="s">
        <v>61</v>
      </c>
      <c r="B37" s="59" t="s">
        <v>70</v>
      </c>
      <c r="C37" s="59" t="s">
        <v>71</v>
      </c>
      <c r="D37" s="75" t="s">
        <v>102</v>
      </c>
      <c r="E37" s="220" t="s">
        <v>73</v>
      </c>
      <c r="F37" s="221"/>
      <c r="G37" s="221"/>
      <c r="H37" s="221"/>
      <c r="I37" s="221"/>
      <c r="J37" s="221"/>
      <c r="K37" s="221"/>
      <c r="L37" s="221"/>
      <c r="M37" s="222"/>
      <c r="N37" s="60" t="s">
        <v>75</v>
      </c>
    </row>
    <row r="38" spans="1:15" s="54" customFormat="1" ht="14.1" hidden="1" customHeight="1" x14ac:dyDescent="0.2">
      <c r="A38" s="57" t="str">
        <f>IF(OR(TRIM('caricamento Desiderata'!K2)="DA CHIUDERE", TRIM('caricamento Desiderata'!K2)="CHIUSO"), TRIM('caricamento Desiderata'!C2), "")</f>
        <v/>
      </c>
      <c r="B38" s="57" t="str">
        <f>IF(OR(TRIM('caricamento Desiderata'!K2)="DA CHIUDERE", TRIM('caricamento Desiderata'!K2)="CHIUSO"), TRIM('caricamento Desiderata'!D2), "")</f>
        <v/>
      </c>
      <c r="C38" s="57" t="str">
        <f>IF(OR(TRIM('caricamento Desiderata'!K2)="DA CHIUDERE", TRIM('caricamento Desiderata'!K2)="CHIUSO"), TRIM('caricamento Desiderata'!E2), "")</f>
        <v/>
      </c>
      <c r="D38" s="70" t="str">
        <f>IF(OR(TRIM('caricamento Desiderata'!K2)="DA CHIUDERE", TRIM('caricamento Desiderata'!K2)="CHIUSO"), TEXT(TRIM('caricamento Desiderata'!P2), "GG/MM/AAAA"), "")</f>
        <v/>
      </c>
      <c r="E38" s="212" t="str">
        <f>IF(OR(TRIM('caricamento Desiderata'!K2)="DA CHIUDERE", TRIM('caricamento Desiderata'!K2)="CHIUSO"), TRIM('caricamento Desiderata'!O2), "")</f>
        <v/>
      </c>
      <c r="F38" s="213"/>
      <c r="G38" s="213"/>
      <c r="H38" s="213"/>
      <c r="I38" s="213"/>
      <c r="J38" s="213"/>
      <c r="K38" s="213"/>
      <c r="L38" s="213"/>
      <c r="M38" s="214"/>
      <c r="N38" s="71" t="str">
        <f>IF(OR(TRIM('caricamento Desiderata'!K2)="DA CHIUDERE", TRIM('caricamento Desiderata'!K2)="CHIUSO"), TRIM('caricamento Desiderata'!Q2), "")</f>
        <v/>
      </c>
    </row>
    <row r="39" spans="1:15" s="54" customFormat="1" ht="27.95" customHeight="1" x14ac:dyDescent="0.2">
      <c r="A39" s="57" t="str">
        <f>IF(OR(TRIM('caricamento Desiderata'!K6)="DA CHIUDERE", TRIM('caricamento Desiderata'!K6)="CHIUSO"), TRIM('caricamento Desiderata'!C6), "")</f>
        <v>10226908</v>
      </c>
      <c r="B39" s="57" t="str">
        <f>IF(OR(TRIM('caricamento Desiderata'!K6)="DA CHIUDERE", TRIM('caricamento Desiderata'!K6)="CHIUSO"), TRIM('caricamento Desiderata'!D6), "")</f>
        <v>700: 07P101CSL controllo pressostato controllo funzionale.</v>
      </c>
      <c r="C39" s="57" t="str">
        <f>IF(OR(TRIM('caricamento Desiderata'!K6)="DA CHIUDERE", TRIM('caricamento Desiderata'!K6)="CHIUSO"), TRIM('caricamento Desiderata'!E6), "")</f>
        <v>543499/C</v>
      </c>
      <c r="D39" s="70" t="str">
        <f>IF(OR(TRIM('caricamento Desiderata'!K6)="DA CHIUDERE", TRIM('caricamento Desiderata'!K6)="CHIUSO"), TEXT(TRIM('caricamento Desiderata'!P6), "GG/MM/AAAA"), "")</f>
        <v>07/04/2025</v>
      </c>
      <c r="E39" s="212" t="str">
        <f>IF(OR(TRIM('caricamento Desiderata'!K6)="DA CHIUDERE", TRIM('caricamento Desiderata'!K6)="CHIUSO"), TRIM('caricamento Desiderata'!O6), "")</f>
        <v>LINEA TAPPATA. NESSUNA ANOMALIA SU PRESSOSTATO. RIPRISTINATA FUNZIONALITA'</v>
      </c>
      <c r="F39" s="213"/>
      <c r="G39" s="213"/>
      <c r="H39" s="213"/>
      <c r="I39" s="213"/>
      <c r="J39" s="213"/>
      <c r="K39" s="213"/>
      <c r="L39" s="213"/>
      <c r="M39" s="214"/>
      <c r="N39" s="71" t="str">
        <f>IF(OR(TRIM('caricamento Desiderata'!K6)="DA CHIUDERE", TRIM('caricamento Desiderata'!K6)="CHIUSO"), TRIM('caricamento Desiderata'!Q6), "")</f>
        <v>TARASCIO</v>
      </c>
    </row>
    <row r="40" spans="1:15" s="54" customFormat="1" ht="27.95" customHeight="1" x14ac:dyDescent="0.2">
      <c r="A40" s="57" t="str">
        <f>IF(OR(TRIM('caricamento Desiderata'!K10)="DA CHIUDERE", TRIM('caricamento Desiderata'!K10)="CHIUSO"), TRIM('caricamento Desiderata'!C10), "")</f>
        <v>10226805</v>
      </c>
      <c r="B40" s="57" t="str">
        <f>IF(OR(TRIM('caricamento Desiderata'!K10)="DA CHIUDERE", TRIM('caricamento Desiderata'!K10)="CHIUSO"), TRIM('caricamento Desiderata'!D10), "")</f>
        <v>07T118I 07T113I 07T114I controllo funzionale termocoppie.</v>
      </c>
      <c r="C40" s="57" t="str">
        <f>IF(OR(TRIM('caricamento Desiderata'!K10)="DA CHIUDERE", TRIM('caricamento Desiderata'!K10)="CHIUSO"), TRIM('caricamento Desiderata'!E10), "")</f>
        <v>543287/C</v>
      </c>
      <c r="D40" s="70" t="str">
        <f>IF(OR(TRIM('caricamento Desiderata'!K10)="DA CHIUDERE", TRIM('caricamento Desiderata'!K10)="CHIUSO"), TEXT(TRIM('caricamento Desiderata'!P10), "GG/MM/AAAA"), "")</f>
        <v>09/07/2025</v>
      </c>
      <c r="E40" s="212" t="str">
        <f>IF(OR(TRIM('caricamento Desiderata'!K10)="DA CHIUDERE", TRIM('caricamento Desiderata'!K10)="CHIUSO"), TRIM('caricamento Desiderata'!O10), "")</f>
        <v>SERRAGGIO MORSETTI, LA MISURA SI E' RIPRISTINATA A DCS.</v>
      </c>
      <c r="F40" s="213"/>
      <c r="G40" s="213"/>
      <c r="H40" s="213"/>
      <c r="I40" s="213"/>
      <c r="J40" s="213"/>
      <c r="K40" s="213"/>
      <c r="L40" s="213"/>
      <c r="M40" s="214"/>
      <c r="N40" s="71" t="str">
        <f>IF(OR(TRIM('caricamento Desiderata'!K10)="DA CHIUDERE", TRIM('caricamento Desiderata'!K10)="CHIUSO"), TRIM('caricamento Desiderata'!Q10), "")</f>
        <v>TARASCIO/PARTESANO</v>
      </c>
    </row>
    <row r="41" spans="1:15" s="54" customFormat="1" ht="27.95" customHeight="1" x14ac:dyDescent="0.2">
      <c r="A41" s="57" t="str">
        <f>IF(OR(TRIM('caricamento Desiderata'!K17)="DA CHIUDERE", TRIM('caricamento Desiderata'!K17)="CHIUSO"), TRIM('caricamento Desiderata'!C17), "")</f>
        <v>10227342</v>
      </c>
      <c r="B41" s="57" t="str">
        <f>IF(OR(TRIM('caricamento Desiderata'!K17)="DA CHIUDERE", TRIM('caricamento Desiderata'!K17)="CHIUSO"), TRIM('caricamento Desiderata'!D17), "")</f>
        <v>1800: 18T033I ripristino.</v>
      </c>
      <c r="C41" s="57" t="str">
        <f>IF(OR(TRIM('caricamento Desiderata'!K17)="DA CHIUDERE", TRIM('caricamento Desiderata'!K17)="CHIUSO"), TRIM('caricamento Desiderata'!E17), "")</f>
        <v>544667/C</v>
      </c>
      <c r="D41" s="70" t="str">
        <f>IF(OR(TRIM('caricamento Desiderata'!K17)="DA CHIUDERE", TRIM('caricamento Desiderata'!K17)="CHIUSO"), TEXT(TRIM('caricamento Desiderata'!P17), "GG/MM/AAAA"), "")</f>
        <v>23/07/2025</v>
      </c>
      <c r="E41" s="212" t="str">
        <f>IF(OR(TRIM('caricamento Desiderata'!K17)="DA CHIUDERE", TRIM('caricamento Desiderata'!K17)="CHIUSO"), TRIM('caricamento Desiderata'!O17), "")</f>
        <v>TROVATO FILO LENTO SULLA TESTINA, RIPRISTINATO E STAFFATA TERMORESISTENZA. ALLINEATA MISURA CON SALA CONTROLLO. IN CAMPO IL TAG E' TI339E.</v>
      </c>
      <c r="F41" s="213"/>
      <c r="G41" s="213"/>
      <c r="H41" s="213"/>
      <c r="I41" s="213"/>
      <c r="J41" s="213"/>
      <c r="K41" s="213"/>
      <c r="L41" s="213"/>
      <c r="M41" s="214"/>
      <c r="N41" s="71" t="str">
        <f>IF(OR(TRIM('caricamento Desiderata'!K17)="DA CHIUDERE", TRIM('caricamento Desiderata'!K17)="CHIUSO"), TRIM('caricamento Desiderata'!Q17), "")</f>
        <v>MILLO</v>
      </c>
    </row>
    <row r="42" spans="1:15" s="54" customFormat="1" ht="27.95" customHeight="1" x14ac:dyDescent="0.2">
      <c r="A42" s="57" t="str">
        <f>IF(OR(TRIM('caricamento Desiderata'!K18)="DA CHIUDERE", TRIM('caricamento Desiderata'!K18)="CHIUSO"), TRIM('caricamento Desiderata'!C18), "")</f>
        <v>10232241</v>
      </c>
      <c r="B42" s="57" t="str">
        <f>IF(OR(TRIM('caricamento Desiderata'!K18)="DA CHIUDERE", TRIM('caricamento Desiderata'!K18)="CHIUSO"), TRIM('caricamento Desiderata'!D18), "")</f>
        <v>700: VERIFICA T006HA.</v>
      </c>
      <c r="C42" s="57" t="str">
        <f>IF(OR(TRIM('caricamento Desiderata'!K18)="DA CHIUDERE", TRIM('caricamento Desiderata'!K18)="CHIUSO"), TRIM('caricamento Desiderata'!E18), "")</f>
        <v>555309/C</v>
      </c>
      <c r="D42" s="70" t="str">
        <f>IF(OR(TRIM('caricamento Desiderata'!K18)="DA CHIUDERE", TRIM('caricamento Desiderata'!K18)="CHIUSO"), TEXT(TRIM('caricamento Desiderata'!P18), "GG/MM/AAAA"), "")</f>
        <v>16/10/2025</v>
      </c>
      <c r="E42" s="212" t="str">
        <f>IF(OR(TRIM('caricamento Desiderata'!K18)="DA CHIUDERE", TRIM('caricamento Desiderata'!K18)="CHIUSO"), TRIM('caricamento Desiderata'!O18), "")</f>
        <v>SERVE PIANO DI SERVIZIO PER ISPEZIONARE TERMOELEMENTO, LAVORO TERMINATO CON ESITO POSITIVO. A CONOSCENZA TCL CALDARELLA</v>
      </c>
      <c r="F42" s="213"/>
      <c r="G42" s="213"/>
      <c r="H42" s="213"/>
      <c r="I42" s="213"/>
      <c r="J42" s="213"/>
      <c r="K42" s="213"/>
      <c r="L42" s="213"/>
      <c r="M42" s="214"/>
      <c r="N42" s="71" t="str">
        <f>IF(OR(TRIM('caricamento Desiderata'!K18)="DA CHIUDERE", TRIM('caricamento Desiderata'!K18)="CHIUSO"), TRIM('caricamento Desiderata'!Q18), "")</f>
        <v>TARASCIO</v>
      </c>
    </row>
  </sheetData>
  <mergeCells count="12">
    <mergeCell ref="E41:M41"/>
    <mergeCell ref="E42:M42"/>
    <mergeCell ref="A1:N1"/>
    <mergeCell ref="H30:M30"/>
    <mergeCell ref="H31:M31"/>
    <mergeCell ref="E37:M37"/>
    <mergeCell ref="E38:M38"/>
    <mergeCell ref="H34:M34"/>
    <mergeCell ref="H32:M32"/>
    <mergeCell ref="H33:M33"/>
    <mergeCell ref="E39:M39"/>
    <mergeCell ref="E40:M40"/>
  </mergeCells>
  <printOptions horizontalCentered="1"/>
  <pageMargins left="0.5" right="0.5" top="0.75" bottom="0.75" header="0" footer="0"/>
  <pageSetup paperSize="8" scale="76" fitToHeight="0" orientation="landscape" r:id="rId1"/>
  <headerFooter>
    <oddFooter>&amp;L&amp;"Arial,Grassetto" Riservato&amp;CData stampa: &amp;D&amp;RPagina &amp;P di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7458" r:id="rId4" name="Button 2">
              <controlPr defaultSize="0" print="0" autoFill="0" autoPict="0" macro="[0]!cancellaDesiderata">
                <anchor moveWithCells="1" sizeWithCells="1">
                  <from>
                    <xdr:col>14</xdr:col>
                    <xdr:colOff>19050</xdr:colOff>
                    <xdr:row>0</xdr:row>
                    <xdr:rowOff>0</xdr:rowOff>
                  </from>
                  <to>
                    <xdr:col>15</xdr:col>
                    <xdr:colOff>371475</xdr:colOff>
                    <xdr:row>1</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C635696-0B7F-4166-AAF4-CBBE982B4F7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13</vt:i4>
      </vt:variant>
      <vt:variant>
        <vt:lpstr>Intervalli denominati</vt:lpstr>
      </vt:variant>
      <vt:variant>
        <vt:i4>3</vt:i4>
      </vt:variant>
    </vt:vector>
  </HeadingPairs>
  <TitlesOfParts>
    <vt:vector size="16" baseType="lpstr">
      <vt:lpstr>A1</vt:lpstr>
      <vt:lpstr>A2</vt:lpstr>
      <vt:lpstr>A3</vt:lpstr>
      <vt:lpstr>CTE</vt:lpstr>
      <vt:lpstr>TAS</vt:lpstr>
      <vt:lpstr>BLENDING</vt:lpstr>
      <vt:lpstr>IGCC</vt:lpstr>
      <vt:lpstr>Riepilogo</vt:lpstr>
      <vt:lpstr>BARCODE</vt:lpstr>
      <vt:lpstr>Inserimento dati</vt:lpstr>
      <vt:lpstr>nuovi PdL rilevati</vt:lpstr>
      <vt:lpstr>caricamento Desiderata</vt:lpstr>
      <vt:lpstr>Desiderata</vt:lpstr>
      <vt:lpstr>Desiderata!Print_Area</vt:lpstr>
      <vt:lpstr>Riepilogo!Print_Area</vt:lpstr>
      <vt:lpstr>Riepilogo!Print_Titles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Giancarlo Allegretti</dc:creator>
  <cp:lastModifiedBy>Giancarlo Allegretti</cp:lastModifiedBy>
  <cp:lastPrinted>2025-10-24T12:14:02Z</cp:lastPrinted>
  <dcterms:created xsi:type="dcterms:W3CDTF">2024-11-26T11:39:08Z</dcterms:created>
  <dcterms:modified xsi:type="dcterms:W3CDTF">2025-10-25T11:04:34Z</dcterms:modified>
</cp:coreProperties>
</file>